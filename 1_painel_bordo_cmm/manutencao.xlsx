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TR AGUARDANDO VISTORIA" sheetId="1" r:id="rId5"/>
    <sheet state="visible" name="VTR DESCARGA" sheetId="2" r:id="rId6"/>
    <sheet state="visible" name="VTR PRONTA" sheetId="3" r:id="rId7"/>
    <sheet state="visible" name="ESTATISTICA" sheetId="4" r:id="rId8"/>
  </sheets>
  <definedNames>
    <definedName hidden="1" localSheetId="0" name="_xlnm._FilterDatabase">'VTR AGUARDANDO VISTORIA'!$A$1:$Z$887</definedName>
    <definedName hidden="1" localSheetId="2" name="_xlnm._FilterDatabase">'VTR PRONTA'!$A$1:$K$1284</definedName>
  </definedNames>
  <calcPr/>
</workbook>
</file>

<file path=xl/sharedStrings.xml><?xml version="1.0" encoding="utf-8"?>
<sst xmlns="http://schemas.openxmlformats.org/spreadsheetml/2006/main" count="14964" uniqueCount="4974">
  <si>
    <t>OS</t>
  </si>
  <si>
    <t>PLACA</t>
  </si>
  <si>
    <t>ANO</t>
  </si>
  <si>
    <t>MARCA/MODELO</t>
  </si>
  <si>
    <t>UNIDADE</t>
  </si>
  <si>
    <t>PREFIXO</t>
  </si>
  <si>
    <t>DATA DE ENTRADA NA LINHA</t>
  </si>
  <si>
    <t>TEMPO PARADA</t>
  </si>
  <si>
    <t>PROBLEMA RELATADO</t>
  </si>
  <si>
    <t>DATA DE SAÍDA</t>
  </si>
  <si>
    <t>DESTINO</t>
  </si>
  <si>
    <t>KM</t>
  </si>
  <si>
    <t>17198</t>
  </si>
  <si>
    <t>DMM7139</t>
  </si>
  <si>
    <t>SPIN</t>
  </si>
  <si>
    <t>16º BPM/M</t>
  </si>
  <si>
    <t>M-16330</t>
  </si>
  <si>
    <t>GRAFISMO</t>
  </si>
  <si>
    <t>18164</t>
  </si>
  <si>
    <t>REV4E94</t>
  </si>
  <si>
    <t>CHEV/S10 LT DD4A</t>
  </si>
  <si>
    <t>CMB</t>
  </si>
  <si>
    <t>15-47</t>
  </si>
  <si>
    <t>• TROCA DOS QUATRO PNEUS 265/60R18. (REMANEJADOS).</t>
  </si>
  <si>
    <t>LIBERADO</t>
  </si>
  <si>
    <t>18244</t>
  </si>
  <si>
    <t>CFY5823</t>
  </si>
  <si>
    <t>TOYOTA/HILUX SW4 4X2SR</t>
  </si>
  <si>
    <t>APMTJ</t>
  </si>
  <si>
    <t>3-145</t>
  </si>
  <si>
    <t>AVALIAÇÃO PARA CONTRATAÇÃO</t>
  </si>
  <si>
    <t>CONTRATAÇÃO</t>
  </si>
  <si>
    <t>17202</t>
  </si>
  <si>
    <t>DJL9479</t>
  </si>
  <si>
    <t>XRE300</t>
  </si>
  <si>
    <t>26ºBPMM</t>
  </si>
  <si>
    <t>M-26482</t>
  </si>
  <si>
    <t>SINALIZADOR</t>
  </si>
  <si>
    <t>18405</t>
  </si>
  <si>
    <t>FPI3C61</t>
  </si>
  <si>
    <t>CHEV/TRAILBLAZER LT</t>
  </si>
  <si>
    <t>CAJ</t>
  </si>
  <si>
    <t>1-28</t>
  </si>
  <si>
    <t>• AVALIAÇÃO.
• AVALIAÇÃO..
• AVALIAÇÃO DEVOLUÇÃO SAF.
• INJEÇÃO ELETRÔNICA - RESET VIA SCANNER.
• INSPEÇÃO GERAL VTR - SEM NOVIDADES.
• AVALIAÇÃO DEVOLUÇÃO SAF.
• INJEÇÃO ELETRÔNICA - RESET VIA SCANNER.
• INSPEÇÃO GERAL VTR - SEM NOVIDADES.</t>
  </si>
  <si>
    <t>LINHA MECÂNICA
LIBERADO</t>
  </si>
  <si>
    <t>18163</t>
  </si>
  <si>
    <t>REV4E91</t>
  </si>
  <si>
    <t>DTIC</t>
  </si>
  <si>
    <t>15-49</t>
  </si>
  <si>
    <t>. TROCA DE DOIS PNEUS 265/60R18 (REMANEJAMENTO)</t>
  </si>
  <si>
    <t>17206</t>
  </si>
  <si>
    <t>CKH2F73</t>
  </si>
  <si>
    <t>TRAILBLAZER</t>
  </si>
  <si>
    <t>PMRG</t>
  </si>
  <si>
    <t>17-461</t>
  </si>
  <si>
    <t>TROCA DE PASTILHAS FREIO DIANT. REVISÃO ELETRICA</t>
  </si>
  <si>
    <t>MECÂNICA</t>
  </si>
  <si>
    <t>17208</t>
  </si>
  <si>
    <t>BYQ7C54</t>
  </si>
  <si>
    <t>TRAIBLAZER</t>
  </si>
  <si>
    <t>17-462</t>
  </si>
  <si>
    <t>TROCA PASTILHAS FREIO DIANTEIRAS</t>
  </si>
  <si>
    <t>17209</t>
  </si>
  <si>
    <t>FXS1E37</t>
  </si>
  <si>
    <t>EM PM</t>
  </si>
  <si>
    <t>1-80</t>
  </si>
  <si>
    <t>SETOR TÉCNICO</t>
  </si>
  <si>
    <t>18084</t>
  </si>
  <si>
    <t>SUF6A36</t>
  </si>
  <si>
    <t>VW/17.230 OD</t>
  </si>
  <si>
    <t>CMM</t>
  </si>
  <si>
    <t>7-47</t>
  </si>
  <si>
    <t xml:space="preserve">SOLDA DO ESCAPAMENTO </t>
  </si>
  <si>
    <t>17215</t>
  </si>
  <si>
    <t>EXN4482</t>
  </si>
  <si>
    <t>GOL</t>
  </si>
  <si>
    <t>26º BPM/I</t>
  </si>
  <si>
    <t>I-26340</t>
  </si>
  <si>
    <t>PERÍCIA</t>
  </si>
  <si>
    <t>17216</t>
  </si>
  <si>
    <t>EGI4246</t>
  </si>
  <si>
    <t>SW4</t>
  </si>
  <si>
    <t>CIPM</t>
  </si>
  <si>
    <t>15-17</t>
  </si>
  <si>
    <t>BORRACHARIA</t>
  </si>
  <si>
    <t>17217</t>
  </si>
  <si>
    <t>GBG9B73</t>
  </si>
  <si>
    <t>34º BPM/I</t>
  </si>
  <si>
    <t>I-34105</t>
  </si>
  <si>
    <t>17218</t>
  </si>
  <si>
    <t>FUQ0566</t>
  </si>
  <si>
    <t>38º BPM/M</t>
  </si>
  <si>
    <t>26-530</t>
  </si>
  <si>
    <t>17219</t>
  </si>
  <si>
    <t>CSP6C81</t>
  </si>
  <si>
    <t>GABCMTG</t>
  </si>
  <si>
    <t>1-44</t>
  </si>
  <si>
    <t>18387</t>
  </si>
  <si>
    <t>CUE7E86</t>
  </si>
  <si>
    <t>CMT GERAL</t>
  </si>
  <si>
    <t>15-74</t>
  </si>
  <si>
    <t>• TROCA DE DOIS PNEUS 265/60/18.
• ALINHAMENTO DE DIREÇÃO.
• BALANCEAMENTO DE RODAS.</t>
  </si>
  <si>
    <t>BORRACHARIA
LIBERADO</t>
  </si>
  <si>
    <t>17221</t>
  </si>
  <si>
    <t>CFY5F18</t>
  </si>
  <si>
    <t>HILUX</t>
  </si>
  <si>
    <t>EEF</t>
  </si>
  <si>
    <t>3-325</t>
  </si>
  <si>
    <t>VIATURA NÃO FUNCIONA (MOTOR)</t>
  </si>
  <si>
    <t>MECÂNICA/SINAL</t>
  </si>
  <si>
    <t>18413</t>
  </si>
  <si>
    <t>CJJ7F93</t>
  </si>
  <si>
    <t>1-61</t>
  </si>
  <si>
    <t>• AVALIAÇÃO PARA CONTRATAÇÃO.
• REVISÃO DOS 100 MIL/KM.</t>
  </si>
  <si>
    <t>LINHA MECÂNICA
CONTRATAÇÃO</t>
  </si>
  <si>
    <t>17223</t>
  </si>
  <si>
    <t>FEQ9H11</t>
  </si>
  <si>
    <t>25º BPM/M</t>
  </si>
  <si>
    <t>M-25171</t>
  </si>
  <si>
    <t>17225</t>
  </si>
  <si>
    <t>GGO3962</t>
  </si>
  <si>
    <t>EEF-004</t>
  </si>
  <si>
    <t>TROCA DE BATERIA E AS 3 PALHETAS</t>
  </si>
  <si>
    <t>17227</t>
  </si>
  <si>
    <t>GFO7I66</t>
  </si>
  <si>
    <t>SAF</t>
  </si>
  <si>
    <t>15-298</t>
  </si>
  <si>
    <t>TROCA BATERIA (REVISÃO FREIOS, FLUIDOS E FILTROS, OK)</t>
  </si>
  <si>
    <t>17229</t>
  </si>
  <si>
    <t>EEF9580</t>
  </si>
  <si>
    <t>COROLLA</t>
  </si>
  <si>
    <t>SENASP</t>
  </si>
  <si>
    <t>15-241</t>
  </si>
  <si>
    <t>TROCA DE BATERIA</t>
  </si>
  <si>
    <t>17231</t>
  </si>
  <si>
    <t>DJM8692</t>
  </si>
  <si>
    <t>CRUZE</t>
  </si>
  <si>
    <t>CMED</t>
  </si>
  <si>
    <t>15-114</t>
  </si>
  <si>
    <t>BATERIA, ARREFECIMENTO</t>
  </si>
  <si>
    <t>18061</t>
  </si>
  <si>
    <t>EDI2I97</t>
  </si>
  <si>
    <t>RENAULT/MASTER L2H2 MNPA</t>
  </si>
  <si>
    <t>C MED</t>
  </si>
  <si>
    <t>5-24</t>
  </si>
  <si>
    <t>• CARGA NA BATERIA.
• MUDANÇA DA INSTALAÇÃO DO RADIO OPERACIONAL NA BATERIA AUXILIAR.</t>
  </si>
  <si>
    <t>17233</t>
  </si>
  <si>
    <t>EEF8705</t>
  </si>
  <si>
    <t>S-10</t>
  </si>
  <si>
    <t>3-59</t>
  </si>
  <si>
    <t>TROCA DE BATERIA E REVISÃO ELÉTRICA</t>
  </si>
  <si>
    <t>17234</t>
  </si>
  <si>
    <t>DFL7906</t>
  </si>
  <si>
    <t>39ºBPMM</t>
  </si>
  <si>
    <t>M-39380</t>
  </si>
  <si>
    <t>17235</t>
  </si>
  <si>
    <t>DJL9246</t>
  </si>
  <si>
    <t>M-39381</t>
  </si>
  <si>
    <t>17237</t>
  </si>
  <si>
    <t>FRU3184</t>
  </si>
  <si>
    <t>DL</t>
  </si>
  <si>
    <t>22-523</t>
  </si>
  <si>
    <t>REAPERTO TERMINAL BATERIA</t>
  </si>
  <si>
    <t>17239</t>
  </si>
  <si>
    <t>BOT5I18</t>
  </si>
  <si>
    <t>LANDER</t>
  </si>
  <si>
    <t>19-2</t>
  </si>
  <si>
    <t>17240</t>
  </si>
  <si>
    <t>DJL1175</t>
  </si>
  <si>
    <t>DEC</t>
  </si>
  <si>
    <t>15-209</t>
  </si>
  <si>
    <t>18316</t>
  </si>
  <si>
    <t>FPF0B04</t>
  </si>
  <si>
    <t>EM/PM</t>
  </si>
  <si>
    <t>1-81</t>
  </si>
  <si>
    <t>. TROCA DA LAMPADA H7</t>
  </si>
  <si>
    <t>17242</t>
  </si>
  <si>
    <t>GCP4F05</t>
  </si>
  <si>
    <t>1-84</t>
  </si>
  <si>
    <t>TROCA DO PARA-BRISA COM GUARNIÇÃO, APLICAÇÃO DE PELÍCULA INSULFILM NO PARA-BRISA, TROCA DAS LAMPADAS DE MEIA-LUZ E LANTERNA TRAZEIRA (LED).</t>
  </si>
  <si>
    <t>18057</t>
  </si>
  <si>
    <t>FNA3823</t>
  </si>
  <si>
    <t>CHEV/SPIN 1.8L MT LT</t>
  </si>
  <si>
    <t>COPOM</t>
  </si>
  <si>
    <t>22-296</t>
  </si>
  <si>
    <t>REPAROS NO CHICOTE E TROCA DE RELE AUXILIAR</t>
  </si>
  <si>
    <t>17244</t>
  </si>
  <si>
    <t>EEF8992</t>
  </si>
  <si>
    <t>SPACEFOX</t>
  </si>
  <si>
    <t>22-69</t>
  </si>
  <si>
    <t>BATERIA, SENSOR DO ACELERADOR.</t>
  </si>
  <si>
    <t>17245</t>
  </si>
  <si>
    <t>EEF9606</t>
  </si>
  <si>
    <t>1-168</t>
  </si>
  <si>
    <t>TROCA PARA-BARROS LD E LE, LENTES FAROIS DE NEBLINA, MAÇANETA PORTA TRAZ LD</t>
  </si>
  <si>
    <t>17246</t>
  </si>
  <si>
    <t>FTI7A82</t>
  </si>
  <si>
    <t>DUSTER</t>
  </si>
  <si>
    <t>50ºBPMI</t>
  </si>
  <si>
    <t>I-50248</t>
  </si>
  <si>
    <t>17247</t>
  </si>
  <si>
    <t>EYK7132</t>
  </si>
  <si>
    <t>47ºBPMI</t>
  </si>
  <si>
    <t>I-47616</t>
  </si>
  <si>
    <t>17248</t>
  </si>
  <si>
    <t>FQB5482</t>
  </si>
  <si>
    <t>COBALT</t>
  </si>
  <si>
    <t>APMAL</t>
  </si>
  <si>
    <t>15-203</t>
  </si>
  <si>
    <t>CONTRATAÇÃO CONFORME OFÍCIO</t>
  </si>
  <si>
    <t>17249</t>
  </si>
  <si>
    <t>GCI9C06</t>
  </si>
  <si>
    <t>13º BPM/M</t>
  </si>
  <si>
    <t>M-13019</t>
  </si>
  <si>
    <t>17252</t>
  </si>
  <si>
    <t>GJT3D63</t>
  </si>
  <si>
    <t>15-299</t>
  </si>
  <si>
    <t>REISADA</t>
  </si>
  <si>
    <t>17253</t>
  </si>
  <si>
    <t>EDI3478</t>
  </si>
  <si>
    <t>MUSEU PM</t>
  </si>
  <si>
    <t>15-236</t>
  </si>
  <si>
    <t>TROCA DO ESCAPAMENTO COMPLETO (REMANEJADO), TESTE DE BATERIA, ALTERNADOR E MOTOR DE ARRANQUE</t>
  </si>
  <si>
    <t>17255</t>
  </si>
  <si>
    <t>FRP1496</t>
  </si>
  <si>
    <t>DSACG</t>
  </si>
  <si>
    <t>22-801</t>
  </si>
  <si>
    <t>RECARGA NA BATERIA, REPARO NO CHICOTE DA COLUNA ELÉTRICA DE DIREÇÃO</t>
  </si>
  <si>
    <t>17257</t>
  </si>
  <si>
    <t>GBC8430</t>
  </si>
  <si>
    <t>22-979</t>
  </si>
  <si>
    <t>CONSTATADO QUEBRA PRECOCE DO BRAÇO DA SUSPENSÃO LADO DIREITO, OCASIONANDO BARULHO NA SUSPENSÃO, VTR ENCAMINHADA PARA O SETOR TÉCNICO PARA APURAÇÃO DE POSSÍVEL RESPONSABILIDADE DE CAUSA</t>
  </si>
  <si>
    <t>002/26</t>
  </si>
  <si>
    <t>FGV1B53</t>
  </si>
  <si>
    <t>CACTUS</t>
  </si>
  <si>
    <t>APMSSP</t>
  </si>
  <si>
    <t>S/PREFIXO</t>
  </si>
  <si>
    <t>18221</t>
  </si>
  <si>
    <t>CUJ9C77</t>
  </si>
  <si>
    <t>GM /TRAILBLAZER</t>
  </si>
  <si>
    <t>DPCDH</t>
  </si>
  <si>
    <t>1-48</t>
  </si>
  <si>
    <t>EM EXECUÇÃO
TROCA DOS DISCOS DE FREIO DIANTEIRO
• PASTILHAS DE FREIO - DIANTEIRAS E TRASEIRAS
• FLUÍDO DE FREIO DOT-4
TROCA DOS DISCOS DE FREIO DIANTEIRO
• PASTILHAS DE FREIO - DIANTEIRAS E TRASEIRAS
• FLUÍDO DE FREIO DOT-4</t>
  </si>
  <si>
    <t>18169</t>
  </si>
  <si>
    <t>EXL5G73</t>
  </si>
  <si>
    <t>CHEV/SPIN 18L AT PREMIER</t>
  </si>
  <si>
    <t>22-127</t>
  </si>
  <si>
    <t>DOCUMENTOS AO SETOR</t>
  </si>
  <si>
    <t>EM ATENDIMENTO</t>
  </si>
  <si>
    <t>17976</t>
  </si>
  <si>
    <t>EEF9594</t>
  </si>
  <si>
    <t>TOYOTA/COROLLA XEI20FLEX</t>
  </si>
  <si>
    <t>15-274</t>
  </si>
  <si>
    <t>• REPARO DAS PINÇAS DE FEIO DIANTEIRAS.</t>
  </si>
  <si>
    <t>17260</t>
  </si>
  <si>
    <t>GIX7J12</t>
  </si>
  <si>
    <t>RANGER</t>
  </si>
  <si>
    <t>1ºBPTRAN</t>
  </si>
  <si>
    <t>T-01006</t>
  </si>
  <si>
    <t>17261</t>
  </si>
  <si>
    <t>DBM7437</t>
  </si>
  <si>
    <t>22-958</t>
  </si>
  <si>
    <t>TROCA DA BATERIA E REPROGRAMAÇÃO DO ALARME</t>
  </si>
  <si>
    <t>17263</t>
  </si>
  <si>
    <t>FPP0711</t>
  </si>
  <si>
    <t>15ºBAEP</t>
  </si>
  <si>
    <t>E-15107</t>
  </si>
  <si>
    <t>17264</t>
  </si>
  <si>
    <t>DFL0941</t>
  </si>
  <si>
    <t>XRE 300</t>
  </si>
  <si>
    <t>19-312</t>
  </si>
  <si>
    <t>17267</t>
  </si>
  <si>
    <t>CUH0708</t>
  </si>
  <si>
    <t>8-347</t>
  </si>
  <si>
    <t>PASTILHAS DE FREIO, CORREIA DENTADA, TENSOR DA CORREIA DENTADA, CORREIA DE SERVIÇO, VELAS DE IGNIÇÃO, CABOS DAS VELAS, LÂMAPADA DO FAROL DE MILHA ESQUERDO, LÂMPADA DA LUZ DE PLACA, LIMPEZA DOS BICOS INJETORES, LIMPEZA DO TBI .</t>
  </si>
  <si>
    <t>17269</t>
  </si>
  <si>
    <t>FSK7861</t>
  </si>
  <si>
    <t>DSA/CG</t>
  </si>
  <si>
    <t>22-892</t>
  </si>
  <si>
    <t>AVALIADO SISTEMA DE ARREFECIMENTO, CONSTATADO QUEIMA DA JUNTA DO CABEÇOTE POR SUPERAQUECIMENTO, VTR ENCAMINHADA PARA O SETOR TÉCNICO PARA APURAÇÃO DE POSSÍVEL RESPONSABILIDADE</t>
  </si>
  <si>
    <t>003/26</t>
  </si>
  <si>
    <t>FPO8J31</t>
  </si>
  <si>
    <t>C.CROSS</t>
  </si>
  <si>
    <t>22-110</t>
  </si>
  <si>
    <t>RECARGA DE BATERIA</t>
  </si>
  <si>
    <t>17271</t>
  </si>
  <si>
    <t>DKK4127</t>
  </si>
  <si>
    <t>22-121</t>
  </si>
  <si>
    <t>REVISÃO SUSPENSÃO, BATERIA, ALTERNADOR, LIQUIDO ARREFECIMENTO BAIXANDO.</t>
  </si>
  <si>
    <t>17272</t>
  </si>
  <si>
    <t>18137</t>
  </si>
  <si>
    <t>FXK8J56</t>
  </si>
  <si>
    <t>GM/TRAILBLAZER</t>
  </si>
  <si>
    <t>CPI-6</t>
  </si>
  <si>
    <t>E-02102</t>
  </si>
  <si>
    <t>TROCA DE SINALIZADORES</t>
  </si>
  <si>
    <t>17274</t>
  </si>
  <si>
    <t>TROCA LAMPADA LUZ DE CIDADE LE, LAMPADA DE PLACA LE, PALHETAS LIMPADOR DE PARA-BRISA</t>
  </si>
  <si>
    <t>17275</t>
  </si>
  <si>
    <t>PASTILHAS DE FREIO, REGULAGEM NO FREIO DE ESTACION AMENTO, REPARO NOS FEIXE DE MOLA, REAPERTO E LUBRIFICAÇÃO NA SUSPEN~SAO DAINBTEIRA E REAPERTO NO BANCO DO PASSAGEIRO</t>
  </si>
  <si>
    <t>17276</t>
  </si>
  <si>
    <t>GHK0550</t>
  </si>
  <si>
    <t>XT660</t>
  </si>
  <si>
    <t>2ºBPTRAN</t>
  </si>
  <si>
    <t>T-02219-11</t>
  </si>
  <si>
    <t>17277</t>
  </si>
  <si>
    <t>DAT0J94</t>
  </si>
  <si>
    <t>13ºBPMM</t>
  </si>
  <si>
    <t>M-13015</t>
  </si>
  <si>
    <t>17279</t>
  </si>
  <si>
    <t>FYV8G25</t>
  </si>
  <si>
    <t>12º BPM/I</t>
  </si>
  <si>
    <t>I-12013</t>
  </si>
  <si>
    <t>17281</t>
  </si>
  <si>
    <t>BYP0J41</t>
  </si>
  <si>
    <t>7º BAEP</t>
  </si>
  <si>
    <t>E-07221</t>
  </si>
  <si>
    <t>17282</t>
  </si>
  <si>
    <t>GGR8B15</t>
  </si>
  <si>
    <t>CCOMSOC</t>
  </si>
  <si>
    <t>3-186</t>
  </si>
  <si>
    <t>TROCA DAS PASTILHAS DE FREIO DIANTEIRO E TRASEIRO, TROCA DOS DISCOS DE FREIO DIANTEIRO</t>
  </si>
  <si>
    <t>17283</t>
  </si>
  <si>
    <t>DJM8728</t>
  </si>
  <si>
    <t>FIORINO</t>
  </si>
  <si>
    <t>8-334</t>
  </si>
  <si>
    <t>BOBINA ( REMANEJADA) PNEUS E LANTERNA TRASEIRA DIREITA ( REMANEJADA)</t>
  </si>
  <si>
    <t>17285</t>
  </si>
  <si>
    <t>GEU9219</t>
  </si>
  <si>
    <t>2º BPTRAN</t>
  </si>
  <si>
    <t>T-02153</t>
  </si>
  <si>
    <t>17287</t>
  </si>
  <si>
    <t>ESE7016</t>
  </si>
  <si>
    <t>HD</t>
  </si>
  <si>
    <t>14-52</t>
  </si>
  <si>
    <t>17288</t>
  </si>
  <si>
    <t>FPT9F57</t>
  </si>
  <si>
    <t>ESSD</t>
  </si>
  <si>
    <t>1-45</t>
  </si>
  <si>
    <t>TROCA DE BATERIA E LAMPADA DE 1 POLO (FREIO)</t>
  </si>
  <si>
    <t>17289</t>
  </si>
  <si>
    <t>FIP0I47</t>
  </si>
  <si>
    <t>1-49</t>
  </si>
  <si>
    <t>REVISÃO NOS FREIOS, TROCA DE FLUIDO DE FREIO, TROCA DOS AMORT DIANT E TRAS COM BATENTES E BUCHAS, TROCA  DO FILTRO DE AR DA CABINE E HIGIENIZAÇÃO, TROCA DO ÓLEO DO MOTOR, REVISÃO NO SIST DE ILUMINAÇÃO, CONTRATAÇÃO DE SERVIÇOS.</t>
  </si>
  <si>
    <t>17290</t>
  </si>
  <si>
    <t>BVT6566</t>
  </si>
  <si>
    <t>22º BPM/M</t>
  </si>
  <si>
    <t>M-22225</t>
  </si>
  <si>
    <t>18058</t>
  </si>
  <si>
    <t>FXL0F73</t>
  </si>
  <si>
    <t>GAB CMT G</t>
  </si>
  <si>
    <t>1-2</t>
  </si>
  <si>
    <t>TROCA DO ÓLEO DE TRANSMISSÃO.</t>
  </si>
  <si>
    <t>17293</t>
  </si>
  <si>
    <t>FNE8D96</t>
  </si>
  <si>
    <t>M-38113</t>
  </si>
  <si>
    <t>17294</t>
  </si>
  <si>
    <t>DJM8130</t>
  </si>
  <si>
    <t>HILUX SW4</t>
  </si>
  <si>
    <t>38ºBPMM</t>
  </si>
  <si>
    <t>3-158</t>
  </si>
  <si>
    <t>TROCA DOS AMORTECEDORES TRAZEIROS (TROUXERAM OS AORTECEDORES)</t>
  </si>
  <si>
    <t>17295</t>
  </si>
  <si>
    <t>BSY1D71</t>
  </si>
  <si>
    <t>17-75</t>
  </si>
  <si>
    <t>TROCA DA BATERIA, LAMPADA H4 LE, 2X LAMPADA PINGÃO TRAZ.</t>
  </si>
  <si>
    <t>CMW7395</t>
  </si>
  <si>
    <t>VECTRA</t>
  </si>
  <si>
    <t>COORD OP PM</t>
  </si>
  <si>
    <t>15-150</t>
  </si>
  <si>
    <t>AGUARDARDANDO DETERMINAÇÃO SUPERIOR</t>
  </si>
  <si>
    <t>16:16</t>
  </si>
  <si>
    <t>DLF0478</t>
  </si>
  <si>
    <t>10º BPM/M</t>
  </si>
  <si>
    <t>M-10382</t>
  </si>
  <si>
    <t>17297</t>
  </si>
  <si>
    <t>EEF9093</t>
  </si>
  <si>
    <t>8-364</t>
  </si>
  <si>
    <t>TROCA DA LÂMPADA DO FAROL BAIXO L.D., LÂMPADA DA LANTERNA DIANT. L.E., LÂMPAFDA LANTERNA TRAS. L.D.</t>
  </si>
  <si>
    <t>18098</t>
  </si>
  <si>
    <t>EPA2765</t>
  </si>
  <si>
    <t>22-375</t>
  </si>
  <si>
    <t>• ANALISE DO MOTOR DE ARRANQUE, EFETUADO CARGA NA BATERIA, COLOCADO BATERIA NOVA, ENCAMINHADO PARA BORRACHARIA TROCA DE PNEUS DIANTEIROS</t>
  </si>
  <si>
    <t>17299</t>
  </si>
  <si>
    <t>EZP6J36</t>
  </si>
  <si>
    <t>36º BPM/M</t>
  </si>
  <si>
    <t>M-36400</t>
  </si>
  <si>
    <t>17300</t>
  </si>
  <si>
    <t>CMW7378</t>
  </si>
  <si>
    <t>15-140</t>
  </si>
  <si>
    <t>REVISÃO DE DEVOLUÇÃO, SUSPENSÃO ESQUERDA</t>
  </si>
  <si>
    <t>17302</t>
  </si>
  <si>
    <t>CMW8260</t>
  </si>
  <si>
    <t>15-194</t>
  </si>
  <si>
    <t>17305</t>
  </si>
  <si>
    <t>DJM8693</t>
  </si>
  <si>
    <t>8-50</t>
  </si>
  <si>
    <t>VTR NÃO LIGA, ARREFECIMENTO</t>
  </si>
  <si>
    <t>17306</t>
  </si>
  <si>
    <t>COORDOP</t>
  </si>
  <si>
    <t>15-50</t>
  </si>
  <si>
    <t>BATERIA, UNIDADE NÃO QUER A VTR</t>
  </si>
  <si>
    <t>004/26</t>
  </si>
  <si>
    <t>SSN5B73</t>
  </si>
  <si>
    <t>YARIS</t>
  </si>
  <si>
    <t>CAPS</t>
  </si>
  <si>
    <t>15-338</t>
  </si>
  <si>
    <t>MECANICA</t>
  </si>
  <si>
    <t>17307</t>
  </si>
  <si>
    <t>FPK6J63</t>
  </si>
  <si>
    <t>37ºBPMM</t>
  </si>
  <si>
    <t>M-37330</t>
  </si>
  <si>
    <t>17309</t>
  </si>
  <si>
    <t>DAM9373</t>
  </si>
  <si>
    <t>22-726</t>
  </si>
  <si>
    <t xml:space="preserve">TROCADO BATERIA NOVA </t>
  </si>
  <si>
    <t>18267</t>
  </si>
  <si>
    <t>FNX4A94</t>
  </si>
  <si>
    <t>DP</t>
  </si>
  <si>
    <t>1-47</t>
  </si>
  <si>
    <t>. REVISÃO ELÉTRICA
. TROCA DO RELÉ (ARPE RA1012-150A)
• TROCA LÂMPADA DE PLACA
• TROCA LÂMPADA DE FREIO</t>
  </si>
  <si>
    <t>17788</t>
  </si>
  <si>
    <t>CFY5G42</t>
  </si>
  <si>
    <t>3-438</t>
  </si>
  <si>
    <t>• REAPARO PNEU.</t>
  </si>
  <si>
    <t>17313</t>
  </si>
  <si>
    <t>DJP1232</t>
  </si>
  <si>
    <t>ONIBUS</t>
  </si>
  <si>
    <t>7-44</t>
  </si>
  <si>
    <t>17315</t>
  </si>
  <si>
    <t>17316</t>
  </si>
  <si>
    <t>FKP4B86</t>
  </si>
  <si>
    <t>CPAM-6</t>
  </si>
  <si>
    <t>M-24139</t>
  </si>
  <si>
    <t>17317</t>
  </si>
  <si>
    <t>TROCA PASTILHAS DE FREIO DIANTEIRAS E TRAZEIRAS, REGULAGEM FREIO DE ESTACIONAMENTO</t>
  </si>
  <si>
    <t>17318</t>
  </si>
  <si>
    <t>FEE9416</t>
  </si>
  <si>
    <t>1º BPTRAN</t>
  </si>
  <si>
    <t>T-01230</t>
  </si>
  <si>
    <t>17320</t>
  </si>
  <si>
    <t>CEN0F64</t>
  </si>
  <si>
    <t>APMPMSP</t>
  </si>
  <si>
    <t>1-55</t>
  </si>
  <si>
    <t>TROCA DA BATERIA PRINCIPAL, REVISÃO ELÉTRICA</t>
  </si>
  <si>
    <t>17321</t>
  </si>
  <si>
    <t>EVU9I84</t>
  </si>
  <si>
    <t>MASTER</t>
  </si>
  <si>
    <t>5-20</t>
  </si>
  <si>
    <t>17322</t>
  </si>
  <si>
    <t>EXG5625</t>
  </si>
  <si>
    <t>SIENA</t>
  </si>
  <si>
    <t>GAB CMT GERAL</t>
  </si>
  <si>
    <t>15-195</t>
  </si>
  <si>
    <t>TROCA LAMPADAS</t>
  </si>
  <si>
    <t>005/26</t>
  </si>
  <si>
    <t>ELABORADO CHECK-LIST PARA CONTRATAÇÃO</t>
  </si>
  <si>
    <t>006/26</t>
  </si>
  <si>
    <t>SVL1C19</t>
  </si>
  <si>
    <t>CMIL</t>
  </si>
  <si>
    <t>22-88</t>
  </si>
  <si>
    <t>17324</t>
  </si>
  <si>
    <t>EYN7B54</t>
  </si>
  <si>
    <t>8-411</t>
  </si>
  <si>
    <t>TROCA ÓLEO DE CAMBIO</t>
  </si>
  <si>
    <t>17325</t>
  </si>
  <si>
    <t>FDU1J53</t>
  </si>
  <si>
    <t>MOBI</t>
  </si>
  <si>
    <t>8-1124</t>
  </si>
  <si>
    <t>CORREIA DENTADA E SUSPENSÃO</t>
  </si>
  <si>
    <t>17326</t>
  </si>
  <si>
    <t>GBI1J86</t>
  </si>
  <si>
    <t>8-1039</t>
  </si>
  <si>
    <t>17327</t>
  </si>
  <si>
    <t>CMW8115</t>
  </si>
  <si>
    <t xml:space="preserve">COPOM </t>
  </si>
  <si>
    <t>15-121</t>
  </si>
  <si>
    <t>18188</t>
  </si>
  <si>
    <t>EEF8673</t>
  </si>
  <si>
    <t>15-255</t>
  </si>
  <si>
    <t>TROCA DE ÓLEO
• TROCA DO FILTRO DE AR
• TROCA DE FILTRO COMBUSTÍVEL
• TROCA DE FILTRO DE CABINE
• TROCA DE FILTRO DE ÓLEO
• DESODORIZAÇÃO DO AR CONDICIONADO</t>
  </si>
  <si>
    <t>17330</t>
  </si>
  <si>
    <t>GIX9J12</t>
  </si>
  <si>
    <t>CPAM-1</t>
  </si>
  <si>
    <t>M-07102</t>
  </si>
  <si>
    <t>17333</t>
  </si>
  <si>
    <t>GHV5744</t>
  </si>
  <si>
    <t>36º BPM/I</t>
  </si>
  <si>
    <t>3-791</t>
  </si>
  <si>
    <t>17334</t>
  </si>
  <si>
    <t>EQV8A52</t>
  </si>
  <si>
    <t>1-22</t>
  </si>
  <si>
    <t>LAMPADAS FAROL/LANTERNA</t>
  </si>
  <si>
    <t>18323</t>
  </si>
  <si>
    <t>GHK0D92</t>
  </si>
  <si>
    <t>1-10</t>
  </si>
  <si>
    <t>• TROCA DE BATERIA.</t>
  </si>
  <si>
    <t>17336</t>
  </si>
  <si>
    <t>FJC1F92</t>
  </si>
  <si>
    <t>1-40</t>
  </si>
  <si>
    <t xml:space="preserve">TROCA DOS BRAÇOS SUPERIORES DA SUSPENSÃO DIANTEIRA COM PIVÔS, BIELETAS DIANTEIRAS, PASTILHAS DO FREIO DIANTEIRO E TRASEIRO, BUCHAS DA BARRA ESTABILIZADORA DIANTEIRA, LÂMPADAS DOS FARÓIS DE MILHA, FILTRO DE CABINE, DESODORIZAÇÃO DO AR CONDICIONADO, PALHETAS DO LIMPADOR DE PARABRISA DIANTEIRO, ENCAMINAHADO PARA SETOR DE BORRACHARIA PARA TROCA DOS PNEUS, ALINHAMENTO E BALANCEAMENTO  </t>
  </si>
  <si>
    <t>18083</t>
  </si>
  <si>
    <t>SVM1F60</t>
  </si>
  <si>
    <t>7-46</t>
  </si>
  <si>
    <t>AFERIR TACOGRAFO</t>
  </si>
  <si>
    <t>17342</t>
  </si>
  <si>
    <t>GIX2A70</t>
  </si>
  <si>
    <t>14ºBPMM</t>
  </si>
  <si>
    <t>M-14490</t>
  </si>
  <si>
    <t>17343</t>
  </si>
  <si>
    <t>GJI7729</t>
  </si>
  <si>
    <t>M-14491</t>
  </si>
  <si>
    <t>17344</t>
  </si>
  <si>
    <t>DLF7132</t>
  </si>
  <si>
    <t>SPRINTER</t>
  </si>
  <si>
    <t>M-26490</t>
  </si>
  <si>
    <t>17345</t>
  </si>
  <si>
    <t>DJM5F02</t>
  </si>
  <si>
    <t>35ºBPMM</t>
  </si>
  <si>
    <t>M-35012</t>
  </si>
  <si>
    <t>17346</t>
  </si>
  <si>
    <t>GDX0748</t>
  </si>
  <si>
    <t>3-531</t>
  </si>
  <si>
    <t>17347</t>
  </si>
  <si>
    <t>CUN4J47</t>
  </si>
  <si>
    <t>M-14027-11</t>
  </si>
  <si>
    <t>17348</t>
  </si>
  <si>
    <t>BYY8C94</t>
  </si>
  <si>
    <t>M-14036-11</t>
  </si>
  <si>
    <t>17349</t>
  </si>
  <si>
    <t>CII9A46</t>
  </si>
  <si>
    <t>CMT G</t>
  </si>
  <si>
    <t>CMTG-001</t>
  </si>
  <si>
    <t>BATERIA</t>
  </si>
  <si>
    <t>18230</t>
  </si>
  <si>
    <t>FZQ1065</t>
  </si>
  <si>
    <t>TOYOTA/HILUX SW4</t>
  </si>
  <si>
    <t>15-22</t>
  </si>
  <si>
    <t>. ALINHAMENTO DE DIREÇÃO
• BALANCEAMENTO DE RODAS</t>
  </si>
  <si>
    <t>17352</t>
  </si>
  <si>
    <t>17353</t>
  </si>
  <si>
    <t>TROCA DAS PALHETAS DO LIMPADOR DIANTEIRO, INSTALAÇÃO DO FILTRO DE CABINE, DESODORIZAÇÃO</t>
  </si>
  <si>
    <t>17354</t>
  </si>
  <si>
    <t>EEF9056</t>
  </si>
  <si>
    <t>8-125</t>
  </si>
  <si>
    <t>17356</t>
  </si>
  <si>
    <t>FZU7G05</t>
  </si>
  <si>
    <t xml:space="preserve">CORREG PM </t>
  </si>
  <si>
    <t>8-1071</t>
  </si>
  <si>
    <t>17537</t>
  </si>
  <si>
    <t>FYD0546</t>
  </si>
  <si>
    <t>• AVALIAÇÃO PARA CONTRATAÇÃO.</t>
  </si>
  <si>
    <t>008/26</t>
  </si>
  <si>
    <t>SSV3G89</t>
  </si>
  <si>
    <t>9ºBPMM</t>
  </si>
  <si>
    <t>M-09233</t>
  </si>
  <si>
    <t>009/26</t>
  </si>
  <si>
    <t>SWA3C48</t>
  </si>
  <si>
    <t>M-09238</t>
  </si>
  <si>
    <t>17358</t>
  </si>
  <si>
    <t>CFY5870</t>
  </si>
  <si>
    <t>CMM/SAT</t>
  </si>
  <si>
    <t>7-1</t>
  </si>
  <si>
    <t>17359</t>
  </si>
  <si>
    <t>TROCA DA LÂMPADA DA LANTERNA TRASEIRA ESQUERDA E LUZ DE PLACA</t>
  </si>
  <si>
    <t>17362</t>
  </si>
  <si>
    <t>FCQ1D26</t>
  </si>
  <si>
    <t>25ºBPMM</t>
  </si>
  <si>
    <t>M-25115</t>
  </si>
  <si>
    <t>17363</t>
  </si>
  <si>
    <t>BTZ8992</t>
  </si>
  <si>
    <t>18ºBPMM</t>
  </si>
  <si>
    <t>M-18320</t>
  </si>
  <si>
    <t>18419</t>
  </si>
  <si>
    <t>FVQ8977</t>
  </si>
  <si>
    <t>YAMAHA/XT 660</t>
  </si>
  <si>
    <t>T-02121-11</t>
  </si>
  <si>
    <t>GRAFISMO TROCA DE PREFIXOS  T-02121-11 PARA M-12054-11.</t>
  </si>
  <si>
    <t>17367</t>
  </si>
  <si>
    <t>TROCA DE LAMPADA</t>
  </si>
  <si>
    <t>17368</t>
  </si>
  <si>
    <t>DMF3350</t>
  </si>
  <si>
    <t>C COM SOC</t>
  </si>
  <si>
    <t>15-240</t>
  </si>
  <si>
    <t>SENSOR NÍVEL COMBUSTÍVEL</t>
  </si>
  <si>
    <t>18122</t>
  </si>
  <si>
    <t>EEF8703</t>
  </si>
  <si>
    <t>15-205</t>
  </si>
  <si>
    <t>17370</t>
  </si>
  <si>
    <t>FRG4A66</t>
  </si>
  <si>
    <t>PULSE</t>
  </si>
  <si>
    <t>8-1172</t>
  </si>
  <si>
    <t>ALAVANCA DE FREIO DE ESTACIONAMENTO</t>
  </si>
  <si>
    <t>17371</t>
  </si>
  <si>
    <t>GGA2D01</t>
  </si>
  <si>
    <t>5-22</t>
  </si>
  <si>
    <t>17372</t>
  </si>
  <si>
    <t>GCQ3999</t>
  </si>
  <si>
    <t>4ºBPMM</t>
  </si>
  <si>
    <t>26-388</t>
  </si>
  <si>
    <t>17373</t>
  </si>
  <si>
    <t>FVO8F54</t>
  </si>
  <si>
    <t>1-29</t>
  </si>
  <si>
    <t>REVISÃO</t>
  </si>
  <si>
    <t>17374</t>
  </si>
  <si>
    <t>DKZ3306</t>
  </si>
  <si>
    <t>22-12</t>
  </si>
  <si>
    <t>FREIO/ TRAVAMENTO DA RODA TRASEIRA ESQUERDA/ FALHA NA INJEÇÃO</t>
  </si>
  <si>
    <t>17376</t>
  </si>
  <si>
    <t>FET3F76</t>
  </si>
  <si>
    <t>APMCMSP</t>
  </si>
  <si>
    <t>15-208</t>
  </si>
  <si>
    <t>TROCA DA BATERIA, TROCA 04 PNEUS ALINHAMENTO E BALANCEAMENTO</t>
  </si>
  <si>
    <t>17378</t>
  </si>
  <si>
    <t>SVS8A45</t>
  </si>
  <si>
    <t>21ºBPMI</t>
  </si>
  <si>
    <t>M-43021</t>
  </si>
  <si>
    <t>17379</t>
  </si>
  <si>
    <t>DZZ4368</t>
  </si>
  <si>
    <t>M-25111</t>
  </si>
  <si>
    <t>17383</t>
  </si>
  <si>
    <t>FFO5267</t>
  </si>
  <si>
    <t>DUCATO</t>
  </si>
  <si>
    <t>CPAMB</t>
  </si>
  <si>
    <t>A-01012</t>
  </si>
  <si>
    <t>17384</t>
  </si>
  <si>
    <t>REPARO NA SUSPENSÃO TRASEIRA</t>
  </si>
  <si>
    <t>18166</t>
  </si>
  <si>
    <t>FYB4G23</t>
  </si>
  <si>
    <t>CHEV/TRAILBLAZER</t>
  </si>
  <si>
    <t>CAVPM</t>
  </si>
  <si>
    <t>1-64</t>
  </si>
  <si>
    <t>TROCA DA LAMPADA TRASEIRA DIREITA
• TROCA DE OLEO.</t>
  </si>
  <si>
    <t>17386</t>
  </si>
  <si>
    <t>FVV0689</t>
  </si>
  <si>
    <t>8-747</t>
  </si>
  <si>
    <t>SUSPENSÃO COMPLETA DIANT. E TRAS., CORREIA DENTADA E CORREIA DO ALTERNADOR, TENSORES DAS CORREIAS, BOMBA D'AGUA, RESERVATÓRIO DE EXPANSÃO COM TAMPA, VÁLVILA TERMPSTÁTICA COM CARCAÇA, TROCA DE ÓELO E FILTROS, DESODORIZAÇÃO DO AR CONDICIONADO</t>
  </si>
  <si>
    <t>011/26</t>
  </si>
  <si>
    <t>SWZ0J72</t>
  </si>
  <si>
    <t>33º BPM/M</t>
  </si>
  <si>
    <t>M-33452</t>
  </si>
  <si>
    <t>11:21</t>
  </si>
  <si>
    <t>CNI9D64</t>
  </si>
  <si>
    <t>17-77</t>
  </si>
  <si>
    <t>17389</t>
  </si>
  <si>
    <t>TROCA DA LÂMPADA DO FAROL DE NEBLINA ESQUERDO, TROCA DAS PALHETAS DO LIMPADOR DIANTEIRO, ELEBORAÇÃO DE CHECK-LIST PARA CONTRATAÇÃO COM O VEÍCULO OPERANDO</t>
  </si>
  <si>
    <t>17390</t>
  </si>
  <si>
    <t>17391</t>
  </si>
  <si>
    <t>CFZ3D41</t>
  </si>
  <si>
    <t>6º BPM/M</t>
  </si>
  <si>
    <t>M-06036</t>
  </si>
  <si>
    <t>17392</t>
  </si>
  <si>
    <t>BZF4J36</t>
  </si>
  <si>
    <t>37º BPM/M</t>
  </si>
  <si>
    <t>M-07004-11</t>
  </si>
  <si>
    <t xml:space="preserve">SINALIZADOR </t>
  </si>
  <si>
    <t>17393</t>
  </si>
  <si>
    <t>ESQ2G82</t>
  </si>
  <si>
    <t>M-37495</t>
  </si>
  <si>
    <t>17394</t>
  </si>
  <si>
    <t>DLF3092</t>
  </si>
  <si>
    <t>19º BPM/I</t>
  </si>
  <si>
    <t>I-19003-11</t>
  </si>
  <si>
    <t>17396</t>
  </si>
  <si>
    <t>DJM9031</t>
  </si>
  <si>
    <t>3-282</t>
  </si>
  <si>
    <t>REPARO NO FUSÍVEL DA BATERIA</t>
  </si>
  <si>
    <t>17398</t>
  </si>
  <si>
    <t>REVISÃO GERAL</t>
  </si>
  <si>
    <t>18144</t>
  </si>
  <si>
    <t>GAA3247</t>
  </si>
  <si>
    <t>CHEV/S10 LT FD2</t>
  </si>
  <si>
    <t>3-11</t>
  </si>
  <si>
    <t>REPARO PNEU DIANTEIRO ESQUERDO</t>
  </si>
  <si>
    <t>17400</t>
  </si>
  <si>
    <t>EEF9227</t>
  </si>
  <si>
    <t>T-00058 / 3-238</t>
  </si>
  <si>
    <t>TROCA DE BATERIA E INSTALAÇÃO DE RELE</t>
  </si>
  <si>
    <t>MEC/GRAF</t>
  </si>
  <si>
    <t>012/26</t>
  </si>
  <si>
    <t>TJG8F06</t>
  </si>
  <si>
    <t>9º BPM/M - CPC</t>
  </si>
  <si>
    <t>M-09373</t>
  </si>
  <si>
    <t>17401</t>
  </si>
  <si>
    <t>EXU6J24</t>
  </si>
  <si>
    <t>M-10517</t>
  </si>
  <si>
    <t>17402</t>
  </si>
  <si>
    <t>EOA0C53</t>
  </si>
  <si>
    <t>48º BPM/M</t>
  </si>
  <si>
    <t>M-48388</t>
  </si>
  <si>
    <t>17403</t>
  </si>
  <si>
    <t>FSP6A64</t>
  </si>
  <si>
    <t>M-48387</t>
  </si>
  <si>
    <t>17404</t>
  </si>
  <si>
    <t>EEF9587</t>
  </si>
  <si>
    <t>CPI-9</t>
  </si>
  <si>
    <t>15-221</t>
  </si>
  <si>
    <t>17405</t>
  </si>
  <si>
    <t>FYT6183</t>
  </si>
  <si>
    <t>30º BPM/M</t>
  </si>
  <si>
    <t>M-30117</t>
  </si>
  <si>
    <t>17406</t>
  </si>
  <si>
    <t>FAT2580</t>
  </si>
  <si>
    <t>15-197</t>
  </si>
  <si>
    <t>17407</t>
  </si>
  <si>
    <t>FWR7D06</t>
  </si>
  <si>
    <t>1-88</t>
  </si>
  <si>
    <t>REVISÃO ELÉTRICA</t>
  </si>
  <si>
    <t>17408</t>
  </si>
  <si>
    <t>GCJ2J25</t>
  </si>
  <si>
    <t>15-51</t>
  </si>
  <si>
    <t>TROCA DO ESPELHO RETROVISOR LADO DIREITO</t>
  </si>
  <si>
    <t>069/26</t>
  </si>
  <si>
    <t>CMD5426</t>
  </si>
  <si>
    <t>17-04</t>
  </si>
  <si>
    <t>• FOI SOLICITADO POR E-MAIL CÓPIA DA PORTARIA DE SINDICÂNCIA , DECLARAÇÃO DO ENVOLVIDO OU OUTRO DOCUMENTO QUE DESCREVA QUAIS PARTES DA VIATURA SÃO DE INTERESSE NA ANALISE E CONFECÇÃO DE TAD TERMO DE AVALIAÇÃO DE DANOS, DOCUMENTOS NO MOMENTO DA BAIXA INCOMPLETOS.
• REALIZADO DEVIDOS APONTAMENTOS DE DANOS,
• ELABORADO TAD TERMO DE AVALIAÇÃO DE DANOS.
• ENCAMINHADO POR E-MAIL AO SINDICÂNTE SOLICITANDO SOLUÇÃO SE IRÁ.
• REPARAR PELO CMM OU SE IRÁ REPARA EM OFICINA TERCEIRIZADA.
• AGUARDANDO TERMO DE LIBERAÇÃO POR EMAIL.
• TERMO DE LIBERAÇÃO RECEBIDO VIATURA ENCAMINHADA AO SETOR DE GESTÃO CONTRATUAL, COM CHAVE RIV COPIAS DE AVALIAÇÃO E O.S.</t>
  </si>
  <si>
    <t>18381</t>
  </si>
  <si>
    <t>FMP8C81</t>
  </si>
  <si>
    <t>CHEV/CRUZE LT</t>
  </si>
  <si>
    <t>15-84</t>
  </si>
  <si>
    <t>• TROCA SINALIZADOR TRASEIRO.</t>
  </si>
  <si>
    <t>SINALIZADOR
LIBERADO</t>
  </si>
  <si>
    <t>078/26</t>
  </si>
  <si>
    <t>FYU9621</t>
  </si>
  <si>
    <t>GM /SPIN</t>
  </si>
  <si>
    <t>CPC</t>
  </si>
  <si>
    <t>22-158</t>
  </si>
  <si>
    <t>. TROCA DAS PASTILHAS DE FREIO DIANTEIRAS
• TROCA RELÉ VENTILADOR ELÉTRICO
• TROCA LÂMPADA H7
• TROCA LÂMPADA PINGÃO</t>
  </si>
  <si>
    <t>17416</t>
  </si>
  <si>
    <t>CDR3049</t>
  </si>
  <si>
    <t>CMUS</t>
  </si>
  <si>
    <t>15-239</t>
  </si>
  <si>
    <t>17417</t>
  </si>
  <si>
    <t>PERICIA</t>
  </si>
  <si>
    <t>17418</t>
  </si>
  <si>
    <t>GFD265</t>
  </si>
  <si>
    <t>SAT</t>
  </si>
  <si>
    <t>7-13</t>
  </si>
  <si>
    <t>18354</t>
  </si>
  <si>
    <t>FSK1C14</t>
  </si>
  <si>
    <t>15-300</t>
  </si>
  <si>
    <t>INSTALAÇÃO DE ISULFILM / VIATURA RODANDO</t>
  </si>
  <si>
    <t>LINHA MECÂNICA</t>
  </si>
  <si>
    <t>11:00</t>
  </si>
  <si>
    <t>FSB7I52</t>
  </si>
  <si>
    <t>21º BPM/M</t>
  </si>
  <si>
    <t>M-21410</t>
  </si>
  <si>
    <t>17420</t>
  </si>
  <si>
    <t>GHV4J12</t>
  </si>
  <si>
    <t>M-30114</t>
  </si>
  <si>
    <t>17422</t>
  </si>
  <si>
    <t xml:space="preserve">BORRACHARIA </t>
  </si>
  <si>
    <t>17424</t>
  </si>
  <si>
    <t>GCO5A43</t>
  </si>
  <si>
    <t>M-21014-11</t>
  </si>
  <si>
    <t>17426</t>
  </si>
  <si>
    <t>EJE9H31</t>
  </si>
  <si>
    <t>I-34016</t>
  </si>
  <si>
    <t>17427</t>
  </si>
  <si>
    <t>FPF1F67</t>
  </si>
  <si>
    <t>15-89</t>
  </si>
  <si>
    <t>17428</t>
  </si>
  <si>
    <t>17431</t>
  </si>
  <si>
    <t>GHH8C56</t>
  </si>
  <si>
    <t>CPTRAN</t>
  </si>
  <si>
    <t>T-00012</t>
  </si>
  <si>
    <t>17432</t>
  </si>
  <si>
    <t>GFB9D21</t>
  </si>
  <si>
    <t>1-93</t>
  </si>
  <si>
    <t>REVISÃO DE DEVOLUÇÃO POR INATIVIDADE</t>
  </si>
  <si>
    <t>17434</t>
  </si>
  <si>
    <t>BARULHOS NO MOTOR</t>
  </si>
  <si>
    <t>013/26</t>
  </si>
  <si>
    <t>9º BPM/M</t>
  </si>
  <si>
    <t>17436</t>
  </si>
  <si>
    <t>FXA4D16</t>
  </si>
  <si>
    <t>I-36298</t>
  </si>
  <si>
    <t>18382</t>
  </si>
  <si>
    <t>CFY5692</t>
  </si>
  <si>
    <t>3-518</t>
  </si>
  <si>
    <t>• TROCA DE BATERIA PRINCIPAL.</t>
  </si>
  <si>
    <t>17439</t>
  </si>
  <si>
    <t>EZY3555</t>
  </si>
  <si>
    <t>EEF-003</t>
  </si>
  <si>
    <t>PARABRISA, LAMPADAS, BATERIA FREIO DE ESTACIONAMENTO INOPERANTE</t>
  </si>
  <si>
    <t>17440</t>
  </si>
  <si>
    <t>DLF6302</t>
  </si>
  <si>
    <t>22-159</t>
  </si>
  <si>
    <t>17441</t>
  </si>
  <si>
    <t>ELF9056</t>
  </si>
  <si>
    <t>18325</t>
  </si>
  <si>
    <t>GCF3G15</t>
  </si>
  <si>
    <t>C MIL</t>
  </si>
  <si>
    <t>15-73</t>
  </si>
  <si>
    <t>• .ENCAMINHADO SETOR DE CONTRATAÇÃO PARA SOLICITAÇÃO DE GARANTIA DE SERVIÇO EXECUTADO PELA TERCERIZADA RAZI.</t>
  </si>
  <si>
    <t>17443</t>
  </si>
  <si>
    <t>GER4039</t>
  </si>
  <si>
    <t>46º BPMM</t>
  </si>
  <si>
    <t>M-46213</t>
  </si>
  <si>
    <t>17444</t>
  </si>
  <si>
    <t>TROCA DA BATERIA PRINCIPAL E AUXILIAR</t>
  </si>
  <si>
    <t>10:10</t>
  </si>
  <si>
    <t>EMPM</t>
  </si>
  <si>
    <t>17445</t>
  </si>
  <si>
    <t>FZG4H04</t>
  </si>
  <si>
    <t>CMM/SAF</t>
  </si>
  <si>
    <t>1-90</t>
  </si>
  <si>
    <t>REVISÃO ENTREGA POR INATIVIDADE</t>
  </si>
  <si>
    <t>015/26</t>
  </si>
  <si>
    <t>SVK2A02</t>
  </si>
  <si>
    <t>33ºBPM/M</t>
  </si>
  <si>
    <t>M-33351</t>
  </si>
  <si>
    <t>016/26</t>
  </si>
  <si>
    <t>SVH2F82</t>
  </si>
  <si>
    <t>COROLLA CROSS</t>
  </si>
  <si>
    <t>21ºBPMM/M</t>
  </si>
  <si>
    <t>M-21402</t>
  </si>
  <si>
    <t>17447</t>
  </si>
  <si>
    <t>TROCA DAS PASTILHAS DE FREIO DIANT. E TRAS., TROCA DAS PALHETAS DO LIMPADOR DO PARA-BRISA DIANT., LÂMPADAS DO FAROL BAIXO L.E. E FAROL DE NEBLINA L.D.</t>
  </si>
  <si>
    <t>17450</t>
  </si>
  <si>
    <t>FCP1F63</t>
  </si>
  <si>
    <t>11º BPMM</t>
  </si>
  <si>
    <t>1-87</t>
  </si>
  <si>
    <t>TROCA TAMPAS DOS FILTROS DE COMBUSTÍVEL, TROCA LAMPADA DE FREIO LE</t>
  </si>
  <si>
    <t>17451</t>
  </si>
  <si>
    <t>FZV0B15</t>
  </si>
  <si>
    <t>CMM/BORRACHARIA</t>
  </si>
  <si>
    <t>15-94</t>
  </si>
  <si>
    <t>17452</t>
  </si>
  <si>
    <t>GEV2D96</t>
  </si>
  <si>
    <t>1-33</t>
  </si>
  <si>
    <t>TROCA DAS PASTILHAS E DISCOS DE FREIO DIANT. E TRAS., REGULAGEM DO FREIO DE ESTACIONAMENTO</t>
  </si>
  <si>
    <t>17455</t>
  </si>
  <si>
    <t>GIX9428</t>
  </si>
  <si>
    <t>35ºBPM/M</t>
  </si>
  <si>
    <t>3-540</t>
  </si>
  <si>
    <t>17456</t>
  </si>
  <si>
    <t>FHN0C67</t>
  </si>
  <si>
    <t>3-372</t>
  </si>
  <si>
    <t>PARABRISA</t>
  </si>
  <si>
    <t>17462</t>
  </si>
  <si>
    <t>TROCA DA TAMPA DO RESERVATÓRIO DE EXPANSÃO/ POLICIAIS ORIENTADO PARA ETORNAR NO DAI 13/02/2026 SEXTA-FEIRA 13</t>
  </si>
  <si>
    <t>17466</t>
  </si>
  <si>
    <t>DMN6I17</t>
  </si>
  <si>
    <t>1º BPM/M</t>
  </si>
  <si>
    <t>M-01100</t>
  </si>
  <si>
    <t>17468</t>
  </si>
  <si>
    <t>48ºBPMM</t>
  </si>
  <si>
    <t>17469</t>
  </si>
  <si>
    <t>Mº48388</t>
  </si>
  <si>
    <t>17470</t>
  </si>
  <si>
    <t>17471</t>
  </si>
  <si>
    <t>LIMPEZA DO SISTEMA DE ARREFECIMENTO</t>
  </si>
  <si>
    <t>17473</t>
  </si>
  <si>
    <t>FOH8D21</t>
  </si>
  <si>
    <t>APMBB</t>
  </si>
  <si>
    <t>1-32</t>
  </si>
  <si>
    <t>TROCA DE LAMPADAS</t>
  </si>
  <si>
    <t>18048</t>
  </si>
  <si>
    <t>FPZ3H33</t>
  </si>
  <si>
    <t>CORREGPM</t>
  </si>
  <si>
    <t>1-70</t>
  </si>
  <si>
    <t>ALINHAMENTO DE DIREÇÃO
• CORREÇÃO DE CAMBER E CASTER
• BALANCEAMENTOM DE RODAS</t>
  </si>
  <si>
    <t>17476</t>
  </si>
  <si>
    <t>17477</t>
  </si>
  <si>
    <t>EEF8812</t>
  </si>
  <si>
    <t>DF</t>
  </si>
  <si>
    <t>1-129</t>
  </si>
  <si>
    <t>17478</t>
  </si>
  <si>
    <t>FBV9H43</t>
  </si>
  <si>
    <t>22-30</t>
  </si>
  <si>
    <t>ÓLEO DO MOTOR / FILTROS / CARGA  DE BATERIA</t>
  </si>
  <si>
    <t>17479</t>
  </si>
  <si>
    <t>CPA/M-11</t>
  </si>
  <si>
    <t>17480</t>
  </si>
  <si>
    <t>FPK7E51</t>
  </si>
  <si>
    <t>1-58</t>
  </si>
  <si>
    <t>TROCA LANTERNA TRAZ ESQ (TAMPA TRAZ)</t>
  </si>
  <si>
    <t>18398</t>
  </si>
  <si>
    <t>BXP7299</t>
  </si>
  <si>
    <t>22-117</t>
  </si>
  <si>
    <t>• TROCA DA BATERIA.
• COMPLETADO ADITIVO DO RADIADOR.</t>
  </si>
  <si>
    <t>18206</t>
  </si>
  <si>
    <t>EEF8701</t>
  </si>
  <si>
    <t>APMPGE</t>
  </si>
  <si>
    <t>15-204</t>
  </si>
  <si>
    <t>.VIATURA ENCAMINHADA PARA O SETOR DE CONTRATAÇÃO.</t>
  </si>
  <si>
    <t>17488</t>
  </si>
  <si>
    <t>GFQ6F64</t>
  </si>
  <si>
    <t>27ºBPMM</t>
  </si>
  <si>
    <t>M-27400</t>
  </si>
  <si>
    <t>17489</t>
  </si>
  <si>
    <t>FMM1H51</t>
  </si>
  <si>
    <t>M-35283</t>
  </si>
  <si>
    <t>17490</t>
  </si>
  <si>
    <t>EJW1E42</t>
  </si>
  <si>
    <t>PEUGEOT</t>
  </si>
  <si>
    <t>3-629</t>
  </si>
  <si>
    <t>17491</t>
  </si>
  <si>
    <t>AVALIAÇÃO PARA CONTRATAÇÃO (ARREFECIMENTO)</t>
  </si>
  <si>
    <t>17492</t>
  </si>
  <si>
    <t>DJL1766</t>
  </si>
  <si>
    <t>PWK</t>
  </si>
  <si>
    <t>5ºBPAMB</t>
  </si>
  <si>
    <t>A-05110</t>
  </si>
  <si>
    <t>17493</t>
  </si>
  <si>
    <t>EXJ4G36</t>
  </si>
  <si>
    <t>6ºBPMM</t>
  </si>
  <si>
    <t>M-06102</t>
  </si>
  <si>
    <t>18410</t>
  </si>
  <si>
    <t>EQN2370</t>
  </si>
  <si>
    <t>GM/SPIN</t>
  </si>
  <si>
    <t>CPM</t>
  </si>
  <si>
    <t>22-58</t>
  </si>
  <si>
    <t>18353</t>
  </si>
  <si>
    <t>GDC5G41</t>
  </si>
  <si>
    <t>3-133</t>
  </si>
  <si>
    <t>TROCA DOS PNEUS</t>
  </si>
  <si>
    <t>17498</t>
  </si>
  <si>
    <t>SUF2E61</t>
  </si>
  <si>
    <t>DELIVERY 13.180</t>
  </si>
  <si>
    <t>13-59</t>
  </si>
  <si>
    <t>AAA-1111</t>
  </si>
  <si>
    <t>FORD/CORCEL</t>
  </si>
  <si>
    <t>• PARTE DA RESTAURAÇÃO REALIZADA.</t>
  </si>
  <si>
    <t>• VIATURA ENCAMINHADA PARA CONTRATAÇÃO.</t>
  </si>
  <si>
    <t>DJL2376</t>
  </si>
  <si>
    <t>HONDA /XRE 300</t>
  </si>
  <si>
    <t>7ºBPMM</t>
  </si>
  <si>
    <t>• TROCA DO KIT COMPLETO DOS SINAIS SONOROS E LUMINOSOS.
• CONTROLE.
• SIRENE.
• PLACAS DE LEDS.
• CHICOTE.
• RELÊ AUXILIAR.</t>
  </si>
  <si>
    <t>0001</t>
  </si>
  <si>
    <t>018/26</t>
  </si>
  <si>
    <t>DLF5142</t>
  </si>
  <si>
    <t>27º BPMM</t>
  </si>
  <si>
    <t>M-27289</t>
  </si>
  <si>
    <t>17502</t>
  </si>
  <si>
    <t>EIB6D41</t>
  </si>
  <si>
    <t>T-01126</t>
  </si>
  <si>
    <t>17504</t>
  </si>
  <si>
    <t>BYW3689</t>
  </si>
  <si>
    <t>3ºBPAMB</t>
  </si>
  <si>
    <t>A-03340</t>
  </si>
  <si>
    <t>17505</t>
  </si>
  <si>
    <t>RUÍDO NO MOTOR, SUSPENSÃO</t>
  </si>
  <si>
    <t>17506</t>
  </si>
  <si>
    <t>CUJ0546</t>
  </si>
  <si>
    <t>UNO</t>
  </si>
  <si>
    <t>CORREG</t>
  </si>
  <si>
    <t>8-141</t>
  </si>
  <si>
    <t>18044</t>
  </si>
  <si>
    <t>GBA9890</t>
  </si>
  <si>
    <t>22-836</t>
  </si>
  <si>
    <t>• TERMO DE AVALIAÇÃO DE DANOS.
• CHECK-UP DE AVALIAÇÃO DE DANOS.
• CONFERÊNCIA DE DOCUMENTAÇÃO.
• ENVIO DE AVALIAÇÃO PARA GESTÃO CONTRATUAL AGUARDANDO CONFECÇÃO DE PLANILHA DE COMPOSIÇÃO DE CUSTOS.
• ELABORAÇÃO DE TERMO DE AVALIAÇÃO DE DANOS.
• CONFERÊNCIA DO TERMO, IMPRESSÃO E COLETA DE 3 ASSINATURAS DE OFICIAIS.
• ESCANEAMENTO DIGITAL E ENCAMINHAMENTO DE E-MAIL DO TERMO DE AVALIAÇÃO DE DANOS.
• AGUARDAR TERMO DE LIBERAÇÃO RETORNAR NO E-MAIL DA SEÇÃO.
• ENCAMINHAR TERMO DE LIBERAÇÃO COPIA DE OS E AVALIAÇÃO RIV E CHAVE E VIATURA PARA O SETOR DE GESTÃO CONTRATUAL.
• AGUARDAR CONSERTO.
• REALIZAR VISTORIA DE RECEBIMENTO DA OFICINA.
• ELABORAR TERMO DE VISTORIA.
• CONFERIR E IMPRIMER TERMO E COLHER 3 ASSINATURAS.
• ENCAMINHAR POR E-MAIL O TERMO DE VISTORIA.
• LIBERAR VTR REPARADA À RECEPÇÃO.</t>
  </si>
  <si>
    <t>17509</t>
  </si>
  <si>
    <t>FVF1941</t>
  </si>
  <si>
    <t>COORDOP002</t>
  </si>
  <si>
    <t>BATERIA E REVISÃO ELÉTRICA</t>
  </si>
  <si>
    <t>17510</t>
  </si>
  <si>
    <t xml:space="preserve">XRE 300 </t>
  </si>
  <si>
    <t>M-07381</t>
  </si>
  <si>
    <t>17511</t>
  </si>
  <si>
    <t>CLJ1745</t>
  </si>
  <si>
    <t>APMTCE</t>
  </si>
  <si>
    <t>22-714</t>
  </si>
  <si>
    <t>17512</t>
  </si>
  <si>
    <t>FVD9G46</t>
  </si>
  <si>
    <t>1-92</t>
  </si>
  <si>
    <t>17514</t>
  </si>
  <si>
    <t>FXO0952</t>
  </si>
  <si>
    <t>25º BPMM</t>
  </si>
  <si>
    <t>M-25281</t>
  </si>
  <si>
    <t>17515</t>
  </si>
  <si>
    <t>CUM0B31</t>
  </si>
  <si>
    <t>7º BPMI</t>
  </si>
  <si>
    <t>I-07210</t>
  </si>
  <si>
    <t>18390</t>
  </si>
  <si>
    <t>GHZ4G33</t>
  </si>
  <si>
    <t>VW/13.180</t>
  </si>
  <si>
    <t>13-7</t>
  </si>
  <si>
    <t>ALINHAMENTO DA DIREÇÃO
• APAGADO FALHAS DO SISTEMA
• ENGRAXADO  MANGA DE EIXO
• ENGRAXADO CATRACAS DE FREIO
• ENGRAXADO PLATAFORMA
• ENGRAXADO ASA DELTA</t>
  </si>
  <si>
    <t>17521</t>
  </si>
  <si>
    <t>ECW1468</t>
  </si>
  <si>
    <t>CPA/M-10</t>
  </si>
  <si>
    <t>E-M10002</t>
  </si>
  <si>
    <t>17522</t>
  </si>
  <si>
    <t>EEF8814</t>
  </si>
  <si>
    <t>• TROCA DE BIELETAS (REMANEJADAS).
• TESTE DINÂMICO.</t>
  </si>
  <si>
    <t>019/26</t>
  </si>
  <si>
    <t>GCP0C52</t>
  </si>
  <si>
    <t>SEM PREFIXO</t>
  </si>
  <si>
    <t xml:space="preserve">MECÂNICA </t>
  </si>
  <si>
    <t>18297</t>
  </si>
  <si>
    <t>GEH5474</t>
  </si>
  <si>
    <t>15-26</t>
  </si>
  <si>
    <t>AVALIAÇÃO DE FREIO</t>
  </si>
  <si>
    <t>17525</t>
  </si>
  <si>
    <t>17526</t>
  </si>
  <si>
    <t>SUSPENSÃO, LAMPADAS</t>
  </si>
  <si>
    <t>17528</t>
  </si>
  <si>
    <t>DLF6879</t>
  </si>
  <si>
    <t>M-14101</t>
  </si>
  <si>
    <t>17529</t>
  </si>
  <si>
    <t>FZT1D98</t>
  </si>
  <si>
    <t>T-01130</t>
  </si>
  <si>
    <t>18236</t>
  </si>
  <si>
    <t>EQW6C41</t>
  </si>
  <si>
    <t>1-56</t>
  </si>
  <si>
    <t>EM EXECUÇÃO
TROCA PASTILHAS DE FREIO DIANTEIRA
• FLUÍDO DE FREIO DOT-4
• REVISÃO SISTEMA INJEÇÃO ELETRÔNICA
• LÂMPADAS MILHAS / FAROL
TROCA PASTILHAS DE FREIO DIANTEIRA
• FLUÍDO DE FREIO DOT-4
• REVISÃO SISTEMA INJEÇÃO ELETRÔNICA
• LÂMPADAS MILHAS / FAROL</t>
  </si>
  <si>
    <t>17534</t>
  </si>
  <si>
    <t>GIU8E55</t>
  </si>
  <si>
    <t>8-408</t>
  </si>
  <si>
    <t>17535</t>
  </si>
  <si>
    <t>FUE9C74</t>
  </si>
  <si>
    <t>53º BPM/I</t>
  </si>
  <si>
    <t>I-53109</t>
  </si>
  <si>
    <t>22-702</t>
  </si>
  <si>
    <t>EMBREAGEM</t>
  </si>
  <si>
    <t>FYE6458</t>
  </si>
  <si>
    <t>CHEV/TRAILBLAZER LTZ D4A</t>
  </si>
  <si>
    <t>020/26</t>
  </si>
  <si>
    <t>FPP3862</t>
  </si>
  <si>
    <t>DL/SUBS</t>
  </si>
  <si>
    <t>22-446</t>
  </si>
  <si>
    <t>17538</t>
  </si>
  <si>
    <t>APMCG</t>
  </si>
  <si>
    <t>SUSPENSÃO/ VIDRAÇARIA</t>
  </si>
  <si>
    <t>17540</t>
  </si>
  <si>
    <t>CQL0D46</t>
  </si>
  <si>
    <t>20º BPM/M</t>
  </si>
  <si>
    <t>M-20005</t>
  </si>
  <si>
    <t>GRAF/ SINAL</t>
  </si>
  <si>
    <t>17541</t>
  </si>
  <si>
    <t>DL SUBS</t>
  </si>
  <si>
    <t>3-91</t>
  </si>
  <si>
    <t>GEO8024</t>
  </si>
  <si>
    <t>CPA/M-8</t>
  </si>
  <si>
    <t>• TROCA DO CONECTOR RJ 45 DO CONTROLADOR.
• REPARO NA.
• INSTALAÇÃO DOS SINAIS SONOROS-ENGESIG.</t>
  </si>
  <si>
    <t>RESOLVIDO</t>
  </si>
  <si>
    <t>17.526/2026</t>
  </si>
  <si>
    <t>• BANDEJA SUPERIOR DA SUSPENSÃO.
• PIVÔS DA BANDEJA SUPERIOR.
• REPAROS  NO CHICOTE .</t>
  </si>
  <si>
    <t>17544</t>
  </si>
  <si>
    <t>26-1184</t>
  </si>
  <si>
    <t>17545</t>
  </si>
  <si>
    <t>GDI4H84</t>
  </si>
  <si>
    <t>M-25127</t>
  </si>
  <si>
    <t>17547</t>
  </si>
  <si>
    <t>EXR9D53</t>
  </si>
  <si>
    <t>1-36</t>
  </si>
  <si>
    <t>17548</t>
  </si>
  <si>
    <t>GFH7G64</t>
  </si>
  <si>
    <t>3-135</t>
  </si>
  <si>
    <t>18054</t>
  </si>
  <si>
    <t>BPO4A01</t>
  </si>
  <si>
    <t>3-107</t>
  </si>
  <si>
    <t>• .
• TROCA DE DOIS PNEUS 265/60R18.
• ALINHAMENTO DE DIREÇÃO.
• BALANCEAMENTO DE RODAS.
• TROCA DAS PASTILHAS DE FREIO TRASEIRAS.
• TROCA DOS AMORTECEDORE TRASEIROS.
• TROCA DOS AMORTECEDORES DIANTEIROS.
• TROCA DAS BIELETAS DIANTEIRAS.
• TROCA DO ÓLEO LUBRIFICANTE MOTOR.
• TROCA DO FILTRO DE ÓLEO MOTOR
• TROCA DOS FILTROS DE COMBUSTÍVEL
• TROCA DO FILTRO DE AR DO MOTOR
• TROCA DO FILTRO DE CABINE
• TROCA DAS PALHETAS LIMPADOR PARABRISA</t>
  </si>
  <si>
    <t>17555</t>
  </si>
  <si>
    <t>GFL6G57</t>
  </si>
  <si>
    <t>SUBCMT G</t>
  </si>
  <si>
    <t>15-183</t>
  </si>
  <si>
    <t>17556</t>
  </si>
  <si>
    <t>EEE4330</t>
  </si>
  <si>
    <t>5-16</t>
  </si>
  <si>
    <t>FSH7E32</t>
  </si>
  <si>
    <t>M-25210</t>
  </si>
  <si>
    <t>• TROCA DE LUMINOSO DE TETO REAPROVEITADO DE DESCARGA- (USADO).</t>
  </si>
  <si>
    <t>CFY5436</t>
  </si>
  <si>
    <t>15-76</t>
  </si>
  <si>
    <t>• TROCA DE ÓLEO.
• FILTRO DE ÓLEO.
• FILTRO DE  COMBUSTÍVEL.</t>
  </si>
  <si>
    <t>EXR8E25</t>
  </si>
  <si>
    <t>19º BPM/M</t>
  </si>
  <si>
    <t>M-19000</t>
  </si>
  <si>
    <t>• TROCA DE PNEU.</t>
  </si>
  <si>
    <t>FSG7A84</t>
  </si>
  <si>
    <t>22-125</t>
  </si>
  <si>
    <t>. AVALIAÇÃO DO CÂMBIO (FORTE RUIDO INTERNO EM MARCHA RÉ, APARENTE VAZAMENTO DE FLUÍDO)
• AVALIAÇÃO DO SISTEMA DE ARREFECIMENTO (APARENTE VAZAMENTO NAS MANGUEIRAS E CONEXÕES, RESERVATÓRIO DE EXPANSÃO MUITO SUJO)</t>
  </si>
  <si>
    <t>CMM9935</t>
  </si>
  <si>
    <t>MERCEDES/SPRINTER</t>
  </si>
  <si>
    <t>M-04271</t>
  </si>
  <si>
    <t>• TROCA DE LUMINOSOS DE TETO E REPAROS NO CHICOTE.</t>
  </si>
  <si>
    <t>DJM0187</t>
  </si>
  <si>
    <t>FIAT/FIORINO FLEX</t>
  </si>
  <si>
    <t>15-41</t>
  </si>
  <si>
    <t>• SISTEMA DE FREIOS.
• PALHETAS PARABRISA.</t>
  </si>
  <si>
    <t>FZE0D92</t>
  </si>
  <si>
    <t>T-01109</t>
  </si>
  <si>
    <t>• TROCA DO CONTROLE -(USADO).
• TROCA DA SIRENE - (USADA).
• REPARO NA.
• INSTALAÇÃO DOS SINAIS SONOROS E LUMINOSOS.</t>
  </si>
  <si>
    <t>DJL1028</t>
  </si>
  <si>
    <t>VW/KOMBI</t>
  </si>
  <si>
    <t>3-132</t>
  </si>
  <si>
    <t>• .TROCA DOS 05 PNEUS 185R14C.
• TROCA DAS BUCHAS DA MANGA DE EIXO DIANTEIRAS.
• TROCA DAS BUCHAS DA BARRA ESTABILIZADORA DIANTEIRA.
• TROCA DAS BUCHAS DO QUADRO DA SUSPENSÃO.
• TROCA DAS BUCHAS DO BATENTE DO EIXO DIANTEIRO ("FRANGO ASSADO").
• ALINHAMENTO DE DIREÇÃO.
• BALANCEAMENTO DE RODAS.</t>
  </si>
  <si>
    <t>DJM8689</t>
  </si>
  <si>
    <t>CHEV/CRUZE LT NB</t>
  </si>
  <si>
    <t>C ODONT</t>
  </si>
  <si>
    <t>15-113</t>
  </si>
  <si>
    <t>ENC. CONTRATAÇÃO</t>
  </si>
  <si>
    <t>17558</t>
  </si>
  <si>
    <t>17559</t>
  </si>
  <si>
    <t>17560</t>
  </si>
  <si>
    <t>17561</t>
  </si>
  <si>
    <t>ENZ9J95</t>
  </si>
  <si>
    <t>M-25118</t>
  </si>
  <si>
    <t>17562</t>
  </si>
  <si>
    <t>17653</t>
  </si>
  <si>
    <t>EEF9067</t>
  </si>
  <si>
    <t>M.BENZ/INDUSCAR SOLAR R</t>
  </si>
  <si>
    <t>7-43</t>
  </si>
  <si>
    <t>• REPARO NO CHICOTE ELETRICO.
• SUBSTITUIÇAO DO ALERNADOR LADO DIREITO ( PEÇA USADA).</t>
  </si>
  <si>
    <t>17564</t>
  </si>
  <si>
    <t>4º BPM/M</t>
  </si>
  <si>
    <t>17565</t>
  </si>
  <si>
    <t>CODONT</t>
  </si>
  <si>
    <t>17566</t>
  </si>
  <si>
    <t>EGK2F57</t>
  </si>
  <si>
    <t>M-04005</t>
  </si>
  <si>
    <t>17567</t>
  </si>
  <si>
    <t>17.568</t>
  </si>
  <si>
    <t>ELN1E09</t>
  </si>
  <si>
    <t>RENAULT/DUSTER 16 E 4X2</t>
  </si>
  <si>
    <t>3-183</t>
  </si>
  <si>
    <t>• GRAFISMO.
TROCA DE BATERIA
• REVISÃO SISTEMA INJEÇÃO ELETRÔNICA
TROCA DE BATERIA
• REVISÃO SISTEMA INJEÇÃO ELETRÔNICA
• TROCA DE BATERIA.
• REVISÃO SISTEMA DE INJEÇÃO ELETRÔNICA.
• TROCA DE BATERIA.
• REVISÃO SISTEMA DE INJEÇÃO ELETRÔNICA.
• TROCA DE BATERIA.
• REVISÃO SISTEMA DE INJEÇÃO ELETRÔNICA.
• TROCA DE BATERIA.
• REVISÃO SISTEMA DE INJEÇÃO ELETRÔNICA.</t>
  </si>
  <si>
    <t>17570</t>
  </si>
  <si>
    <t>17571</t>
  </si>
  <si>
    <t>KOMBI</t>
  </si>
  <si>
    <t>DL/INT</t>
  </si>
  <si>
    <t>17572</t>
  </si>
  <si>
    <t>18235</t>
  </si>
  <si>
    <t>DSK5H81</t>
  </si>
  <si>
    <t>1-94</t>
  </si>
  <si>
    <t>. REVISÃO 100.000 KM
• REVISÃO SUSPENSÃO DIANTEIRA E TRASEIRA
• REVISÃO SISTEMA DE FREIOS</t>
  </si>
  <si>
    <t>FMK9J25</t>
  </si>
  <si>
    <t>M-26509</t>
  </si>
  <si>
    <t>• REMOÇÃO.
• LIMPEZA.
• APLICAÇÃO.</t>
  </si>
  <si>
    <t>DJL9549</t>
  </si>
  <si>
    <t>HONDA /XRE300</t>
  </si>
  <si>
    <t>32ºBPMM</t>
  </si>
  <si>
    <t>M-32382</t>
  </si>
  <si>
    <t>• TROCA DA SIRENE -(USADA).
• TROCA DO CONTROLE-(USADO).
• REPARO NA INSTALAÇÃO.</t>
  </si>
  <si>
    <t>CAI1040</t>
  </si>
  <si>
    <t>22-725</t>
  </si>
  <si>
    <t>• TROCA DO TUBO FLAUTA.
• TROCA DO LIQUIDO DE ARREFECIMENTO.
• TROCA DE AGUA DESMINERALIZADA.</t>
  </si>
  <si>
    <t>BYP3H61</t>
  </si>
  <si>
    <t>M.BENZ/SPRINTER</t>
  </si>
  <si>
    <t>24ºBPMM1CIAP4@POLICIAMILITAR.SP.GOV.BR</t>
  </si>
  <si>
    <t>M-24131</t>
  </si>
  <si>
    <t>• REMOÇÃO.
• LIMPEZA.
• GRAFISMO CAPO.</t>
  </si>
  <si>
    <t>021/26</t>
  </si>
  <si>
    <t>TKP5G73</t>
  </si>
  <si>
    <t>RENAULT/DUSTER</t>
  </si>
  <si>
    <t>6º BPMM</t>
  </si>
  <si>
    <t>M-06415</t>
  </si>
  <si>
    <t>• REMOÇÃO.
• APLICAÇÃO DE GRAFISMO.
• GRAFISMO CAPÔ.</t>
  </si>
  <si>
    <t>• AVALIAÇÃO PARA DESCARGA.</t>
  </si>
  <si>
    <t>DESCARGA</t>
  </si>
  <si>
    <t>FIP3H93</t>
  </si>
  <si>
    <t>• LUBRIFICAÇÃO DA CANALETA.
• TROCA DE LAMPADA.</t>
  </si>
  <si>
    <t>CSM3348</t>
  </si>
  <si>
    <t>M-07461</t>
  </si>
  <si>
    <t>• TROCA DO RELÊ AUXILIAR.
• TROCA DO CHICOTE DO RELÊ.
• TROCA DO RELÊ AUXILIAR 150A -ARPE.</t>
  </si>
  <si>
    <t>ENE1809</t>
  </si>
  <si>
    <t>• VIATURA ENCAMINHADA PARA O SETOR DE CONTRATAÇÕES.</t>
  </si>
  <si>
    <t>• AVALIAÇÃO.
• VIATURA ENCAMINHADA PARA O SETOR DE CONTRATAÇÕES.</t>
  </si>
  <si>
    <t>• TROCA DA PLACA DO LED DO SINAIS LUMINOSOS DO TETO- (USADO).
• PLACA DO LED EM CURCO CIRCUITO.</t>
  </si>
  <si>
    <t>GGE7A24</t>
  </si>
  <si>
    <t>CHEV/SPIN</t>
  </si>
  <si>
    <t>41ºBPM/M</t>
  </si>
  <si>
    <t>I-41224</t>
  </si>
  <si>
    <t>• REALIZADO O PARECER TÉCNICO SOBRE CALÇO HIDRÁULICO NO MOTOR. ENCAMINHADO E-MAIL AO 41BPMI, AGUARDANDO A RETIRADA DA VIATURA.</t>
  </si>
  <si>
    <t>GBT1863</t>
  </si>
  <si>
    <t>22-84</t>
  </si>
  <si>
    <t>FLT3905</t>
  </si>
  <si>
    <t>VW/GOL</t>
  </si>
  <si>
    <t>43ºBPM/I</t>
  </si>
  <si>
    <t>8-785</t>
  </si>
  <si>
    <t>• VAZAMENTO NA CARCAÇA DA VÁLVULA TERMOSTÁTICA.</t>
  </si>
  <si>
    <t>CHEV/VECTRA SD EXPRESSION</t>
  </si>
  <si>
    <t>• VIATURA AVALIADA PRA CONTRATAÇÃO.</t>
  </si>
  <si>
    <t>EEF0941</t>
  </si>
  <si>
    <t>TOYOTA/COROLLA</t>
  </si>
  <si>
    <t>• CARCAÇA DA BOMBA DE COMBUSTÍVEL DANIFICADA.</t>
  </si>
  <si>
    <t>CFY5639</t>
  </si>
  <si>
    <t>3-53</t>
  </si>
  <si>
    <t>• TROCA DA BATERIA.
• TROCA DE LÂMPADA.</t>
  </si>
  <si>
    <t>DLF5539</t>
  </si>
  <si>
    <t>24ºBPM/M</t>
  </si>
  <si>
    <t>M-24304</t>
  </si>
  <si>
    <t>• TROCA DO MÓDULO DOS SINALIZADORES-REV (USADO).
• TROCA DO CONTROLE REV-(USADO).
• TROCA DO CONECTOR RJ45.</t>
  </si>
  <si>
    <t>DJL6021</t>
  </si>
  <si>
    <t>CHEV/BLAZER ADVANTAGE</t>
  </si>
  <si>
    <t>15-66</t>
  </si>
  <si>
    <t>EOM7497</t>
  </si>
  <si>
    <t>22-363</t>
  </si>
  <si>
    <t>• REPARO NA INSTALAÇÃO.
• TROCA DO MÓDULO D REV-(USADO.
• TROCA DO CONECTOR RJ45E SINALIZADORES.</t>
  </si>
  <si>
    <t>GAD6947</t>
  </si>
  <si>
    <t>FIAT/UNO WAY 1.4</t>
  </si>
  <si>
    <t>CIAP</t>
  </si>
  <si>
    <t>15-24</t>
  </si>
  <si>
    <t>• VIATURA IRÁ RETORNAR EN DATA OPORTUNA.</t>
  </si>
  <si>
    <t>ECT2I17</t>
  </si>
  <si>
    <t>3-140</t>
  </si>
  <si>
    <t>• AVALIAÇÃO.</t>
  </si>
  <si>
    <t>GARANTIA</t>
  </si>
  <si>
    <t>EHL8755</t>
  </si>
  <si>
    <t>14º BPMM</t>
  </si>
  <si>
    <t>M-14305</t>
  </si>
  <si>
    <t>• REPARO NOS  LUMINOSOS E SONOROS.
• TROCA DO CONECTOR RJ 45.</t>
  </si>
  <si>
    <t>• TROCA DO ESPELHO.</t>
  </si>
  <si>
    <t>EZU7632</t>
  </si>
  <si>
    <t>15-33</t>
  </si>
  <si>
    <t>• AVALIADO PARA CONTRATOS.</t>
  </si>
  <si>
    <t>EEF9078</t>
  </si>
  <si>
    <t>1-146</t>
  </si>
  <si>
    <t>.TROCA DA BOMBA DE COMBUSTÍVEL</t>
  </si>
  <si>
    <t>EED4H96</t>
  </si>
  <si>
    <t>IVECO/BUS 170S28</t>
  </si>
  <si>
    <t>TROCA
• MOTOR LIMPADOR 
• PARA DE PALHETAS</t>
  </si>
  <si>
    <t>GBK4005</t>
  </si>
  <si>
    <t>• AVALIAÇÃO P/ CONTRATAÇÃO.</t>
  </si>
  <si>
    <t>FXE3B63</t>
  </si>
  <si>
    <t>26º BPMM</t>
  </si>
  <si>
    <t>M-26000</t>
  </si>
  <si>
    <t>• ALINHAMENTO; CMABER E CASTER.</t>
  </si>
  <si>
    <t>BYI5H44</t>
  </si>
  <si>
    <t>CAVPM - RIBEIRÃO PRETO</t>
  </si>
  <si>
    <t>3-226</t>
  </si>
  <si>
    <t>• RETIRADA DO SINALIZADOR DO TETO- (USADO).</t>
  </si>
  <si>
    <t>• . TROCA LÂMPADA FAROL DE NEBLINA.</t>
  </si>
  <si>
    <t>EEF9585</t>
  </si>
  <si>
    <t>1-152</t>
  </si>
  <si>
    <t>REVISÃO GERAL
• VAZAMENTO DO FLUIDO DO ARREFECIMENTO,
• TROCA DE PASTILHAS DE FREIOS TRASEIRO,
• TROCA DO FLUIDO DE FREIOS.</t>
  </si>
  <si>
    <t>DGX1A06</t>
  </si>
  <si>
    <t>2ºBPCHQ</t>
  </si>
  <si>
    <t>15-263</t>
  </si>
  <si>
    <t>• TROCA LÂMPADA FAROL.
• TROCA PALHETA.</t>
  </si>
  <si>
    <t>EQU7B62</t>
  </si>
  <si>
    <t>17-78</t>
  </si>
  <si>
    <t>• TROCA DA BATERIA AUXILIAR.
• TROCA DA BATERIA PRINCIPAL.
• TROCA DA BATERIA PRINCIPAL
• TROCA DA BATERIA AUXILIAR
• TROCA DO ADITIVO DO RADIADOR</t>
  </si>
  <si>
    <t>• SUBSTITUIÇÃO DOS COXINS DOS AMORTECEDORES DIANTEIROS;
• SUBSTITUIÇÃO DOS BATENTES DOS AMORTECEDORES DIANTEIROS;</t>
  </si>
  <si>
    <t>EEF8813</t>
  </si>
  <si>
    <t>1-130</t>
  </si>
  <si>
    <t>• VIATURA AVALIADA PELO SD R. OLIVEIRA PARA CONTRATAÇÃO.</t>
  </si>
  <si>
    <t>EWG5E88</t>
  </si>
  <si>
    <t>26º BPMI</t>
  </si>
  <si>
    <t>I-26305</t>
  </si>
  <si>
    <t>FOQ4D96</t>
  </si>
  <si>
    <t>I-26318</t>
  </si>
  <si>
    <t>• REMOÇÃO DO GRAFISMO.
• APLICAÇÃO CAPÕ.</t>
  </si>
  <si>
    <t>GCO5604</t>
  </si>
  <si>
    <t>RENAULT/SANDERO DYNA 16R</t>
  </si>
  <si>
    <t>15-282</t>
  </si>
  <si>
    <t>• VIATURA ENCAMINHADA PARA CONTRATAÇÃO, AVALIADA PELO CB PM AIRON.</t>
  </si>
  <si>
    <t>EEF9725</t>
  </si>
  <si>
    <t>3-293</t>
  </si>
  <si>
    <t>FREIOS SEM NOVIDADES, ESTAVA EMPENADO O ESPELHO DE RODA, JÁ REGULARIZADO</t>
  </si>
  <si>
    <t>FDE9E51</t>
  </si>
  <si>
    <t>1-42</t>
  </si>
  <si>
    <t>• RECONECTADO CABO DA ANTENA FM,
• LUBRIFICAÇÃO DAS CANALETAS DAS PORTAS, TROCA LÂMPADA H7 LE E PINGÃO DE PLACA, TROCA ÓLEO MOTOR,
• TROCA DO FILTRO DE ÓLEO, TROCA FILTRO DE AR, TROCA FILTROS DE COMBUSTÍVEL, TROCA FILTRO DE CABINE, TROCA PASTILHAS DE FREIO DIANTEIRAS,
• TROCA DO FLUIDO DE FREIO,
• REVISÃO DO SISTEMA DE ARREFECIMENTO, REVISÃO NO SISTEMA DE AR CONDICIONADO, ADITIVO DE COMBUSTÍVEL,
• ALINHAMENTO DE DIREÇÃO E.
• BALANCEAMENTO DE RODAS.</t>
  </si>
  <si>
    <t>CORREG PM</t>
  </si>
  <si>
    <t>• ALINHAMENTO DE DIREÇAO.
• BALANCEAMENTO DE RODAS.</t>
  </si>
  <si>
    <t>023/2026</t>
  </si>
  <si>
    <t>SWY8E04</t>
  </si>
  <si>
    <t>TOYOTA/COROLLA CROSS XR</t>
  </si>
  <si>
    <t>22-91</t>
  </si>
  <si>
    <t>• AVALIAÇÃO DA VTR CONFORME OFÍCIO.</t>
  </si>
  <si>
    <t>BYI9B15</t>
  </si>
  <si>
    <t>26ºBPMI</t>
  </si>
  <si>
    <t>I-26307</t>
  </si>
  <si>
    <t>FPV7B16</t>
  </si>
  <si>
    <t>26ºBPM/I</t>
  </si>
  <si>
    <t>I-26319</t>
  </si>
  <si>
    <t>BPQ0H72</t>
  </si>
  <si>
    <t>YAMAHA/LANDER</t>
  </si>
  <si>
    <t>5º BPMM</t>
  </si>
  <si>
    <t>M-05397</t>
  </si>
  <si>
    <t>• VIATURA COM O AGENDAMENTO EM DATA POSTERIOR.</t>
  </si>
  <si>
    <t>FYK4787</t>
  </si>
  <si>
    <t>15-21</t>
  </si>
  <si>
    <t>• LÂMPADA H7.
• LÂMPADA 1 PÓLO.</t>
  </si>
  <si>
    <t>EHQ0B36</t>
  </si>
  <si>
    <t>35º BPMM</t>
  </si>
  <si>
    <t>M-35016</t>
  </si>
  <si>
    <t>• VIATURA COM PROBLEMA NO MODULO DOS SINAIS DOS LUMINOSOS E SONOROS.
• NÃO TEMOS PEÇAS.</t>
  </si>
  <si>
    <t>EEF9069</t>
  </si>
  <si>
    <t>7-41</t>
  </si>
  <si>
    <t>• AVALIAÇÃO E DIAGNOSTICO.</t>
  </si>
  <si>
    <t>GBU7518</t>
  </si>
  <si>
    <t>15-232</t>
  </si>
  <si>
    <t>• INSTALAÇÃO DOS SINAIS LUMINOSOS E REPARO NO SONORO.
• PLACA DE LEDS.
• BOTÃO ON/OFF.</t>
  </si>
  <si>
    <t>EEF8859</t>
  </si>
  <si>
    <t>TOYOTA/HILUX</t>
  </si>
  <si>
    <t>CPI-5</t>
  </si>
  <si>
    <t>3-799</t>
  </si>
  <si>
    <t>• AVALIAÇÃO ROLAMENTO DO CARDAM.</t>
  </si>
  <si>
    <t>DVK8649</t>
  </si>
  <si>
    <t>15-289</t>
  </si>
  <si>
    <t>• AVALIAÇÃO PARA CONTRATOS.</t>
  </si>
  <si>
    <t>GAU0459</t>
  </si>
  <si>
    <t>22-438</t>
  </si>
  <si>
    <t>• AVALIAÇÃO CONTRATOS.</t>
  </si>
  <si>
    <t>GEA8I01</t>
  </si>
  <si>
    <t>APMCGE</t>
  </si>
  <si>
    <t>15-86</t>
  </si>
  <si>
    <t>• TROCA DE PNEU.
• REVISÃO NOS FREIOS.</t>
  </si>
  <si>
    <t>• EFETUADO A PROGRAMAÇÃO PELA EMPRESA ENGESIG.
• TROCA DE PLACA DE LEDS.</t>
  </si>
  <si>
    <t>FRK0423</t>
  </si>
  <si>
    <t>15-30</t>
  </si>
  <si>
    <t>VIATURA OPERANDO</t>
  </si>
  <si>
    <t>056/26</t>
  </si>
  <si>
    <t>• EM 05FEV26 AVALIAÇÃO E DIAGNOSTICO.</t>
  </si>
  <si>
    <t>• TROCA DAS PASTILHAS DE FREIO DIANTEIRAS.
• TROCA DE PASTILHAS DE FREIO TRASEIRAS.
• TROCA DE DISCOS DE FREIO DIANTEIROS.
• TROCA DE DISCOS DE FRTEIO TRASEIROS.
• ALINHAMNETO DE DIREÇÃO.
• BALANCEAMENTO DE RODAS.</t>
  </si>
  <si>
    <t>• TROCA DO RELE AUXILIAR- 150A.</t>
  </si>
  <si>
    <t>• TROCA DE PALHETA.</t>
  </si>
  <si>
    <t>FKD0G92</t>
  </si>
  <si>
    <t>8º BPMM</t>
  </si>
  <si>
    <t>M-08029-11</t>
  </si>
  <si>
    <t>• REPARO NA SIRENE - ENGESIG.
• REVISÃO NO SISTEMA LUMINOSOS - ENGESIG.</t>
  </si>
  <si>
    <t>EEF9F44</t>
  </si>
  <si>
    <t>3-156</t>
  </si>
  <si>
    <t>• TROCA DA BATERIA.</t>
  </si>
  <si>
    <t>FVN1D83</t>
  </si>
  <si>
    <t>FIAT/PULSE DRIVE AT</t>
  </si>
  <si>
    <t>15-242</t>
  </si>
  <si>
    <t>• AVALIAÇÃO CONTRATAÇÃO.</t>
  </si>
  <si>
    <t>FPD7I13</t>
  </si>
  <si>
    <t>BA-089</t>
  </si>
  <si>
    <t>• APLICAÇÃO GRAFISMO.</t>
  </si>
  <si>
    <t>BVT4374</t>
  </si>
  <si>
    <t>I/M.BENZ/SPRINTER</t>
  </si>
  <si>
    <t>28º BPMM</t>
  </si>
  <si>
    <t>M-28262</t>
  </si>
  <si>
    <t>• INSTALAÇÃO DO RELÊ AUXILIAR.
• TROCA DO DRIVE DA SIRENE- (USADO).</t>
  </si>
  <si>
    <t>DSP9372</t>
  </si>
  <si>
    <t>CM/SPIN</t>
  </si>
  <si>
    <t>30ºBPMM</t>
  </si>
  <si>
    <t>22-1265</t>
  </si>
  <si>
    <t>• TROCA DO MÓDULO - ENGESIG ANTIGO.
• TROCA DO CABO REDE DOS SINAIS SONOROS E LUMINOSOS.
• TROCA DO CONTROLE - ENGESIG ANTIGO.</t>
  </si>
  <si>
    <t>GBK3310</t>
  </si>
  <si>
    <t>22-92</t>
  </si>
  <si>
    <t>CSM3221</t>
  </si>
  <si>
    <t>MERCEDES BENS/SPRINTER</t>
  </si>
  <si>
    <t>3ºBPMM</t>
  </si>
  <si>
    <t>M-03198</t>
  </si>
  <si>
    <t>• SINAIS SONOROS E LUMINOSOS.</t>
  </si>
  <si>
    <t>FQD5972</t>
  </si>
  <si>
    <t>YAMAHA/XT 600</t>
  </si>
  <si>
    <t>M-03185</t>
  </si>
  <si>
    <t>• O AGENDAMENTO É EM DATA POSTERIOR.</t>
  </si>
  <si>
    <t>FPW1581</t>
  </si>
  <si>
    <t>YAMAHA/XT600</t>
  </si>
  <si>
    <t>M-03184</t>
  </si>
  <si>
    <t>• AGENDAMENTO É EM DATA POSTERIOR.</t>
  </si>
  <si>
    <t>057/2026</t>
  </si>
  <si>
    <t>FFP1037</t>
  </si>
  <si>
    <t>1ºBPCHQ</t>
  </si>
  <si>
    <t>• TROCA DO LUMINOSO DO TETO.
• E SUPORTE DA TRAILBLAZER.
• REVISÃO NOS SINAIS SONOROS.</t>
  </si>
  <si>
    <t>EEF-9725</t>
  </si>
  <si>
    <t>• ENCAMINHADA PARA CONTRATAÇÃO.</t>
  </si>
  <si>
    <t>DLF3136</t>
  </si>
  <si>
    <t>48º BPMI</t>
  </si>
  <si>
    <t>I-48143</t>
  </si>
  <si>
    <t>• TROCA DA SIRENE KIT NOVO UNIVERSAL.
• REPARO NA.
• INSTALAÇÃO DOS SINAIS LUMINOSOS.</t>
  </si>
  <si>
    <t>EVK7J53</t>
  </si>
  <si>
    <t>YAMAHA /LANDER</t>
  </si>
  <si>
    <t>48ºBPM/I</t>
  </si>
  <si>
    <t>I-48022</t>
  </si>
  <si>
    <t>• REVISÃO NOS SINAIS LUMINOSOS E SONOROS.
• TROCA DO CONTROLE DOS SINAIS LUMINOSOS E SONOROS- ENGESIG ( USADO).</t>
  </si>
  <si>
    <t>BZL9612</t>
  </si>
  <si>
    <t>9ºBPMI</t>
  </si>
  <si>
    <t>I-09302</t>
  </si>
  <si>
    <t>• REVISÂO DO SISTEMA DE IGNIÇAÕ;
• REVISÃO DO SISTEMA DE INJECÃO ELETRÔNICA;
• TROCA DA ENGRENAGEM DO VIRABREQUIM (REMANEJADA);
• APRENDIZAGEM DO SENSOR DE ROTAÇÃO;
• TROCA DO MOTOR DE PARTIDA (REMANEJADO).</t>
  </si>
  <si>
    <t>DJM8143</t>
  </si>
  <si>
    <t>3-108</t>
  </si>
  <si>
    <t>• TROCA DE BATERIA.
• TROCA DE BATERIA AUXILIAR.
• TROCA DO RELE.</t>
  </si>
  <si>
    <t>FTQ4D03</t>
  </si>
  <si>
    <t>10º BPMM</t>
  </si>
  <si>
    <t>22-237</t>
  </si>
  <si>
    <t>CBI-2 BAURU</t>
  </si>
  <si>
    <t>• TROCA DA LÂMPADA FAROL BAIXO.
• TROCA DA LÂMPADA FAROL DE MILHA.
• PALHETAS.</t>
  </si>
  <si>
    <t>FKP9A77</t>
  </si>
  <si>
    <t>M-06286</t>
  </si>
  <si>
    <t>• REVISÃO NOS SINAIS SONOROS E LUMINOSOS.
• TROCA DO CONJUNTO DA SIRENE -(USADA) ENGESIG.</t>
  </si>
  <si>
    <t>GJQ3D92</t>
  </si>
  <si>
    <t>M-06285</t>
  </si>
  <si>
    <t>• REVISÃO NOS SINAIS SONOROS E LUMINOSOS.
• TROCA DO CONTROLE DOS SINALIZADORES ENGESIG-(USADO).
• TROCA DA PLACA DE LED ENGESIG- (USADO).</t>
  </si>
  <si>
    <t>COORDOP 002</t>
  </si>
  <si>
    <t>FVT5D24</t>
  </si>
  <si>
    <t>49ºBPMM</t>
  </si>
  <si>
    <t>M-49307</t>
  </si>
  <si>
    <t>• REPARO NA.
• INSTALAÇÃO DOS SINAIS LUMINOSOS E SONOROS.
• TROCA DO CONECTOR RJ45.
• REPARO NA.
• INSTALAÇÃO DO MÓDULO DE SINALIZAÇÃO  - REV.</t>
  </si>
  <si>
    <t>EOA8957</t>
  </si>
  <si>
    <t>17-225</t>
  </si>
  <si>
    <t>• AVALIADA PARA CONTRATAÇÃO.</t>
  </si>
  <si>
    <t>GCI1839</t>
  </si>
  <si>
    <t>11BAEP</t>
  </si>
  <si>
    <t>E-11156</t>
  </si>
  <si>
    <t>• ANALISE DA SUSP DIANT.</t>
  </si>
  <si>
    <t>DSR8379</t>
  </si>
  <si>
    <t>22-123</t>
  </si>
  <si>
    <t>• TROCA DA BOMBA D'ÁGUA.
• TROCA DA CORREIA DENTADA.
• TROCA DA VÁLVULA TERMOSTÁTICA.
• TROCA DAS VELAS.
• TROCA DE CABO DE VELA.
• PALHETAS.
• TENSOR DA CORREIA.
• LÍQUIDO DE ARREFECIMENTO.
• ÁGUA DESMINERALIZADA.</t>
  </si>
  <si>
    <t>FZE9165</t>
  </si>
  <si>
    <t>3-719</t>
  </si>
  <si>
    <t>• TROCA DOS FUZIVIEIS E SOQUETES DO RADIO.</t>
  </si>
  <si>
    <t>GAN2I26</t>
  </si>
  <si>
    <t>1-23</t>
  </si>
  <si>
    <t>• ÓLEO DE MOTOR.
• FILTRO DE ÓLEO.
• FILTRO DE AR.
• FILTRO DE COMBUSTÍVEL.
• PASTILHAS DE FREIO DIANTEIRO.
• PASTILHAS DE FREIO TRASEIRO.
• PALHETAS DOS LIMPADORES DO PAR-BRISA.
• PALHETAS DO VIDRO VIGIA.</t>
  </si>
  <si>
    <t>EST5F94</t>
  </si>
  <si>
    <t>1º BPMM</t>
  </si>
  <si>
    <t>M-01300</t>
  </si>
  <si>
    <t>BZB5586</t>
  </si>
  <si>
    <t>30º BPMM</t>
  </si>
  <si>
    <t>M-30212</t>
  </si>
  <si>
    <t>• REVISÃO NO SISTEMA LUMINOSO E SONORO.
• TROCA DO CONECTOR RJ45.</t>
  </si>
  <si>
    <t>RENAULT/MASTER EUR STDL2</t>
  </si>
  <si>
    <t>8-215</t>
  </si>
  <si>
    <t>• VIATURA FOI RETIRADA  DA UNIDADE COM O GUINCHO DA OFICINA JOCASP PARA EXECUÇÃO DE SERVIÇO CONTRADADO VIA ATA DE REGISTRO DE PREÇO EM  24MAR26.</t>
  </si>
  <si>
    <t>BPO0B73</t>
  </si>
  <si>
    <t>3-263</t>
  </si>
  <si>
    <t>3-268</t>
  </si>
  <si>
    <t>EEF9582</t>
  </si>
  <si>
    <t>1.EM/PM</t>
  </si>
  <si>
    <t>15-285</t>
  </si>
  <si>
    <t>• CALIBRAGEM DOS PNEUS.</t>
  </si>
  <si>
    <t>• REVISÃO NOS SINAIS LUMINOSOS E SONOROS.
• TROCA DA SIRENE - (USADA).</t>
  </si>
  <si>
    <t>• TROCA DO FILTRO DE AR.</t>
  </si>
  <si>
    <t>• LIMPEZA DO SISTEMA DE FREIO INCLUINDO O RESERVÁTORIO DE FLUIDO DE FREIO.
• TROCA DE TODO FLUIDO DE FREIO.
• RETIRADO VÁCUO DO SISTEMA DE FREIO COMPLETO.</t>
  </si>
  <si>
    <t>BYZ0359</t>
  </si>
  <si>
    <t>7º BPMM</t>
  </si>
  <si>
    <t>26-1270</t>
  </si>
  <si>
    <t>• REINSTALAÇÃO DOS SINAIS LUMINOSOS E SONOROS.</t>
  </si>
  <si>
    <t>FVV5D44</t>
  </si>
  <si>
    <t>• REPARO NO PISTAO DA PORTA.
• TROCA DA VALVULA DE ABERTURA DA PORTA  (INSTALADO PEÇA USADA).</t>
  </si>
  <si>
    <t>VW/GOL PATRULHEIRO 1.6</t>
  </si>
  <si>
    <t>• TROCA LÂMPADA FAROL BAIXO L.D.</t>
  </si>
  <si>
    <t>FZT2G96</t>
  </si>
  <si>
    <t>M-26507</t>
  </si>
  <si>
    <t>• REPARO NA.
• INSTALAÇÃO DOS SINAIS LUMINOSOS E SONOROS.</t>
  </si>
  <si>
    <t>FVG8211</t>
  </si>
  <si>
    <t>3-51</t>
  </si>
  <si>
    <t>GDN4E65</t>
  </si>
  <si>
    <t>• RECARGA DE BATERIA.
• FOI RECARREGADA A BATERIA EM 26MAR26.
• PERMANECEU INSTALADA NA VTR ATÉ 30MAR26, ONDE FUNCIONOU NORMALMENTE, SENDO A VTR LIBERADA.</t>
  </si>
  <si>
    <t>FHB6F52</t>
  </si>
  <si>
    <t>10ºBPMM</t>
  </si>
  <si>
    <t>M-10185</t>
  </si>
  <si>
    <t>• REPARO NA.
• INSTALAÇÃO DOS SINAIS LUMINOSOS E SONOROS.
• TROCA DA PLACA DE LED TRASEIRA- ENGESIG.
• FIXAÇÃO DA SIRENE.</t>
  </si>
  <si>
    <t>BVT0B67</t>
  </si>
  <si>
    <t>M-10186</t>
  </si>
  <si>
    <t>DJL4697</t>
  </si>
  <si>
    <t>MARCOPOLO/VOLARE W9 ON</t>
  </si>
  <si>
    <t>C MUS</t>
  </si>
  <si>
    <t>7-60</t>
  </si>
  <si>
    <t>• TROCA DAS BATERIAS.
• AVALIAÇÃO MECANICA PARA ELABORAR CHECK LIST.</t>
  </si>
  <si>
    <t xml:space="preserve">
VIATURA DE RETORNO PARA CONTRATAÇÃO DE SERVIÇOS.
</t>
  </si>
  <si>
    <t>GFH6791</t>
  </si>
  <si>
    <t>• TROCA DE PNEUS.</t>
  </si>
  <si>
    <t>• TROCA DE PNEUS.
• BALANCEAMEAMENTO DE RODAS.
• ALINHAMENTO DE DIREÇÃO.</t>
  </si>
  <si>
    <t>GIP2H16</t>
  </si>
  <si>
    <t>15-174</t>
  </si>
  <si>
    <t>• REPARO NO PNEU.</t>
  </si>
  <si>
    <t>058/26</t>
  </si>
  <si>
    <t>SUL2H65</t>
  </si>
  <si>
    <t>VW/13.180 DRC 6X2</t>
  </si>
  <si>
    <t>13-61</t>
  </si>
  <si>
    <t>• TROCADO 02 BATERIAS.</t>
  </si>
  <si>
    <t>EEF9151</t>
  </si>
  <si>
    <t>RECARGA DA BATERIA</t>
  </si>
  <si>
    <t>• TROCA DA CALHA CONTRATADA.</t>
  </si>
  <si>
    <t>GIT2F28</t>
  </si>
  <si>
    <t>• TROCA DE BATERIA.
• RESET INJEÇÃO ELETRÔNICA.</t>
  </si>
  <si>
    <t>GAC2697</t>
  </si>
  <si>
    <t>22-380</t>
  </si>
  <si>
    <t xml:space="preserve">   LAMPADA H4
• LAMPADA 1 PÓLO
• 
• LÂMPADA H4.
• LÂMPADA 1 PÓLO.
• LÂMPADA PINGO.
• SCANEADO O SISTEMA DE INJEÇÃO ELETRÔNICA E REALIZADO AJUSTE DO COMBUSTÍVEL.</t>
  </si>
  <si>
    <t>BVZ1813</t>
  </si>
  <si>
    <t>CHEV/KADETT IPANEMA</t>
  </si>
  <si>
    <t>I-16202</t>
  </si>
  <si>
    <t>REVISÃO GERAL.</t>
  </si>
  <si>
    <t>DLF6299</t>
  </si>
  <si>
    <t>M-05421</t>
  </si>
  <si>
    <t>• REPARO NOS SINAIS SONOROS E LUMINOSOS.
• TROCA DO MÓDULO DOS SINALIZADORES- (REV) USADO.</t>
  </si>
  <si>
    <t>ESE-7016</t>
  </si>
  <si>
    <t>H.DAVIDSON/FLHP.</t>
  </si>
  <si>
    <t>• AVALIAÇÃO P/ CONTRATOS..</t>
  </si>
  <si>
    <t>• TROCA DAS PASTILHAS DE FREIO DIANTEIRA.
• TROCA DOS DISCOS DE FREIO DIANTEIRO.
• TROCA PASTILHAS DE FREIO TRASEIRA.
• REVISÃO DE PARTE ELÉTRICA.
• REPARO NO PROTETOR DE CARTER.</t>
  </si>
  <si>
    <t>1-147</t>
  </si>
  <si>
    <t>• CONTRATAÇÃO DE INSULFILME.
• SERVIÇO REALIZADO EM 01/04/2026.</t>
  </si>
  <si>
    <t>BUD4H35</t>
  </si>
  <si>
    <t>48ºBPMI</t>
  </si>
  <si>
    <t>I-48003</t>
  </si>
  <si>
    <t>• PARECER TÉCNICO Nº CMM-010/30.3/26.
• REALIZADA A IDENTIFICAÇÃO, ANALISE, E CONFECÇÃO DE PARECER TÉCNICO.
• SISTEMA DE FREIO DE ESTACIONAMENTO.
• TESTES DINÂMICOS E ESTÁTICOS.
• EMISSÃO DE DOCUMENTAÇÃO E ASSINATURAS.
• ENCAMINHAMENTO DE SOLICITAÇÃO DE RETIRADA POR E-MAIL.</t>
  </si>
  <si>
    <t>• TROCA DO HIGH LITGH DO TETO.
• TROCA DO MÓDULO REV.
• TROCA DO CONTROLE REV.</t>
  </si>
  <si>
    <t>DJM8798</t>
  </si>
  <si>
    <t>3-523</t>
  </si>
  <si>
    <t>• VIATURA AVALIADA PARA CONTRATAÇÃO.</t>
  </si>
  <si>
    <t>CTX3J18</t>
  </si>
  <si>
    <t>24ºBPMM</t>
  </si>
  <si>
    <t>M-24211</t>
  </si>
  <si>
    <t>• REPARO NOS SINAIS LUMINOSOS.
• TROCA DO HIGH LIGTH- TETO - EUROSIGNAL (USADO).</t>
  </si>
  <si>
    <t>CPA/M-5</t>
  </si>
  <si>
    <t>• TROCA DOS PNEUS (FORNECIDOS PELA UNIDADE).</t>
  </si>
  <si>
    <t>FDC7E67</t>
  </si>
  <si>
    <t>M-03369</t>
  </si>
  <si>
    <t>• REMOÇÃO, LIMPEZA E APLICAÇÃO.</t>
  </si>
  <si>
    <t>DJM8690</t>
  </si>
  <si>
    <t>15-202</t>
  </si>
  <si>
    <t>• TROCA DAS LAMPÂDAS DE FREIO.
• TROCA DAS LAMPÂDAS DE FAROL DE MILHA..</t>
  </si>
  <si>
    <t>EJT6G94</t>
  </si>
  <si>
    <t>22-163</t>
  </si>
  <si>
    <t>• MANGUEIRA DE ARREFECIMENTO - ENTRADA AR QUENTE.
• LIMPEZA DO SISTEMA DE ARREFECIMENTO.
• TROCA DO LÍQUIDO DE ARREFECIMENTO.</t>
  </si>
  <si>
    <t>EEF9373</t>
  </si>
  <si>
    <t>8ºBAEP</t>
  </si>
  <si>
    <t>15-164</t>
  </si>
  <si>
    <t>• TROCA DE SIRENE E REPAROS.</t>
  </si>
  <si>
    <t>FXB7A21</t>
  </si>
  <si>
    <t>3-169</t>
  </si>
  <si>
    <t>APLICAÇÃO DO ADESIVO GRAFISMO DA UNIDADE IDENTIFICADORA (CMI).</t>
  </si>
  <si>
    <t>059/26</t>
  </si>
  <si>
    <t>SUQ6F88</t>
  </si>
  <si>
    <t>M.BENZ/SPRINTER 517</t>
  </si>
  <si>
    <t>15-229</t>
  </si>
  <si>
    <t>ELABORADO CHECK LIST E ENCAMINHADO A CONTRATAÇÃO</t>
  </si>
  <si>
    <t>FZX8051</t>
  </si>
  <si>
    <t>22-68</t>
  </si>
  <si>
    <t>• TROCA DO MOTOR DE PARTIDA.</t>
  </si>
  <si>
    <t>DRK1J98</t>
  </si>
  <si>
    <t>M-06029-11</t>
  </si>
  <si>
    <t>• TROCA DO KIT COMPLETO.
• SIRENE.
• SINAIS LUMINOSOS.
• CHICOTE.
• RELÊ AUXILAR.</t>
  </si>
  <si>
    <t>BZA9H57</t>
  </si>
  <si>
    <t>M-06030-11</t>
  </si>
  <si>
    <t>• REPARO NOS SINAIS LUMINOSOS E SONOROS.
• TROCA DO RELÊ AUXILIAR.</t>
  </si>
  <si>
    <t>DJP5690</t>
  </si>
  <si>
    <t>7-50</t>
  </si>
  <si>
    <t>GJT2H07</t>
  </si>
  <si>
    <t>4.EM/PM</t>
  </si>
  <si>
    <t>15-100</t>
  </si>
  <si>
    <t>• TROCA DE DISCO FREIO TRASEIRO.
• TROCA DE PASTILHA TRASEIRA.
• TROCA DE PASTILHA DIANTEIRA.</t>
  </si>
  <si>
    <t>EDI8336</t>
  </si>
  <si>
    <t>M.BENZ/415CDISPRINTERM</t>
  </si>
  <si>
    <t>17-17</t>
  </si>
  <si>
    <t>• TROCA D 03 BICOS.</t>
  </si>
  <si>
    <t>CMW8259</t>
  </si>
  <si>
    <t>15-177</t>
  </si>
  <si>
    <t>• TROCA DOS AMORTECEDORES DIANTEIROS COM KIT (BATENTE, COIFA ROLAMENTO E COXIM DA TORRE).</t>
  </si>
  <si>
    <t>FJQ9E35</t>
  </si>
  <si>
    <t>SEM PREFIXO8-1026</t>
  </si>
  <si>
    <t>• TROCA DE OLEO.</t>
  </si>
  <si>
    <t>DJL4701</t>
  </si>
  <si>
    <t>7-55</t>
  </si>
  <si>
    <t xml:space="preserve">MOTOR DO LIMPADOR  COM ENTALHADO DANIFICADO
• TROCA FAROL ALTO ESQUERDO
• REPARO CHAVE DE SETAS
• TROCA DO SINTO DE SEGURANÇA FEMEMA MOTORISTA </t>
  </si>
  <si>
    <t>060/26</t>
  </si>
  <si>
    <t>UDG4C41</t>
  </si>
  <si>
    <t>8º BPM/M</t>
  </si>
  <si>
    <t>M-08215</t>
  </si>
  <si>
    <t>• FOTOGRAFIAS DE IDENTIFICAÇÃO.
• ARQUIVO DAS FOTOS.
• MÁSCARA DO PARECER TÉCNICO.
• DESMONTAGEM DA PARTE DE BAIXO DO MOTOR PARA VISUALIZAÇÃO ANALISE E FOTOS.</t>
  </si>
  <si>
    <t>FSG0E55</t>
  </si>
  <si>
    <t>• REPAROS NOS SISTEMA DE SINALIZADORES, CHICOTE , RECLAMAÇÃO QUE  O SISTEMA DESLIGA, FOI CONSULTADO EMPRESA INSTALADORA E RELATOU QUE POR CONTA DO ALTERNADOR O SISTEMA DESLIGA ATE CARREGAR E RELIGA AUTOMATICAMENTE.</t>
  </si>
  <si>
    <t>• RESOLVIDO.
• APÓS ENCAMINHAR COMO TESTE PARA SINALIZADOR, CLICO EM RESOLVIDO.</t>
  </si>
  <si>
    <t>VW/GOL CITY MC</t>
  </si>
  <si>
    <t>• REPARO TAMPA DO TANQUE DE COMBUSTÍVEL.</t>
  </si>
  <si>
    <t>FEI8130</t>
  </si>
  <si>
    <t>GM/COBALT</t>
  </si>
  <si>
    <t>8-877</t>
  </si>
  <si>
    <t>• REPARO NOS COXINS.
• REPARO NAS CORREIAS.
• TROCA DE ÓLEO.
• TROCA DE FILTRO DE ÓLEO.</t>
  </si>
  <si>
    <t>EZZ4B18</t>
  </si>
  <si>
    <t>4º BPMM</t>
  </si>
  <si>
    <t>M-04307</t>
  </si>
  <si>
    <t>• REMOÇÃO/LIMPEZA/APLICAÇÃO CAPÔ.</t>
  </si>
  <si>
    <t>BZG0577</t>
  </si>
  <si>
    <t>14º BPM/M</t>
  </si>
  <si>
    <t>M-14232</t>
  </si>
  <si>
    <t>• REPAROS NO CHICOTE E MODULO/ OBS PARACHOQUE DIANTEIRO EM MAU ESTADO DE CONSERVAÇÃO.</t>
  </si>
  <si>
    <t>CPA/M-1</t>
  </si>
  <si>
    <t>• REPARO NOS SINALIZADORES.</t>
  </si>
  <si>
    <t>DRJ8F94</t>
  </si>
  <si>
    <t>3-436</t>
  </si>
  <si>
    <t>• TROCA DO PARA BRISAS.</t>
  </si>
  <si>
    <t>FYL5201</t>
  </si>
  <si>
    <t>CHEV/MONTANA LS</t>
  </si>
  <si>
    <t>8-876</t>
  </si>
  <si>
    <t>• .TROCA DE 04 PNEUS 195/65R15.
• ALINHAMENTO DE DIREÇÃO.
• BALANCEAMENTO DE RODAS.
• .TROCA DE 05 PNEUS 195/65R15.
• ALINHAMENTO DE DIREÇÃO.
• BALANCEAMENTO DE RODAS.</t>
  </si>
  <si>
    <t>EEF9070</t>
  </si>
  <si>
    <t>7-42</t>
  </si>
  <si>
    <t>AR CONDICIONADO INOPERANTE, BATERIA, PARACHOQUE DIANTEIRO QUEBRADO, SAIDA DE EMERGENCIA DO TETO QUEBRADA ETC.
• AR CONDICIONADO INOPERANTE,
•  BATERIA</t>
  </si>
  <si>
    <t>GIE0D31</t>
  </si>
  <si>
    <t>31º BPM/M</t>
  </si>
  <si>
    <t>M-31180</t>
  </si>
  <si>
    <t>REPARO</t>
  </si>
  <si>
    <t>FUV2H55</t>
  </si>
  <si>
    <t>29ºBPMM</t>
  </si>
  <si>
    <t>M-29101</t>
  </si>
  <si>
    <t>MANUTENÇÃO: TROCA DO GRAFISMO DO CAPÔ.
CONFORME OFÍCIO Nº29ºBPMM-010/14/26.</t>
  </si>
  <si>
    <t>FSS8990</t>
  </si>
  <si>
    <t>15-60</t>
  </si>
  <si>
    <t>TROCA DAS LAMPADAS
• REPARO NO CHICOTE DA BATERIA</t>
  </si>
  <si>
    <t>EEF8676</t>
  </si>
  <si>
    <t>1-106</t>
  </si>
  <si>
    <t>MANUTENÇÃO TROCA DE BATERIA.</t>
  </si>
  <si>
    <t>FXZ1E37</t>
  </si>
  <si>
    <t>• . REPARO PNEU TRASEIRO LADO DIREITO.
• TROCA DE OLEO.</t>
  </si>
  <si>
    <t>DLF2866</t>
  </si>
  <si>
    <t>HONDA/XRE 300</t>
  </si>
  <si>
    <t>55º BPM/I</t>
  </si>
  <si>
    <t>I-55019</t>
  </si>
  <si>
    <t>• TROCA DO SISTEMA DOS SINAIS SONOROS E LUMINOSOS.
• COLOCAÇÃO DE KIT NOVO.</t>
  </si>
  <si>
    <t>DJL9538</t>
  </si>
  <si>
    <t>32º BPM/M</t>
  </si>
  <si>
    <t>M-32025-11</t>
  </si>
  <si>
    <t>• REPAROS NO CHICOTE E.
• INSTALAÇÃO DE SIRENE RECUPERADA.</t>
  </si>
  <si>
    <t>FQC1G35</t>
  </si>
  <si>
    <t>M-06035-11</t>
  </si>
  <si>
    <t>• TROCA DE LED, SIRENE CONTROLE E REPAROS EM TODO CHICOTE DE SINALIZADOR COMPLETO, OBS PEÇAS SUBSTITUIDAS USADAS.</t>
  </si>
  <si>
    <t>CQU0C78</t>
  </si>
  <si>
    <t>M-06031-11</t>
  </si>
  <si>
    <t>• REPAROS NO CHICOTE, E SISTEMA DE SINALIZADORES.</t>
  </si>
  <si>
    <t>EEF8702</t>
  </si>
  <si>
    <t>15-189</t>
  </si>
  <si>
    <t>FPR1496</t>
  </si>
  <si>
    <t>061/26</t>
  </si>
  <si>
    <t>GBL4A79</t>
  </si>
  <si>
    <t>15-233</t>
  </si>
  <si>
    <t>• REVISÃO SISTEMA DE ILUMINAÇÃO.</t>
  </si>
  <si>
    <t>DJL9555</t>
  </si>
  <si>
    <t>19-56</t>
  </si>
  <si>
    <t>• REMOÇÃO/LIMPEZA/A.PLICAÇÃO DE PREFIXOS.</t>
  </si>
  <si>
    <t xml:space="preserve">INSTALAÇÃO DE INSULFILM SENDO:
PARABRISA G25;
LATERAIS E TRASEIRO G5.
</t>
  </si>
  <si>
    <t>FCR2F61</t>
  </si>
  <si>
    <t>1-86</t>
  </si>
  <si>
    <t>• ANALISE VIA RASTER DA LUZ DE INJEÇÃO.</t>
  </si>
  <si>
    <t>GDH9B87</t>
  </si>
  <si>
    <t>CPI-8</t>
  </si>
  <si>
    <t>15-271</t>
  </si>
  <si>
    <t>25BPMM</t>
  </si>
  <si>
    <t>• GRAFISMO COLOCAÇÃO PCD.
• APLICAÇÃO POLÍCIA CAPO E LATERAL ESQUERDA.
• APLICAÇÃO RONDA ESCOLAR E PCD.</t>
  </si>
  <si>
    <t>DGY0091</t>
  </si>
  <si>
    <t>M-29143</t>
  </si>
  <si>
    <t>• TROCA DE GRAFISMO CAPÔ.
• LIMPEZA/REMOÇÃO/APLICAÇÃO.
• E APLICAÇÃO VIDRO TRASEIRO ADESIVO RONDA ESCOLAR.</t>
  </si>
  <si>
    <t>062/26</t>
  </si>
  <si>
    <t>OVO1D97</t>
  </si>
  <si>
    <t>TOYOTA/YARIS</t>
  </si>
  <si>
    <t>S/PREF</t>
  </si>
  <si>
    <t>• RETIRADA DE  SINALIZADORES.</t>
  </si>
  <si>
    <t>BZA7625</t>
  </si>
  <si>
    <t>CAES</t>
  </si>
  <si>
    <t>15-238</t>
  </si>
  <si>
    <t>GEK4006</t>
  </si>
  <si>
    <t>3-526</t>
  </si>
  <si>
    <t>FWM2I43</t>
  </si>
  <si>
    <t>CPM-001</t>
  </si>
  <si>
    <t>• REPARO NO PNEU DIANTEIRO.</t>
  </si>
  <si>
    <t>FIAT/SIENA 1.3</t>
  </si>
  <si>
    <t>• TROCA DOS PNEUS DAINTEIROS (RMANEJADOS).
• BALANCEAMENTO DE RODAS.
• ROÍZIO DOS PNEUS.</t>
  </si>
  <si>
    <t>EEF9065</t>
  </si>
  <si>
    <t>1-141</t>
  </si>
  <si>
    <t>• TROCA DE LAMPADA DO FAROL.</t>
  </si>
  <si>
    <t>• TROCA DE LAMPADA DO FAROL DE MILHA.</t>
  </si>
  <si>
    <t xml:space="preserve">VIATURA MISTURANDO ÓLEO NO RESERVATÓRIO DE ÁGUA;
PAINEL COM TODAS AS  MENSAGENS  ACESAS
</t>
  </si>
  <si>
    <t>DLF1239</t>
  </si>
  <si>
    <t>• DESMONTAGEM COMPONENTES SUSPENSÃO / FREIOS / MANETES / RODAS / CORRENTE DE TRANSMISSÃO / LUBRIFICAÇÃO E LIMPEZA GERAL.
• TROCA ÓLEO MOTOR E FILTRO.
• DOT-4.</t>
  </si>
  <si>
    <t>FIAT/MOBI LIKE</t>
  </si>
  <si>
    <t>• FOI TROCADO NA LINHA VELA E CABO DE VELA, BICOS OK NA MAQUINA.
• SCANNER NÃO LÊ  ESSE SISTEMA.
• AVALIAÇÃO NA OFICINA.</t>
  </si>
  <si>
    <t>EXG0F24</t>
  </si>
  <si>
    <t>8-1125</t>
  </si>
  <si>
    <t>• TROCA DO PNEUS.
• ALINHAMENTO DE DIREÇÃO.
• BALANCEAMENTO DE RODAS.</t>
  </si>
  <si>
    <t>GCB2D12</t>
  </si>
  <si>
    <t>M-30305</t>
  </si>
  <si>
    <t>FMB4B91</t>
  </si>
  <si>
    <t>15º BPMM</t>
  </si>
  <si>
    <t>M-15100</t>
  </si>
  <si>
    <t>• REPAROS NO CHICOTE / FOI ORIENTADO A.
• TROCAR A BATERIA AUXILIAR.</t>
  </si>
  <si>
    <t>FXN6I33</t>
  </si>
  <si>
    <t>M-15109</t>
  </si>
  <si>
    <t>• TROCA DO SINALIZADOR DE TETO E REPAROS.</t>
  </si>
  <si>
    <t>FCJ5486</t>
  </si>
  <si>
    <t>15-198</t>
  </si>
  <si>
    <t>• ELABORADO CHECK LIST E ENACAMINHADO PARA CONTRATAÇÃO.
ELABORADO CHECH LIST E ENCAMINHADO AO SETOR DE CONTRATÇÃO</t>
  </si>
  <si>
    <t>BPO0J14</t>
  </si>
  <si>
    <t>7º BPM/M</t>
  </si>
  <si>
    <t>M-07053-11</t>
  </si>
  <si>
    <t>• REPAROS NOS SINAIS LUMINOSOS.</t>
  </si>
  <si>
    <t>063/26</t>
  </si>
  <si>
    <t>SUE5H57</t>
  </si>
  <si>
    <t>TOYOTA/C CROSS</t>
  </si>
  <si>
    <t>49BPMM</t>
  </si>
  <si>
    <t>M-49131</t>
  </si>
  <si>
    <t>• PARECER TÉCNICO SISTEMA DE FRENAGEM.
• IDENTIFICAÇÃO DO VEÍCULO DIAGNOSTICO ELETRÔNICO.
• DESMONTAGEM, MEDIÇÃO E.
• TESTE DE COMPONENTES.
• ELABORAÇÃO DE PARECER TÉCNICO.
• CONTATO COM A UNIDADE PARA RETIRADA DE VTR E DOCUMENTAÇÃO.
• IMPRESSÃO E ARQUIVAMENTO DE DOCUMENTAÇÃO, RECIBOS E ETC.</t>
  </si>
  <si>
    <t>DCF7791</t>
  </si>
  <si>
    <t>15-291</t>
  </si>
  <si>
    <t>LINHA MECÂNICA 
FALHA NA PARTIDA DA VIATURA.
OFÍCIO  Nº CMED-022/525/26.</t>
  </si>
  <si>
    <t>AVALIAÇÃO DE DESCARGA</t>
  </si>
  <si>
    <t>REVISÃO LÂMPADAS</t>
  </si>
  <si>
    <t>GFW1I83</t>
  </si>
  <si>
    <t>IVECO/TECTOR 11-190</t>
  </si>
  <si>
    <t>13-46</t>
  </si>
  <si>
    <t>SOLICITADO TROCA DO PARABRISA
• VALVULA DO SUSPENSOR 
• MANUTENÇÃO DO ARA CONDICIONADO
• TROCA DA BATERIA
• ENCAMINHADO AO SETOR DE CONTRATAÇAO</t>
  </si>
  <si>
    <t>EZD3G24</t>
  </si>
  <si>
    <t>5º BAEP</t>
  </si>
  <si>
    <t>E-05202</t>
  </si>
  <si>
    <t>• TROCA DO SISTEMA DE SINALIZADOR COMPLETO.</t>
  </si>
  <si>
    <t>• TROCA PASTILHAS DE FREIO DIANTEIRA.
• TROCA DAS PASTILHAS DE FREIO TRASEIRA.
• TROCA DO FLUIDO DE FREIO DOT 4.</t>
  </si>
  <si>
    <t>REV4E99</t>
  </si>
  <si>
    <t>DL-CMI</t>
  </si>
  <si>
    <t>15-210</t>
  </si>
  <si>
    <t>DZF2E12</t>
  </si>
  <si>
    <t>4ºBPCHQ</t>
  </si>
  <si>
    <t>• FEITO ANALISE DO SISTEMA DE SINALIZADORES ENGESIG.  CONCLUIDO QUE O LED FRONTAL E O LED TRASEIRO NÃO ESTA FUNCIONANDO PODENDO SER MODULO COM PROBLEMA, POREM ESTE CENTRO NÃO TEM MODULO PARA.
• SUBSTITUIR DEVIDO AO PROBLEMA CRONICO DE VIATURAS EQUIPADAS EM 2022 PELA ENGESIG.</t>
  </si>
  <si>
    <t>FNR2582</t>
  </si>
  <si>
    <t>3-210</t>
  </si>
  <si>
    <t xml:space="preserve">SUBSTITUIÇÃO DA ALAVANCA DO FREIO DE MÃO.
</t>
  </si>
  <si>
    <t>CDR7377</t>
  </si>
  <si>
    <t>M-07216</t>
  </si>
  <si>
    <t>• REPAROS NO CHICOTE.</t>
  </si>
  <si>
    <t>• ENCAMINHADO AO SETOR DE CONTRATO.</t>
  </si>
  <si>
    <t>065/26</t>
  </si>
  <si>
    <t>• NADA CONSTATADO.</t>
  </si>
  <si>
    <t>FYC8C26</t>
  </si>
  <si>
    <t>13-91</t>
  </si>
  <si>
    <t>• TROCADO O BICO DE ABASTECIMENMTO, INSTALADO UM GATILHO PROVISORIO. FEITO O.
• TESTE DE VAZÃO.</t>
  </si>
  <si>
    <t>ELP8F72</t>
  </si>
  <si>
    <t>• FEITO REPARO NO FURO DA ANTENA COM ARRUELA PARAFUSO E BORRACHA PRA VEDAÇÃO.
• REPARO NO FAROL, RELE QUEIMADO.
• LIMPEZA DO FILTRO DO EXAUSTOR DO ARA CONDICIONADO.</t>
  </si>
  <si>
    <t>EEF9062</t>
  </si>
  <si>
    <t>15-287</t>
  </si>
  <si>
    <t>• AVALIAÇÃO PARA CONTTRATAÇÃO.</t>
  </si>
  <si>
    <t>GAA4065</t>
  </si>
  <si>
    <t>15-55</t>
  </si>
  <si>
    <t>FWU2D55</t>
  </si>
  <si>
    <t>1-38</t>
  </si>
  <si>
    <t>• REPARO NOS SINAIS SONOROS E LUMINOSOS.</t>
  </si>
  <si>
    <t>CFY4253</t>
  </si>
  <si>
    <t>VW/SPACEFOX</t>
  </si>
  <si>
    <t>22-1300</t>
  </si>
  <si>
    <t>AVALIAÇÃO PARA DESCARGA</t>
  </si>
  <si>
    <t>066/26</t>
  </si>
  <si>
    <t>OVO1E06</t>
  </si>
  <si>
    <t>CMM / SAF</t>
  </si>
  <si>
    <t>• RETIRADA DOS SINAIS SONOROS E LUMINOSOS.</t>
  </si>
  <si>
    <t>FNT3E71</t>
  </si>
  <si>
    <t>COORDOP PM 001</t>
  </si>
  <si>
    <t>• TROCA DE PASTILHASDE FREIO DIANTEIRA.
• TROCA DAS PASTILHAS DE FREIO TRASEIRA.</t>
  </si>
  <si>
    <t>• TROCA DOS AMORTECEDORES DIANTEIROS;
• KITS DOS AMORTECEDORES DIANTEIROS;</t>
  </si>
  <si>
    <t>067/26</t>
  </si>
  <si>
    <t>FXC6745</t>
  </si>
  <si>
    <t>CIAF</t>
  </si>
  <si>
    <t>22-746</t>
  </si>
  <si>
    <t>• .
• TROCA DE ÓLEO.
• TROCA DA BATERIA.</t>
  </si>
  <si>
    <t>• GRAFISMO CAPÔ E LATERAL DIREITA FAIXA.</t>
  </si>
  <si>
    <t>SUL4A83</t>
  </si>
  <si>
    <t>TOYOTA/COROLLA CROSS</t>
  </si>
  <si>
    <t>18ºBPM/M</t>
  </si>
  <si>
    <t>M-18365</t>
  </si>
  <si>
    <t>• REMOÇÃO DE RODAS E INSTALAÇÃO.
• COLETA DE MEDIDAS DE PEÇAS DE ATRITO E RELATÓRIO FOTOGRÁFICO.
• ANALISE VISUAL DE COMPONNETES DE DIREÇÃO COMO PIVÔS , TEMINAIS DE DIREÇÃO, CAIXA DE DIREÇÃO, BRAÇOS DE DIREÇÃO.
• ANALISE VISUAL DE COMPONENTES DO SISTEMA DE FREIO COMO MANGUEIRAS, PINÇAS DE FREIO RESERVATÓRIO.
• DESMONTAGEM DE COMPONENTES DE ATRITO DO FREIO.
• MENSURAÇÃO DE DESGASTE DOS COMPONENTES DO SISTEMA DE FREIO.
• RELATÓRIO FOTOGRÁFICO COM AS MEDIDAS COLETADAS.
• ANALISE QUANTO A FÁDIGAS, SUPERAQUECIMENTOS, FISSURAS OU TRINCAS DOS MATERIAIS.
• CONFECÇÃO DE PARECER TÉCNICO.
• EMISSÃO DE DOCUMENTAÇÃO E ASSINATURAS.
• ENCAMINHAMENTO DE SOLICITAÇÕES DE RETIRADA POR E-MAIL.</t>
  </si>
  <si>
    <t>068/26</t>
  </si>
  <si>
    <t>• .
• TROCA DA BATERIA.
• REPARO DO PNEU.</t>
  </si>
  <si>
    <t xml:space="preserve"> VIATURA PARA O SETOR TÉCNICO, DOCUMENTAÇÃO ENTREGUE DIRETAMENTE AO SETOR,OFÍCIO PMRG-25/13/26 ANEXO.</t>
  </si>
  <si>
    <t>071/2026</t>
  </si>
  <si>
    <t>CMW-8259</t>
  </si>
  <si>
    <t>GM/VECTRA</t>
  </si>
  <si>
    <t>• TROCADA LÂMPADA H7</t>
  </si>
  <si>
    <t>072/26</t>
  </si>
  <si>
    <t>EXW2E26</t>
  </si>
  <si>
    <t>1-31</t>
  </si>
  <si>
    <t>• .
• TROCA DA BATERIA.
• TROCA LÂMPADA DE FREIO.</t>
  </si>
  <si>
    <t>073/26</t>
  </si>
  <si>
    <t>FMA0129</t>
  </si>
  <si>
    <t>15-294</t>
  </si>
  <si>
    <t>RESOLVIDO.</t>
  </si>
  <si>
    <t>074/2026</t>
  </si>
  <si>
    <t>FDR1241</t>
  </si>
  <si>
    <t>23ºBPMI</t>
  </si>
  <si>
    <t>I-23120</t>
  </si>
  <si>
    <t>• REPAROS.</t>
  </si>
  <si>
    <t>075/2026</t>
  </si>
  <si>
    <t>FNN9726</t>
  </si>
  <si>
    <t>23 ºBPMI</t>
  </si>
  <si>
    <t>I-23121</t>
  </si>
  <si>
    <t>• REPARO NA.
• INSTALAÇÃO DOS SINAIS LUMINOSOS E SONOROS.
• TROCA DE UMA PLACA DE LED DO SINALIZADOR.</t>
  </si>
  <si>
    <t>076/2026</t>
  </si>
  <si>
    <t>ESS4243</t>
  </si>
  <si>
    <t>23ªBPMI</t>
  </si>
  <si>
    <t>I-23188</t>
  </si>
  <si>
    <t>• REPARO NA.
• INSTALAÇÃO DOS SINAIS LUMINOSOS E SONOROS.
• TROCA DE LEDS. (USADO).</t>
  </si>
  <si>
    <t>077/26</t>
  </si>
  <si>
    <t>• TROCA PASTILHAS FREIO DIANTEIRA.
• DIAGNOSTICO E SOLUÇÃO ERRO AIRBAG - REDE CAM.</t>
  </si>
  <si>
    <t>MANUTENÇÃO TROCA DE PASTILHAS (FREIOS)</t>
  </si>
  <si>
    <t>MANUTENÇÃO CONFORME OFÍCIO DE Nº CMI-02/112/26 ANEXO . (  ELÉTRICO )</t>
  </si>
  <si>
    <t>• .
• TROCA DA BATERIA PRINCIPAL 75 AMP/H.
• TROCA DA BATERIA AUXILIAR 75 AMP/H.
• TROCA DO KIT DE EMBREAGEM COMPLETO (PLATÔ, DISCO E ROLAMENTO).</t>
  </si>
  <si>
    <t>FOP0432</t>
  </si>
  <si>
    <t xml:space="preserve">LINHA : BARULHO NA SUSPENSÃO
BORRACHARIA : VERIFICAR TROCA DE PNEU DIANTEIRO
PARTE EM ANEXO </t>
  </si>
  <si>
    <t>GBI2030</t>
  </si>
  <si>
    <t>RENAULT/FLUENCE DYN20M</t>
  </si>
  <si>
    <t>8-27</t>
  </si>
  <si>
    <t>• ENCAMINHADO PARA OFICINA PARA.
• TROCA DE BATERIA E PNEUS,
• AVALIAR SUSPENSÃO, FREIO E MOTOR NA OFICINA</t>
  </si>
  <si>
    <t>079/26</t>
  </si>
  <si>
    <t>CEB7E15</t>
  </si>
  <si>
    <t>E-05203</t>
  </si>
  <si>
    <t>• LIBERADO POR FALTA DE MEIOS FUNCIONANDO PARCIALMENTE.
• O CMM NÃO POSSUI MÓDULO DE SIRENE.</t>
  </si>
  <si>
    <t>• REPARO DE PNEU FURADO.</t>
  </si>
  <si>
    <t>BYZ4382</t>
  </si>
  <si>
    <t>YAMAHA/XT 660R</t>
  </si>
  <si>
    <t>COPOM 004</t>
  </si>
  <si>
    <t>• REALIZANDO DIAGNOSTICO DEFEITO / REVISÃO GERAL....
• REALIZANDO DIAGNOSTICO DEFEITO / REVISÃO GERAL..
TROCA ÓLEO MOTOR
• PASTILHA FREIO 
• FLUÍDO DE FREIO DOT-4
• RETIFICADOR
• FUSÍVEIS
• DIAGNÓSTICO INJEÇÃO ELETRÔNICA (DEFEITOS)
• LUBRIFICAÇÃO CORRENTE DE TRANSMISSÃO
TROCA ÓLEO MOTOR
• PASTILHA FREIO 
• FLUÍDO DE FREIO DOT-4
• RETIFICADOR
• FUSÍVEIS
• DIAGNÓSTICO INJEÇÃO ELETRÔNICA (DEFEITOS)
• LUBRIFICAÇÃO CORRENTE DE TRANSMISSÃO
TROCA ÓLEO MOTOR
• PASTILHA FREIO 
• FLUÍDO DE FREIO DOT-4
• RETIFICADOR
• FUSÍVEIS
• DIAGNÓSTICO INJEÇÃO ELETRÔNICA (DEFEITOS)
• LUBRIFICAÇÃO CORRENTE DE TRANSMISSÃO
TROCA ÓLEO MOTOR
• PASTILHA FREIO 
• FLUÍDO DE FREIO DOT-4
• RETIFICADOR
• FUSÍVEIS
• DIAGNÓSTICO INJEÇÃO ELETRÔNICA (DEFEITOS)
• LUBRIFICAÇÃO CORRENTE DE TRANSMISSÃO</t>
  </si>
  <si>
    <t>BYZ4381</t>
  </si>
  <si>
    <t>COPOM 003</t>
  </si>
  <si>
    <t>CONTRATAÇÃO.</t>
  </si>
  <si>
    <t>FIF8A43</t>
  </si>
  <si>
    <t>15-75</t>
  </si>
  <si>
    <t>REVISÃO FREIOS E REVISÃO LÂMPADAS</t>
  </si>
  <si>
    <t>081/26</t>
  </si>
  <si>
    <t>FXG0I23</t>
  </si>
  <si>
    <t>T-01227</t>
  </si>
  <si>
    <t>• REPAROS NOS SINAIS SONOROS E LUMINOSOS.</t>
  </si>
  <si>
    <t>SSX4I40</t>
  </si>
  <si>
    <t>15-230</t>
  </si>
  <si>
    <t>ELABORADO CHECK LIST E ACAMINHADOPARA CONTRATAÇÃO</t>
  </si>
  <si>
    <t>084/26</t>
  </si>
  <si>
    <t>EVY9C12</t>
  </si>
  <si>
    <t>M-07044-11</t>
  </si>
  <si>
    <t>085/26</t>
  </si>
  <si>
    <t>FON9C41</t>
  </si>
  <si>
    <t>M-07045-11</t>
  </si>
  <si>
    <t>• REPARO NOS SINAIS SONOROS E LUMINOSOS ENGESIG.</t>
  </si>
  <si>
    <t>086/26</t>
  </si>
  <si>
    <t>BRZ9201</t>
  </si>
  <si>
    <t>CHEV/VERANEIO</t>
  </si>
  <si>
    <t>3-79</t>
  </si>
  <si>
    <t>087/26</t>
  </si>
  <si>
    <t>OVO1E09</t>
  </si>
  <si>
    <t>S/P</t>
  </si>
  <si>
    <t>• RETIRADA DE SINALIZADORES PERMANECERAM NO PORTA MALAS DA VIATURA.</t>
  </si>
  <si>
    <t>DJL9521</t>
  </si>
  <si>
    <t>M-31186</t>
  </si>
  <si>
    <t>• REPARO NA.
• INSTALAÇÃO DOS SINAIS SONOROS E LUMINOSOS, ADAPTAÇÃO.</t>
  </si>
  <si>
    <t>DJL2378</t>
  </si>
  <si>
    <t>M-14186</t>
  </si>
  <si>
    <t>• TROCA KIT COMPLETO.</t>
  </si>
  <si>
    <t>GHR4I45</t>
  </si>
  <si>
    <t>1-59</t>
  </si>
  <si>
    <t>• TROCA DAS BIELETAS TRASEIRAS.
• TROCA DAS BUCHAS DA BARRA ESTABILIZADORA TRASEIRA.
• TROCA DO ÓLEO DE CÂMBIO.
• TROCA DO ÓLEO DE DIFERENCIAL.</t>
  </si>
  <si>
    <t>DXH9981</t>
  </si>
  <si>
    <t>• TROCA DAS SAPATAS DE FREIO.
• TROCA DO FLUIDO DE FREIO.
• LIMPEZA DO SISTEMA DE FLUIDO DE FREIO.
• REGULAGEM DO FREIO DE ESTACIONAMENTO.
• FEITA CORREÇÃO NO SISTEMA DE INJEÇÃO.
• TROCA DO CABOS DE IGNIÇÃO
• TROCA DAS VELAS DE IGNIÇÃO</t>
  </si>
  <si>
    <t>EEF9727</t>
  </si>
  <si>
    <t>3-238</t>
  </si>
  <si>
    <t>• .
• TROCA DA BATERIA PRINCIPAL 75 AMP/H.
• TROCA DA BATERIA AUXILIAR 75 AMP/H.</t>
  </si>
  <si>
    <t>• TROCA DE BATERIA.
• REVISÃO SISTEMA DE INJEÇÃO ELETRÔNICA.</t>
  </si>
  <si>
    <t>ECM0E61</t>
  </si>
  <si>
    <t>22-320</t>
  </si>
  <si>
    <t>• RECARGA NA BATERIA.
• TROCA DO LÍQUIDO DE ARREFECIMENTO.
• MOTOR DE PARTIDA.
• FILTRO DE COMBUSTÍVEL.
• FILTRO DE AR.
• VELAS.
• CABOS DE VELA.</t>
  </si>
  <si>
    <t>FLR7F56</t>
  </si>
  <si>
    <t>MERCEDES-BENZ/SPRINTER</t>
  </si>
  <si>
    <t>16ºBPMM</t>
  </si>
  <si>
    <t>M-16170</t>
  </si>
  <si>
    <t>• REPARO NA.
• INSTALAÇÃO DOS SINAIS SONOROS E LUMINOSOS.</t>
  </si>
  <si>
    <t>DEU7723</t>
  </si>
  <si>
    <t>32º BPMM</t>
  </si>
  <si>
    <t>M-32380-11</t>
  </si>
  <si>
    <t>TROCA DO KIT COMPLETO UNIVERSAL</t>
  </si>
  <si>
    <t>BPQ0I86</t>
  </si>
  <si>
    <t>CPI-07</t>
  </si>
  <si>
    <t>20-71</t>
  </si>
  <si>
    <t>• REPARO NA.
• INSTALAÇÃO DOS SINAIS SONOROS E LUMINOSOS- ENGESIG.</t>
  </si>
  <si>
    <t>GKH3I25</t>
  </si>
  <si>
    <t>• REVISAO DE 100.000 KM.
• TROCA DOS 04 PNEUS 265/60R18.
• TROCA DO COLETOR DE ESCAPAMENTO COM JUNTA.
• TROCA DE ÓLEO DO MOTOR E FILTRO.
• TROCA DO FILTRO DE COMBUSTÍVEL.
• TROCA DO FILTRO DE AR DO MOTOR.
• TROCA DO FILTRO DE AR DE CABINE.
• REPARAR E PINTAR, MARTELINHO DE OURO.
• POLIMENTO GERAL.
• TROCA DAS CALHAS DE CHUVA.</t>
  </si>
  <si>
    <t>DAJ6250</t>
  </si>
  <si>
    <t>EQA4H53</t>
  </si>
  <si>
    <t>15-54</t>
  </si>
  <si>
    <t>REVISÃO  DOS 100 MIL KMS.
TROCA DOS 04 PNEUS.
BARULHO NOS FREIOS DIANTEIROS.</t>
  </si>
  <si>
    <t>EEF8678</t>
  </si>
  <si>
    <t>15-215</t>
  </si>
  <si>
    <t>CONTRATACÃO</t>
  </si>
  <si>
    <t>DGN9213</t>
  </si>
  <si>
    <t>22-712</t>
  </si>
  <si>
    <t>• AVALIAÇÃO CONSERTO DA JUNTA DO CABEÇOTE.
• AVALIAÇÃO E CONSERTO DO SISTEMA DE ARREFECIMENTO DO MOTOR.
• INSTALAÇÃO DA VARETA DE SUPORTE DO CAPÔ.
• TROCA DO ÓLEO DO MOTOR COM FILTRO.</t>
  </si>
  <si>
    <t>088/26</t>
  </si>
  <si>
    <t>OVOID70</t>
  </si>
  <si>
    <t>• DESCARACTERIZAÇÃO.</t>
  </si>
  <si>
    <t>089/2026</t>
  </si>
  <si>
    <t>GJG9187</t>
  </si>
  <si>
    <t>M-30022</t>
  </si>
  <si>
    <t>EEF-8814</t>
  </si>
  <si>
    <t>1-131</t>
  </si>
  <si>
    <t>• FORAM VERIFICADOS A SUSPENSÃO DIANTEIRA COMPLETA, DEVIDO A BARULHOS. ENCAMINHADO PARA GARANTIA.</t>
  </si>
  <si>
    <t>CQU9H36</t>
  </si>
  <si>
    <t>31ºBPMM</t>
  </si>
  <si>
    <t>M-31181</t>
  </si>
  <si>
    <t>• TROCA DE LED DA GRADE E REPAROS NO CHICOTE.</t>
  </si>
  <si>
    <t>FGA9A12</t>
  </si>
  <si>
    <t>RENAULT/MASTER L2H2 PR</t>
  </si>
  <si>
    <t>5-35</t>
  </si>
  <si>
    <t>• TROCA BATERIA.</t>
  </si>
  <si>
    <t>SVE3E38</t>
  </si>
  <si>
    <t>7-49</t>
  </si>
  <si>
    <t>CTJ2J01</t>
  </si>
  <si>
    <t>M-37020-11</t>
  </si>
  <si>
    <t>REPAROS NO SISTEMA DE SINALIZADOR COMPLETO</t>
  </si>
  <si>
    <t>• TROCA LÂMPADAS.
• REVISÃO GERAL - DEVOLUÇÃO POR INATIVIDADE.
• TESTE DINÂMICO - SEM NOVIDADES.</t>
  </si>
  <si>
    <t>• NADA.</t>
  </si>
  <si>
    <t>FVG8D26</t>
  </si>
  <si>
    <t>M-31100</t>
  </si>
  <si>
    <t>FVV5564</t>
  </si>
  <si>
    <t>VW/GOL CITY MC S</t>
  </si>
  <si>
    <t>8-814</t>
  </si>
  <si>
    <t>REVIÃO DO SISTEMA DE AR CONDICIONADO</t>
  </si>
  <si>
    <t>• TROCA BANDEJA INFERIOR L.D L.E.
• ALINHAMENTO DE DIREÇÃO.
• CORREÇÃO CAMBER E CASTER.</t>
  </si>
  <si>
    <t>EZP1G69</t>
  </si>
  <si>
    <t>T-02225</t>
  </si>
  <si>
    <t>• TROCA DE DRIVE DE SIRENE CONTROLE E MODULO.</t>
  </si>
  <si>
    <t>GCD8E31</t>
  </si>
  <si>
    <t>8-945</t>
  </si>
  <si>
    <t>FZY9F24</t>
  </si>
  <si>
    <t>1-72</t>
  </si>
  <si>
    <t>• TROCA DO ESTRIBO.</t>
  </si>
  <si>
    <t>EEF9850</t>
  </si>
  <si>
    <t>• ENVIADO PARA AVALIAÇÃO NA OFICINA.</t>
  </si>
  <si>
    <t>FUG6C63</t>
  </si>
  <si>
    <t>1-30</t>
  </si>
  <si>
    <t>• TROCA DAS BANDEJAS SUPERIOR.
• AMORTECEDORES DIANTEIRO.
• TROCA DE OLEO.
• FILTRO DE OLEO.
• FILTRO DE AR.
• FILTRO DE COMBUSTÍVEL.
• FILTRO DE CABINE.
• DESODORIZACÃO.
• REVISÃO ELÉTRICA.</t>
  </si>
  <si>
    <t>TKN0A66</t>
  </si>
  <si>
    <t>VW/MASCA ROMA</t>
  </si>
  <si>
    <t>7-14</t>
  </si>
  <si>
    <t>DJM8447</t>
  </si>
  <si>
    <t>RENAULT/DUSTER 16 4X2</t>
  </si>
  <si>
    <t>3-49</t>
  </si>
  <si>
    <t>• TROCA 04 PNEUS 215/65R16.
• BALANCEAMENTO DAS 04 RODAS.
• ALINHAMENTO DE DIREÇÃO.
• TROCA DOS AMORTECEDORES TRAS COM KIT (BATENTE, COIFA E COXIM).
• TROCA DAS BUCHAS DO EIXO TRASEIROS.
• TROCA DOS AMORTECEDORES DIANT COM KIT (BATENTE, COIFA E COXIM).
• TROCA DA BANDEJA DE SUSPENSÃO LADO DIREITO.
• TROCA DA BIELETA DE SUSPENSÃO LADO DIREITO.
• TROCA DA BANDEJA DE SUSPENSÃO LADO ESQUERDO.
• TROCA DA BIELETA DE SUSPENSÃO LADO ESQUERDO.
• TROCA DAS BUCHAS DA BARRA ESTABILIZADORA.
• TROCA DO FAROL LADO DIREITO.
• TROCA DO FAROL LADO ESQUERDO.
• TROCA DA GRADE PAINEL DIANTEIRA.
• TROCA DO CABEÇOTE DO MOTOR.
• TROCA DA BOMBA DE ÓLEO COM PENEIRA DO PESCADOR.
• TROCA DO CÁRTER DO MOTOR COM JUNTA.
• TROCA DA JUNTA DO CABEÇOTE.
• TROCA DO RADIADOR.
• TROCA DA BOMBA D'AGUA.
• TROCA DO TBI.
• TROCA DO MÓDULO DE INJEÇÃO ELETRONICA.
• TROCA DO CÂMBIO (3ª E 4ª MARHA RASPANDO E ESCAPANDO A 5ª).</t>
  </si>
  <si>
    <t>GAQ9465</t>
  </si>
  <si>
    <t>22-810</t>
  </si>
  <si>
    <t>• . BATERIA.
• BOBINA DE IGNIÇÃO.
• JOGO DE VELAS.
• CABOS DE VELAS.
• AMORTECEDORES DIANTEIROS COM KIT.
• AMORTECEDORES TRASEIROS COM KIT.
• BIELETAS.
• KIT EMBREAGEM.
• JOGO DE CALOTAS.
• JOGO DE CALHAS DE CHUVA.
• FUNILARIA E PINTURA PORTA DIANTEIRA LADO ESQUERDO.
• POLIMENTO GERAL.</t>
  </si>
  <si>
    <t>GDK6J13</t>
  </si>
  <si>
    <t>15-296</t>
  </si>
  <si>
    <t>FOI REALIZADO TROCA DO MOTOR, TROCADOS COMANDOS E NÃO SANADO O DEFEITO, ENCAMINHADO PARA AVALIAÇÃO NA OFICINA</t>
  </si>
  <si>
    <t>• TROCA DA BATERIA 75AMP/H.
• TROCA DAS PASTILHAS DE FREIO DIANTEIRAS.
• TROCA DAS PASTILHAS DE FREIO TRASEIRAS.</t>
  </si>
  <si>
    <t>VIATURA NÃO LIGA .</t>
  </si>
  <si>
    <t>BPE3C74</t>
  </si>
  <si>
    <t>M-18186-11</t>
  </si>
  <si>
    <t>REPAROS NO CHICOTE</t>
  </si>
  <si>
    <t>BYW5J22</t>
  </si>
  <si>
    <t>M-18185-11</t>
  </si>
  <si>
    <t>REPAROS NOS  SINALIZADORES E TROCA DE SIRENE USADA.</t>
  </si>
  <si>
    <t>18069/26</t>
  </si>
  <si>
    <t>EBV3D37</t>
  </si>
  <si>
    <t>PERARO
• RELE AUXILIAR 
• FIOS 
• TERMINAL FEMEA 04
• PORTA RELE</t>
  </si>
  <si>
    <t>90/2026</t>
  </si>
  <si>
    <t>OVO1E27</t>
  </si>
  <si>
    <t>TOYOTA/YARES</t>
  </si>
  <si>
    <t>• RETIRADA DE SINALIZADORES.</t>
  </si>
  <si>
    <t>FXC6C34</t>
  </si>
  <si>
    <t>M-31120</t>
  </si>
  <si>
    <t>• RETIRADA.
• LIMPEZA.
• APLICAÇÃO.</t>
  </si>
  <si>
    <t>DJM8699</t>
  </si>
  <si>
    <t>15-200</t>
  </si>
  <si>
    <t>• CONTRATAÇÃO DE INSULFILM.</t>
  </si>
  <si>
    <t>FAX2C62</t>
  </si>
  <si>
    <t>24º BPM/M</t>
  </si>
  <si>
    <t>M-24013</t>
  </si>
  <si>
    <t>• SERVIÇO NÃO EFETUADO AGENDAMENTO ERA NO GIROFLEX.</t>
  </si>
  <si>
    <t>STJ4H13</t>
  </si>
  <si>
    <t>7-45</t>
  </si>
  <si>
    <t>• FALHA NO SISTEMA DE HODOMETRO.
• APAGADO AS FALHAS VIA SCANER</t>
  </si>
  <si>
    <t>• ENCAMINHADO PARA CONTRATAÇÃO DE PNEUS.</t>
  </si>
  <si>
    <t>091/26</t>
  </si>
  <si>
    <t>SWS0D22</t>
  </si>
  <si>
    <t>15-225</t>
  </si>
  <si>
    <t>FEITP CHECK LIST
• TROCAR PASTILHA DE FREIO 
• VIDRO DA PORTA LATERAL</t>
  </si>
  <si>
    <t>• PASTILHAS DE FREIO.
• DISCOS DE FREIO.
• FLUÍDO DOT-4.
• LÂMPADAS.</t>
  </si>
  <si>
    <t>BYQ7I26</t>
  </si>
  <si>
    <t>18º BPM/M</t>
  </si>
  <si>
    <t>M-18005-11</t>
  </si>
  <si>
    <t>REPARO NA INSTALAÇÃO DOS SINAIS SONOROS E LUMINOSOS
• TROCA DO DRIVE DA SIRENE</t>
  </si>
  <si>
    <t>FPK1608</t>
  </si>
  <si>
    <t>M-18015-11</t>
  </si>
  <si>
    <t xml:space="preserve"> REPARO NA ISNTALAÇÃO DOS SINAIS SONOROS E LUMINOSOS</t>
  </si>
  <si>
    <t>CFY5888</t>
  </si>
  <si>
    <t>PEUGEOT/BOXER F350LH 23S</t>
  </si>
  <si>
    <t>3-77</t>
  </si>
  <si>
    <t xml:space="preserve">REGULAGEM TRANBULADOR </t>
  </si>
  <si>
    <t>FZJ1424</t>
  </si>
  <si>
    <t>22-1035</t>
  </si>
  <si>
    <t>ERI5F19</t>
  </si>
  <si>
    <t>5º BPM/M</t>
  </si>
  <si>
    <t>APLICAÇÃO</t>
  </si>
  <si>
    <t>DEZ8F52</t>
  </si>
  <si>
    <t>GM/TRAIBLAZER</t>
  </si>
  <si>
    <t>4º BPAMB</t>
  </si>
  <si>
    <t>A-04001</t>
  </si>
  <si>
    <t>• TROCA DO LUMINOSO DO TETO (USADO) ENGESIG.</t>
  </si>
  <si>
    <t>GJF9718</t>
  </si>
  <si>
    <t>8-244</t>
  </si>
  <si>
    <t>• TROCA DOS PNEUS.
• BALANCEAMENTO DE RODAS.
• ALINHAMENTO DE DIREÇÃO.
• CORREÇÃO CAMBER E CASER.</t>
  </si>
  <si>
    <t>DTU1344</t>
  </si>
  <si>
    <t>I-55211</t>
  </si>
  <si>
    <t>• REPARO NA.
• INSTALAÇÃO DOS SINAIS LUMINOSOS E SONOROS.
• TROCA DO MÓDULO REV (USADO).
• TROCA DO CONTROLADOR REV (USADO).
• TROCA DO CONECTOR RJ 45.</t>
  </si>
  <si>
    <t>FF0B04</t>
  </si>
  <si>
    <t>• FILTRO DE ÓLEO.
• FILTRO COMBUSTÍVEL.
• ÓLEO DO MOTOR.
• FILTRO DE AR.
• REPROGRAMAÇÃO INJEÇÃO ELETRÔNICA (SCANNER).
• REGULAGEM FREIO ESTACIONAMENTO.</t>
  </si>
  <si>
    <t>FWQ8F94</t>
  </si>
  <si>
    <t>3º BPCHQ</t>
  </si>
  <si>
    <t>• ALIMHAMENTO DE DIREÇÃO.
• BALANCEAMENTO DE RODAS.
• COREÇÃO DE CAMBER E CASTER.</t>
  </si>
  <si>
    <t>BSV9636</t>
  </si>
  <si>
    <t>LROVER/DEFENDER110 SW</t>
  </si>
  <si>
    <t>3-1000</t>
  </si>
  <si>
    <t>VIATURA NÃO LIGA</t>
  </si>
  <si>
    <t>DLF7749</t>
  </si>
  <si>
    <t>49º BPM/I</t>
  </si>
  <si>
    <t>I-49291</t>
  </si>
  <si>
    <t>• TROCA DA SIRENE ( USADO).</t>
  </si>
  <si>
    <t>DJL0967</t>
  </si>
  <si>
    <t>3-154</t>
  </si>
  <si>
    <t xml:space="preserve">• ALAVANCA DE MARCHA QUEBRADA.
• TROCA DA ALAVANCA DE MARCHA 
• TROCA DAS VELAS DE IGNIÇÃO 
• TROCA DOS CABOS DE VELA DE IGNIÇÃO 
• TROCA DA ALAVANCA DE MARCHA.
• TROCA DAS VELAS DE IGNIÇÃO.
• TROCA DOS CABOS DE VELA DE IGNIÇÃO.
• REGULAGEM DA ALAVANCA DE MARCHA </t>
  </si>
  <si>
    <t>CPV4I25</t>
  </si>
  <si>
    <t>3-297</t>
  </si>
  <si>
    <t>TROCA DER LUMINOSO DE TETO E LED DA GRADE</t>
  </si>
  <si>
    <t>CMW7387</t>
  </si>
  <si>
    <t>15-37</t>
  </si>
  <si>
    <t>FXH2D81</t>
  </si>
  <si>
    <t>FIAT/PULSE</t>
  </si>
  <si>
    <t>8-1145</t>
  </si>
  <si>
    <t>TROCA DE 04 PNEUS</t>
  </si>
  <si>
    <t>092/26</t>
  </si>
  <si>
    <t>STE7G55</t>
  </si>
  <si>
    <t>TOYOTA/C.CROSS</t>
  </si>
  <si>
    <t>5ºBPM/M</t>
  </si>
  <si>
    <t>M-05358</t>
  </si>
  <si>
    <t>• RELATÓRIO TÉCNICO , ANALISE E COLETA DE FOTOS EM AVARIAS NOS CRASHBOX DEVIDO AO PARACHOQUE DE PRESSÃO.</t>
  </si>
  <si>
    <t>093/26</t>
  </si>
  <si>
    <t>OVO1E21</t>
  </si>
  <si>
    <t>/</t>
  </si>
  <si>
    <t>RETIRADA DE EQUIPAMENTOS DA VIATURA COMPLETO PERMANECEU NO PORTA MALAS</t>
  </si>
  <si>
    <t>DJL-2378</t>
  </si>
  <si>
    <t>14BPMM</t>
  </si>
  <si>
    <t xml:space="preserve">REPAROS NO KIT SINALIZADOR </t>
  </si>
  <si>
    <t>GGM1J13</t>
  </si>
  <si>
    <t>46ºBPMM</t>
  </si>
  <si>
    <t>M-46405</t>
  </si>
  <si>
    <t>• RELATÓRIO TÉCNICO.
• ANALISE E FOTOS DE AVARIAS EM CRASBOX DE VIATURAS DEVIDO ESFORÇOS NO PARACHOQUES DE IMPULSÃO.</t>
  </si>
  <si>
    <t>FCE3B73</t>
  </si>
  <si>
    <t>DS</t>
  </si>
  <si>
    <t>1-79</t>
  </si>
  <si>
    <t>TROCA DE LÂMPADA...</t>
  </si>
  <si>
    <t xml:space="preserve">AVALIAÇÃO
• AVALIAÇÃO..
REVISÃO DO SISTEMA DE FREIOS (VERIFICAÇÃO DESGASTE PASTILHAS DE FREIO DIANT/TRAS)
• TROCA DE LÂMPADAS
• REAPERTO SONDA LAMBDA - INTERMEDIÁRIA
• REVISÃO DO SISTEMA DE FREIOS (VERIFICAÇÃO DESGASTE PASTILHAS DE FREIO DIANT/TRAS). 70% VIDA ÚTIL
• TROCA DE LÂMPADAS.
• REAPERTO SONDA LAMBDA - INTERMEDIÁRIA
• TESTE RODAGEM DINÂMICO </t>
  </si>
  <si>
    <t>CPN3G52</t>
  </si>
  <si>
    <t>M-30027</t>
  </si>
  <si>
    <t>REMOÇÃO 
• LIMPEZA
• APLICAÇÃO</t>
  </si>
  <si>
    <t>STY7D44</t>
  </si>
  <si>
    <t>TOYOTA /COROLLA</t>
  </si>
  <si>
    <t>M-03104</t>
  </si>
  <si>
    <t>• RELATÓRIO TÉCNICO.
• ANALISE E FOTOGRAFIAS DO CRASH BOX DE FIXAÇÃO DO PARACHOQUE DE IMPULSÃO.</t>
  </si>
  <si>
    <t>CSM2361</t>
  </si>
  <si>
    <t>M-19361</t>
  </si>
  <si>
    <t>REPAROS NO SISTEMA DE SINALIZADORES COMPLETO.</t>
  </si>
  <si>
    <t>BWW6443</t>
  </si>
  <si>
    <t>22-148</t>
  </si>
  <si>
    <t>• REALIZADO TESTES:.
• ALTERNADOR - PERFEITO FUNCIONAMENTO.
• TROCA DE BATERIA - 60AH.
• REALIZADO TESTE DINÂMICO, VIATURA PERMANECEU LIGADA POR CERTO PERÍODO DE TEMPO, NÃO APRESENTOU NENHUMA PANE OU AVARIAS.</t>
  </si>
  <si>
    <t>GFD2C65</t>
  </si>
  <si>
    <t>TROCA 
• MANGUEIRA PRIMARIA DA TURBINA PARA INTERCOOLER 
•</t>
  </si>
  <si>
    <t>GJM3D84</t>
  </si>
  <si>
    <t>15-63</t>
  </si>
  <si>
    <t>• AVALIAÇÃO DO SISTEMA DE AR COM A RECICLADORA.
• TROCA DO COMPRESSOR DE AR.
• RECARGA DE GÁS.</t>
  </si>
  <si>
    <t>SWX4J70</t>
  </si>
  <si>
    <t>M-16006</t>
  </si>
  <si>
    <t>• VERIFICADO O SISTEMA DE FREIO DE ESTACIONAMENTO.
• DESMONTADO OS TAMBORES DE FREIO TRASEIRO PARA.
• VERIFICAR AS LONAS.
• ELABORAÇÃO DE PARECER TÉCNICO
• CONFERÊNCIA DE PARECER
• IMPRESSÃO E ASSINATURAS
• COPIA FÍSICA E DIGITALIZAÇÃO
• EMISSÃO DE RECIBO DE ENTREGA DE PARECER E VTR
• E-MAIL SOLICITANDO RETIRADA DE VTR E PARECER
• ARQUIVO FÍSICO E DIGITAL</t>
  </si>
  <si>
    <t>FGU6D61</t>
  </si>
  <si>
    <t>33º BPMM</t>
  </si>
  <si>
    <t>M-33228</t>
  </si>
  <si>
    <t>DESMONTADO FREIO DIANTEIRO E TRASEIRO 
• FOTOGRAFADO AS LONAS DE FREIO E AS PASTILHAS
• DESMONTADO FREIO DIANTEIRO E TRASEIRO.
• FOTOGRAFADO AS LONAS DE FREIO E AS PASTILHAS.
• ELABORAÇÃO DE PARECER TÉCNICO
• CONFERÊNCIA DE PARECER
• IMPRESSÃO E ASSINATURA
• • CÓPIA DIGITAL E FÍSICA
• EMISSÃO DE RECIBO DE ENTREGA
• E-MAIL PARA RETIRAR VIATURA E PARECER
• ARQUIVAMENTO DO PROCESSO</t>
  </si>
  <si>
    <t>REPARO DE PNEU</t>
  </si>
  <si>
    <t>ECO2832</t>
  </si>
  <si>
    <t>CPAM2</t>
  </si>
  <si>
    <t>3-819</t>
  </si>
  <si>
    <t>PARECER TÉCNICO 016
• ANALISE DE DOCUMENTAÇÃO ENVIADA PARA ANALISE POR E-MAIL
• RECEPCIONAMENTO DE DOCUMENTAÇÃO FÍSICA E ABERTURA DE PASTAS
• ANALISE DA DESCRIÇÃO DA PORTARIA DE SINDICÂNCIA E QUESTIONAMENTOS DO OFICIO PELO SINDICANTE
• FOTOS DE IDENTIFICAÇÃO DO VEÍCULO
• ANALISE DOS ITENS SOB AVALIAÇÃO TRANSMISSÃO AUTOMATICA PARKING
• TESTES ESTÁTICOS E DINÂMICOS
•  TESTE ELTRONICO E DIAGNOSTICO
• FOTOGRAFIAS E TRATAMENTO DAS FOTOGRAFIAS
• ELABORAÇÃO E FORMATAÇÃO DE PARECER TÉCNICO
• CONFERÊNCIA E ASSINATURA DO PARARECER
• E-MAIL NUMERADO SOLICITANDO RETIRADA DA VIATURA JUNTAMENTE COM O PARECER TÉCNICO
• FINALIZAÇÃO DO PROCESSO NO SITEMA ELETRONICO
• EMISSÃO DE RECIBO DE ENTREGA
• ENCARDENAÇÃO E ARQUIVO DO PROCESSO FISICO
• ESCANEAMENTO DO PARECER FINALIZADO E ARQUIVAMENTO DIGITAL</t>
  </si>
  <si>
    <t>• .
• TROCA DE DOIS PNEUS 195/65R15.
• ALINHAMENTO DE DIREÇÃO.
• BALANCEAMENTO DAS QUATRO RODAS.
• TROCA DAS BIELETAS. (REMANEJAMENTO).
• TROCA DOS AMORTECEDORES TRASEIROS COM BATENTES E COIFAS.</t>
  </si>
  <si>
    <t>TROCA DISCO DE FREIO TRASEIRO
• PASTILHAS DE FREIO
• BATERIA</t>
  </si>
  <si>
    <t>TROCA LÂMPADA DE FREIO</t>
  </si>
  <si>
    <t>GAA2378</t>
  </si>
  <si>
    <t>FIAT/WEEKEND ADVENTURE</t>
  </si>
  <si>
    <t>22-70</t>
  </si>
  <si>
    <t>PROBLEMAS NA PARTIDA / FOLGA NA DIREÇÃO</t>
  </si>
  <si>
    <t xml:space="preserve">RELATÓRIO DE DANOS </t>
  </si>
  <si>
    <t>GBK0J63</t>
  </si>
  <si>
    <t>FORD/RANGER XLT</t>
  </si>
  <si>
    <t>3-22</t>
  </si>
  <si>
    <t>LIMPEZA BICOS, LIMPEZA TANQUE DE COMBUSTIVEL, LIMPEZA E TESTE DA BOMBA DE COMBUSTIVEL, TROCA DO FILTRO DE COMBUSTIVEL</t>
  </si>
  <si>
    <t>095/26</t>
  </si>
  <si>
    <t>SVJ6G39</t>
  </si>
  <si>
    <t>13-58</t>
  </si>
  <si>
    <t>• FOI SUBSTITUIDO AS TAMPAS QUE ESTAVAM COMA AS DOBRADIÇAS QUEBRADAS PELAS TAMPAS DO CAMINHÃO 13-59.
• SERVIÇO EXECUTADO PELO CABO GARCIA</t>
  </si>
  <si>
    <t>GAA8H54</t>
  </si>
  <si>
    <t>CPAM3</t>
  </si>
  <si>
    <t>1-74</t>
  </si>
  <si>
    <t>REPARO NA INSTALAÇÃO DOS SINAIS LUMINOSOS- ENGESIG</t>
  </si>
  <si>
    <t>DEU 7723</t>
  </si>
  <si>
    <t>XRE/2020</t>
  </si>
  <si>
    <t>32M</t>
  </si>
  <si>
    <t>M-32380</t>
  </si>
  <si>
    <t>095/2026</t>
  </si>
  <si>
    <t>OVO1E35</t>
  </si>
  <si>
    <t>DESCARACTERIZAÇÃO SINAIS SONOROS E LUMINOSOS.</t>
  </si>
  <si>
    <t>BHP5590</t>
  </si>
  <si>
    <t>22-211</t>
  </si>
  <si>
    <t>CONTRATAÇÃO DE VIDRAÇARIA.</t>
  </si>
  <si>
    <t>GGH1F95</t>
  </si>
  <si>
    <t>M-06200</t>
  </si>
  <si>
    <t>TROCA DO ADESIVO GRAFISMO CAPÔ</t>
  </si>
  <si>
    <t>DIS6F91</t>
  </si>
  <si>
    <t>15-53</t>
  </si>
  <si>
    <t>• TROCA DE 02 PNEUS 265/60R18
• 02 LÂMPADAS H27
• 02 LÂMPADAS "PINGÃO"
• 01 LÂMPADA LANTERNA TRASEIRA (01 POLO)</t>
  </si>
  <si>
    <t>DLF7409</t>
  </si>
  <si>
    <t>M-18130</t>
  </si>
  <si>
    <t>REPAROS NO CHICOTE COMPLETO</t>
  </si>
  <si>
    <t>SUF2H22</t>
  </si>
  <si>
    <t>VW/13-180</t>
  </si>
  <si>
    <t xml:space="preserve">TROCA 10 DOBRADIÇAS DAS TAMPAS TRAZEIRAS E LATERAIS  </t>
  </si>
  <si>
    <t>ESZ0067</t>
  </si>
  <si>
    <t>26-934</t>
  </si>
  <si>
    <t>REPAROS NOS SINALIZADORES</t>
  </si>
  <si>
    <t>096/26</t>
  </si>
  <si>
    <t>OVO1E13</t>
  </si>
  <si>
    <t>RETIRADA DOS SINALIZADORES</t>
  </si>
  <si>
    <t>EYW4168</t>
  </si>
  <si>
    <t>17ºBPMM</t>
  </si>
  <si>
    <t>M-17181</t>
  </si>
  <si>
    <t>REMOÇÃO
• LIMPEZA
• APLICAÇÃO</t>
  </si>
  <si>
    <t>DLF1309</t>
  </si>
  <si>
    <t>M-17182</t>
  </si>
  <si>
    <t>FPB5C96</t>
  </si>
  <si>
    <t>FORD/RANGER</t>
  </si>
  <si>
    <t>15-32</t>
  </si>
  <si>
    <t>VIDRO G5 LATERAIS E TRASEIRA.
G25 NO PARA-BRISA.</t>
  </si>
  <si>
    <t>EEF9F86</t>
  </si>
  <si>
    <t>15-337</t>
  </si>
  <si>
    <t>AVALIADO COM SCANNER, FALHA NA CENTRAL DE ABS.
• AVALIAR NA OFICINA</t>
  </si>
  <si>
    <t>EBV3D71</t>
  </si>
  <si>
    <t>IVECO/BUS</t>
  </si>
  <si>
    <t xml:space="preserve">REPARRO :
• FECHAMENTO DA ESCOTILHA DE VENTILAÇÃO
• TROCA DUAS LAMPADAS  </t>
  </si>
  <si>
    <t>STR7J80</t>
  </si>
  <si>
    <t>TOYOTA/CCROSS</t>
  </si>
  <si>
    <t>18º BPMM</t>
  </si>
  <si>
    <t>M-18364</t>
  </si>
  <si>
    <t>RELATÓRIO TÉCNICO
• FOTOS DE IDENTIFICAÇÃO
• ANALISE E FOTOGRAFIA DAS AVARIAS
• ELABORAÇÃO DE RELATÓRIO TÉCNICO</t>
  </si>
  <si>
    <t>SWS1J00</t>
  </si>
  <si>
    <t>49º BPM/M</t>
  </si>
  <si>
    <t>M-49010</t>
  </si>
  <si>
    <t xml:space="preserve">NÃO APRESENTOU DEFEITO
• </t>
  </si>
  <si>
    <t>STE0F25</t>
  </si>
  <si>
    <t>M-49022</t>
  </si>
  <si>
    <t>BATERIA AUXILIAR COM DEFEITO</t>
  </si>
  <si>
    <t>SVH0B55</t>
  </si>
  <si>
    <t>M-49025</t>
  </si>
  <si>
    <t>LIBERADA POR FALTA DE MEIOS</t>
  </si>
  <si>
    <t>TJL7I07</t>
  </si>
  <si>
    <t>STQ2I11</t>
  </si>
  <si>
    <t>7-48</t>
  </si>
  <si>
    <t>STF0B41</t>
  </si>
  <si>
    <t>12 BPM/M</t>
  </si>
  <si>
    <t>M-12305</t>
  </si>
  <si>
    <t>RELATÓRIO FOTOGRAFICO PARACHOQUE DE IMPULSÃO</t>
  </si>
  <si>
    <t>BYZ0412</t>
  </si>
  <si>
    <t>YAMAHA/LANDER XTZ250</t>
  </si>
  <si>
    <t>19-95</t>
  </si>
  <si>
    <t>TROCA BATERIA
• FLUÍDO DE FREIO DOT-4
• PASTILHA DE FREIO TRASEIRA
• TROCA BATERIA
• FLUÍDO DE FREIO DOT-4
• PASTILHA DE FREIO TRASEIRA
• TROCA BATERIA.
• FLUÍDO DE FREIO DOT-4.
• PASTILHA DE FREIO TRASEIRA
• AJUSTE DA CORRENTE DE TRANSMISSÃO
• TROCA BATERIA.
• FLUÍDO DE FREIO DOT-4.
• PASTILHA DE FREIO TRASEIRA
• AJUSTE DA CORRENTE DE TRANSMISSÃO</t>
  </si>
  <si>
    <t>GCO7D92</t>
  </si>
  <si>
    <t>1-83</t>
  </si>
  <si>
    <t>• TROCA DOS PNEUS.
• TROCA LÂMPADAS DE FREIO LD .
• TROCA DAS PASTILHAS DE FREIO TRASEIRA
• TROCA DOS DISCOS DE FREIO TRASEIRO
• TROCA DA LÂMPADA DE PLACA LD
• TROCA DO FLUIDO DE FREIO</t>
  </si>
  <si>
    <t>EEF8675</t>
  </si>
  <si>
    <t>6.EM/PM</t>
  </si>
  <si>
    <t>15-228</t>
  </si>
  <si>
    <t>• SUBSTITUÍDO: BOMBA COMBUSTÍVEL.
• TAMPA RADIADOR.
• LÍQUIDO DE ARREFECIMENTO.
• VERIFICAÇÃO SISTEMA DE INJEÇÃO ELETRÔNICA, RESET DE ERROS.
• COMPLETADO ÁGUA RESERVATÓRIO - LIMPADOR DO PARABRISA</t>
  </si>
  <si>
    <t>EJX7835</t>
  </si>
  <si>
    <t>FIAT/UNO</t>
  </si>
  <si>
    <t>08-197</t>
  </si>
  <si>
    <t>TROCA DE PNEUS</t>
  </si>
  <si>
    <t>CFY5822</t>
  </si>
  <si>
    <t xml:space="preserve">TROCA QUATRO PNEUS 265/65R17						
TROCA DOS AMORTECEDORES TRASEIROS COM KIT (BATENTE, COIFA E COXIM)						
TROCA DAS BUCHAS BARRA ESTABILIZADORA TRASEIRA						
TROCA DOS AMORTECEDORES DIANTEIROS COM KIT (BATENTE, COIFA E COXIM)						
TROCA DA BIELETA DIANTEIRA LADO DIREITO						
TROCA DA BIELETA DIANTEIRA LADO ESQUERDO						
TROCA DO PIVÔ DE SUSPENSÃO SUPERIOR LADO DIREITO						
TROCA DO PIVÔ DE SUSPENSÃO SUPERIOR LADO ESQUERDO						
TROCA DO PIVÔ DE SUSPENSÃO INFERIOR LADO DIREITO						
TROCA DO PIVÔ DE SUSPENSÃO INFERIOR LADO ESQUERDO						
TROCA DE PRISIONEIRO DE RODA COM PORCA (DIANTEIRO DIREITO)						
TROCA DO FLÚIDO DE FREIO E SANGRIA DO SISTEMA.						
ALINHAMENTO DE DIREÇÃO COM CAMBAGEM						
BALANCEAMENTO DAS QUATRO RODAS						
</t>
  </si>
  <si>
    <t>EOZ9B93</t>
  </si>
  <si>
    <t>I-34200</t>
  </si>
  <si>
    <t>• SETOR TÉCNICO.</t>
  </si>
  <si>
    <t>SWG2F97</t>
  </si>
  <si>
    <t>49º BPMM</t>
  </si>
  <si>
    <t>M-49018</t>
  </si>
  <si>
    <t>VIATURA EM  GARANTIA</t>
  </si>
  <si>
    <t>GAS7982</t>
  </si>
  <si>
    <t>22-694</t>
  </si>
  <si>
    <t>REMOÇÃO
• APLICAÇÃO</t>
  </si>
  <si>
    <t>097/26</t>
  </si>
  <si>
    <t>OVO1D79</t>
  </si>
  <si>
    <t>S/PREF.</t>
  </si>
  <si>
    <t>RETIRADA DOS SINAIS SONOROS E LUMINOSOS</t>
  </si>
  <si>
    <t>TKQ7E04</t>
  </si>
  <si>
    <t>FIAT/SCUDO CARGO TD</t>
  </si>
  <si>
    <t>22-77</t>
  </si>
  <si>
    <t xml:space="preserve">TROCA DA BATERIA 
•ATUALIZADO VIA SCANER </t>
  </si>
  <si>
    <t>STM3F25</t>
  </si>
  <si>
    <t>CHECK LIST</t>
  </si>
  <si>
    <t>EEF8672</t>
  </si>
  <si>
    <t>15-29</t>
  </si>
  <si>
    <t>FYR2I61</t>
  </si>
  <si>
    <t>YAMAHA/XTZ250 LANDER</t>
  </si>
  <si>
    <t>50º BPM/I</t>
  </si>
  <si>
    <t>I-50285</t>
  </si>
  <si>
    <t>REPARO NA INSTALAÇÃO</t>
  </si>
  <si>
    <t>GGR9J87</t>
  </si>
  <si>
    <t>YAMAHA /XTZ250 LANDER</t>
  </si>
  <si>
    <t>I-50282</t>
  </si>
  <si>
    <t>REPARO NA INSTALÇÃO</t>
  </si>
  <si>
    <t>EPA0C47</t>
  </si>
  <si>
    <t>I-19225</t>
  </si>
  <si>
    <t>REALIZADO O SERVIÇO.</t>
  </si>
  <si>
    <t>FDB8J91</t>
  </si>
  <si>
    <t>REPARO PNEU TRASEIRO</t>
  </si>
  <si>
    <t>EUR5921</t>
  </si>
  <si>
    <t>3-116</t>
  </si>
  <si>
    <t>TROCA DE SINALIZADOR DE TETO E REPAROS</t>
  </si>
  <si>
    <t>FGM9F42</t>
  </si>
  <si>
    <t>BMW/GS 850</t>
  </si>
  <si>
    <t>T-02305</t>
  </si>
  <si>
    <t>REPARO NA INSTALAÇÃO DOS SINAIS SONOROS E LUMINOSOS</t>
  </si>
  <si>
    <t>DJL7832</t>
  </si>
  <si>
    <t>15-102</t>
  </si>
  <si>
    <t>TROCA LIMPADORES PARABRISA</t>
  </si>
  <si>
    <t>GAS3139</t>
  </si>
  <si>
    <t>REVISÃO NO SISTEMA DE FREIOS</t>
  </si>
  <si>
    <t>UDN0D60</t>
  </si>
  <si>
    <t>M-30003</t>
  </si>
  <si>
    <t>ELABORADO PARECER TÉCNICO DO SISTEMA DE FREIOS,  SUSPENSÃO , PNEUS E PONTA DE EIXO.</t>
  </si>
  <si>
    <t>FCZ4J02</t>
  </si>
  <si>
    <t>22-1303</t>
  </si>
  <si>
    <t>REPARO NO CONECTOR MOTOR ARRANQUE (OXIDAÇÃO)
• TROCA DE LAMPADAS.
• REPARO PNEU FURADO TRASEIRO ESQUERDO.
• INJEÇÃO ELETRÔNICA - SOLUÇÃO DE ERROS EXISTENTES (VIA SCANNER).</t>
  </si>
  <si>
    <t>ELO3469</t>
  </si>
  <si>
    <t>15-187</t>
  </si>
  <si>
    <t xml:space="preserve">
• TROCA DA BATERIA
• READAPTAÇÃO DO SISTEMA DE INJEÇÃO ELETRONICA </t>
  </si>
  <si>
    <t>FGL4F36</t>
  </si>
  <si>
    <t>T-83-11</t>
  </si>
  <si>
    <t>• TROCA DE KIT SINALIZADOR  PARCIAL E REPAROS.</t>
  </si>
  <si>
    <t>FXK1410</t>
  </si>
  <si>
    <t>HONDA/CB 1000</t>
  </si>
  <si>
    <t>T-0001-11</t>
  </si>
  <si>
    <t>REPARO NOS SINAIS SONOROS E LUMINOSOS
• TROCA DA SIRENE</t>
  </si>
  <si>
    <t>BLZ5C16</t>
  </si>
  <si>
    <t>M-14015</t>
  </si>
  <si>
    <t>REPAROS NO CHICOTE DE ALIMENTAÇÃO DOS SINALIZADORES</t>
  </si>
  <si>
    <t>ZZZ9999</t>
  </si>
  <si>
    <t>REPAROS NOS LEDS DA GRADE E NO MODULO</t>
  </si>
  <si>
    <t>OVO1D68</t>
  </si>
  <si>
    <t>RETIRADA DE SINALIZADORES</t>
  </si>
  <si>
    <t>GDJ7554</t>
  </si>
  <si>
    <t>CPAM6</t>
  </si>
  <si>
    <t>26-591</t>
  </si>
  <si>
    <t>DZN7G34</t>
  </si>
  <si>
    <t>E-02105</t>
  </si>
  <si>
    <t>EEF8670</t>
  </si>
  <si>
    <t>1-101</t>
  </si>
  <si>
    <t>• TROCA DE DOIS PNEUS 205/55R16
• TROCA ÓLEO MOTOR
• TROCA FILTOR DE ÓLEO
• TROCA FILTRO DE COMBUSTÍVEL
• TROCA FILTRO DE AR
• TROCA FILTRO DE GABINE</t>
  </si>
  <si>
    <t>CDV4983</t>
  </si>
  <si>
    <t>IVECO/FIAT E 160E21 1</t>
  </si>
  <si>
    <t>13_47</t>
  </si>
  <si>
    <t>AFERIÇÃO DE TACÓGRAFO, MOTO REDUTOR QUEBRADO, CRUZETAS DO CARDAN COM FOLGA....</t>
  </si>
  <si>
    <t>SUY8B68</t>
  </si>
  <si>
    <t>M-49128</t>
  </si>
  <si>
    <t>LIMPEZA
• APLICAÇÃO</t>
  </si>
  <si>
    <t>EIW6A91</t>
  </si>
  <si>
    <t>22ºBPMM</t>
  </si>
  <si>
    <t>M-22300</t>
  </si>
  <si>
    <t xml:space="preserve">REPARO NO SISTEMA SONOROS E LUMINOSOS
•  TROCA DO CONTROLE </t>
  </si>
  <si>
    <t>EJZ9327</t>
  </si>
  <si>
    <t>22-423</t>
  </si>
  <si>
    <t>. AVALIAÇÃO E MANUTENÇÃO (POSSÍVEL GARANTIA) CAIXA DE DIREÇÃO HIDRAULICA, VAZAMENTO DE FLUIDO.</t>
  </si>
  <si>
    <t>FZM2922</t>
  </si>
  <si>
    <t>15-61</t>
  </si>
  <si>
    <t>TROCA DE LÂMPADAS DA MARCHA RÉ.</t>
  </si>
  <si>
    <t>FCI7693</t>
  </si>
  <si>
    <t>VW/VOYAGE 1.6L MB5</t>
  </si>
  <si>
    <t>8-377</t>
  </si>
  <si>
    <t>TROCA DA BATERIA</t>
  </si>
  <si>
    <t>SGZ1J55</t>
  </si>
  <si>
    <t>FIAT/CRONOS</t>
  </si>
  <si>
    <t>12ºBPMI</t>
  </si>
  <si>
    <t>. TROCA DE BATERIA 60AMP/H START/STOP</t>
  </si>
  <si>
    <t>EII4G92</t>
  </si>
  <si>
    <t>15º BAEP</t>
  </si>
  <si>
    <t>E-15000</t>
  </si>
  <si>
    <t>• ALINHAMENTO.</t>
  </si>
  <si>
    <t>EJX3235</t>
  </si>
  <si>
    <t>22-311</t>
  </si>
  <si>
    <t>FLJ2B76</t>
  </si>
  <si>
    <t>27º BPM/M</t>
  </si>
  <si>
    <t>M-27307</t>
  </si>
  <si>
    <t>ELABORADO PARECER TÉCNICO DA CAIXA DE TRASNMISSÃO.</t>
  </si>
  <si>
    <t>CPW8793</t>
  </si>
  <si>
    <t>M-27509</t>
  </si>
  <si>
    <t>• ELABORADO PARECER TÉCNICO.</t>
  </si>
  <si>
    <t>OVO1D62</t>
  </si>
  <si>
    <t>CFY5437</t>
  </si>
  <si>
    <t>15-85</t>
  </si>
  <si>
    <t>• TROCA DOS DISCOS DE FREIO
• TROCA DAS PASTILHAS DE FREIO</t>
  </si>
  <si>
    <t>EFO4557</t>
  </si>
  <si>
    <t>SCANIA/G 420 LA4X2HHZ</t>
  </si>
  <si>
    <t>13-66</t>
  </si>
  <si>
    <t>ELABORADO CHECH-LIST E ENCAMINHADO PARA CONTRATAÇÃO</t>
  </si>
  <si>
    <t>DRM7713</t>
  </si>
  <si>
    <t>FIAT/PWK</t>
  </si>
  <si>
    <t>REAGENDADA</t>
  </si>
  <si>
    <t>GGS9F71</t>
  </si>
  <si>
    <t>. TROCA DE ÓLEO
• TROCA DO FILTRO DE ÓLEO
• TROCA DOS FILTROS DE COMBUSTÍVEL
• TROCA DO FILTRO DE AR
• TROCA DO FILTRO DE CABINE
• TROCA DAS PALHETAS LIMPADOR DE PARABRISA
• RODÍZIO DE PNEUS
• BALANCEAMNETO DE RODAS
• ALINHAMENTO DE DIREÇÃO
• TROCA DE LÂMPADA DE PLACA
• TROCA DE LÂMPADA DA LANTERNA TRASEIRA
• .
• TROCA DE ÓLEO.
• TROCA DO FILTRO DE ÓLEO.
• TROCA DOS FILTROS DE COMBUSTÍVEL.
• TROCA DO FILTRO DE AR.
• TROCA DO FILTRO DE CABINE.
• TROCA DAS PALHETAS LIMPADOR DE PARABRISA.
• RODÍZIO DE PNEUS.
• BALANCEAMNETO DE RODAS.
• ALINHAMENTO DE DIREÇÃO.
• TROCA DE LÂMPADA DE PLACA.
• TROCA DE LÂMPADA DA LANTERNA TRASEIRA.
• TROCA DA PALHETA DO LIMPADOR TRASEIRA.</t>
  </si>
  <si>
    <t>EOM6G57</t>
  </si>
  <si>
    <t>E-15101</t>
  </si>
  <si>
    <t>REPARO NOS SINAIS SONOROS E LUMINOSOS</t>
  </si>
  <si>
    <t>GFV9F74</t>
  </si>
  <si>
    <t>BA-034</t>
  </si>
  <si>
    <t>OVO1E02</t>
  </si>
  <si>
    <t>GAN-2I26</t>
  </si>
  <si>
    <t>GM/TRAIL BLAZER</t>
  </si>
  <si>
    <t>BSV9913</t>
  </si>
  <si>
    <t>VW/17.210 MOTOR CUMMINS</t>
  </si>
  <si>
    <t>13-64</t>
  </si>
  <si>
    <t>REALIZADO REPARO NO CHICOTE  E NO SENSOR DE VELOCIDADE 
• ALINHAMENTO DO VOLANTE</t>
  </si>
  <si>
    <t>GBO6B42</t>
  </si>
  <si>
    <t>T-01119</t>
  </si>
  <si>
    <t>• VIATURA ANALISADA NECESSITA DE.
• TROCA DA BATERIA AUXILIAR.</t>
  </si>
  <si>
    <t>FZH9C22</t>
  </si>
  <si>
    <t>21ºBPMM</t>
  </si>
  <si>
    <t>M-21401</t>
  </si>
  <si>
    <t>RESOMNTADO O CARTER DO MOTOR PARA VERIFICAR AS AVARIAS NO BLOCO,
• PISTÃO QUEBRADO , E BLOCO DO MOTOR FURADO PELO IMPACTO DO PISTÃO E BIELA
• AUSENCIA DA BIELA</t>
  </si>
  <si>
    <t>OVO1D85</t>
  </si>
  <si>
    <t>GDN2C64</t>
  </si>
  <si>
    <t>M-20000</t>
  </si>
  <si>
    <t>• REPARO NOS SINAIS SONOROS E LUMINOSOS.
• TROCA DO MÓDULO - FLASH.</t>
  </si>
  <si>
    <t>DSV7755</t>
  </si>
  <si>
    <t>26-1272</t>
  </si>
  <si>
    <t>REPARO NA INSTALAÇÃO DOS SINAIS SONOROS E ADAPTAÇÃO DO SISTEMA</t>
  </si>
  <si>
    <t>FZH2212</t>
  </si>
  <si>
    <t>26-1274</t>
  </si>
  <si>
    <t>REPARO NA INSTALAÇÃO COMPLETA DOS SINAIS SONOROS E LUMINOSOS</t>
  </si>
  <si>
    <t>CDV1674</t>
  </si>
  <si>
    <t>CHEV/S10 DLX 2.4 S</t>
  </si>
  <si>
    <t>5-15</t>
  </si>
  <si>
    <t>CFZ5C41</t>
  </si>
  <si>
    <t>12ºBPMM</t>
  </si>
  <si>
    <t>M-12384</t>
  </si>
  <si>
    <t>REVISÃO CHICOTE E SINAIS SONOROS E LUMINOSOS , NÃO APRESENTOU PROBLEMA</t>
  </si>
  <si>
    <t>FQO5992</t>
  </si>
  <si>
    <t>APMPGJ</t>
  </si>
  <si>
    <t>8-820</t>
  </si>
  <si>
    <t>• TROCA DOS CABOS DE VELA.
• ADITIVO DO RADIADOR.
• LÂMPADA DE POSIÇÃO DO FAROL DIANTEIRO LE.
• LÂMNPADA DA LANTERNA TRASEIRA LD.
• READAPTAÇÃO DO SISTEMA DE INJEÇÃO ELETRONICA
• FEITA CONFERÊNCIA NO SISTEMA DO ALTERNADOR (OK)</t>
  </si>
  <si>
    <t>OVO1E01</t>
  </si>
  <si>
    <t>DESCARACTERIZAÇÃO</t>
  </si>
  <si>
    <t>FXR7554</t>
  </si>
  <si>
    <t>M-06051</t>
  </si>
  <si>
    <t>REPAROS NOS SINALIZADORES E TROCA DE SIRENE</t>
  </si>
  <si>
    <t>FMJ4328</t>
  </si>
  <si>
    <t>M-06020-11</t>
  </si>
  <si>
    <t xml:space="preserve">REPAROS NA SIRENE E SINALIZADORES COMPLETO </t>
  </si>
  <si>
    <t>CKU8678</t>
  </si>
  <si>
    <t>5º BPCHQ</t>
  </si>
  <si>
    <t>8-128</t>
  </si>
  <si>
    <t>ALINHAM,ENTO DE DIREÇÃO</t>
  </si>
  <si>
    <t>BZG0141</t>
  </si>
  <si>
    <t>REPAROS NO CHICOTE E TESTES</t>
  </si>
  <si>
    <t>GGF6C92</t>
  </si>
  <si>
    <t>M-19330</t>
  </si>
  <si>
    <t>REPAROS NOS SISTEMA DE CHICOTE DA VIATURA</t>
  </si>
  <si>
    <t>FPD2H93</t>
  </si>
  <si>
    <t>M-49112</t>
  </si>
  <si>
    <t>REPAROS NOS CHICOTE E NO MODULO</t>
  </si>
  <si>
    <t>GHH6B47</t>
  </si>
  <si>
    <t>.REVISÃO DE 100.000 KM, ENCAMINHADO PARA O SETOR DE CONTRATAÇÃO.</t>
  </si>
  <si>
    <t>BRQ2I43</t>
  </si>
  <si>
    <t>2º BPCHQ</t>
  </si>
  <si>
    <t>• REPARO DOS SINALIZADORES.</t>
  </si>
  <si>
    <t>DZO1B65</t>
  </si>
  <si>
    <t>CPA/M-2</t>
  </si>
  <si>
    <t>8-1193</t>
  </si>
  <si>
    <t>• TROCA DOS PNEUS.
• RODIZIO DE PNEUS</t>
  </si>
  <si>
    <t>SVC0J42</t>
  </si>
  <si>
    <t>CPC  / 43º BPMM</t>
  </si>
  <si>
    <t>M-43146</t>
  </si>
  <si>
    <t>TROCA DOS PNEUS
• TROCA DOS PNEUS.</t>
  </si>
  <si>
    <t>LIBERADO
LINHA MECÂNICA
LIBERADO</t>
  </si>
  <si>
    <t>SVE3E38-1</t>
  </si>
  <si>
    <t>TROCA 
• MOTOR DO LIMPADOR</t>
  </si>
  <si>
    <t>GEP3006</t>
  </si>
  <si>
    <t>REPAROS NOS SINAIS SONOROS E LUMINOSOS</t>
  </si>
  <si>
    <t>UUD9H03</t>
  </si>
  <si>
    <t xml:space="preserve">HYUNDAI / CRETA /CRETA </t>
  </si>
  <si>
    <t>M-18262</t>
  </si>
  <si>
    <t xml:space="preserve">VIATURA PARA O SETOR TÉCNICO, DOCUMENTAÇÃO ENTREGUE DIRETAMENTE NO SETOR.
</t>
  </si>
  <si>
    <t>GCH0653</t>
  </si>
  <si>
    <t>22-470</t>
  </si>
  <si>
    <t>EEF9581</t>
  </si>
  <si>
    <t>15-281</t>
  </si>
  <si>
    <t>DFI6J76</t>
  </si>
  <si>
    <t>M-10686</t>
  </si>
  <si>
    <t>098/26</t>
  </si>
  <si>
    <t>OVO1D75</t>
  </si>
  <si>
    <t>FID0E86</t>
  </si>
  <si>
    <t>M-10206</t>
  </si>
  <si>
    <t>PARECER TÉCNICO
• RECEPÇÃO DE DOCUMENTAÇÃO 
• MOVIMENTAÇÃO DA VIATURA NO PÁTIO
• RELATÓRIO FOTOGRAFICO DE IDENTIFICAÇÃO DA VIATURA</t>
  </si>
  <si>
    <t>FKH9A24</t>
  </si>
  <si>
    <t>M-22323</t>
  </si>
  <si>
    <t>REPÁRO NOS SINAIS LUMINOSOS E SONOROS
• TROCA DO MÓDULO  - REV</t>
  </si>
  <si>
    <t>FXH4941</t>
  </si>
  <si>
    <t>22-464</t>
  </si>
  <si>
    <t xml:space="preserve">AVALIAÇÃO
TROCA DE BATERIA
• REPROGRAMAÇAO INJEÇÃO ELETRÔNICA
• TESTE ALTERNADOR
</t>
  </si>
  <si>
    <t>ADG7994</t>
  </si>
  <si>
    <t>BA-081</t>
  </si>
  <si>
    <t xml:space="preserve">REPARO NA INSTALAÇÃO DOS SINAIS SONOROS E LUMINOSOS 
</t>
  </si>
  <si>
    <t>BZK9A03</t>
  </si>
  <si>
    <t>M-04037-11</t>
  </si>
  <si>
    <t>REPAROS NOS SINALIZADORES/ ENGESIG</t>
  </si>
  <si>
    <t>BSY2E61</t>
  </si>
  <si>
    <t>M-04027-11</t>
  </si>
  <si>
    <t>REPAROS NO SISTEMA DE SINALIZADORES</t>
  </si>
  <si>
    <t>UEF9G31</t>
  </si>
  <si>
    <t>M-10505</t>
  </si>
  <si>
    <t>DOCKS AO SETOR</t>
  </si>
  <si>
    <t>DKU6J35</t>
  </si>
  <si>
    <t>M-38104</t>
  </si>
  <si>
    <t>REPARO NOS SINALIZADORES 
• TROCA DO MÓDULO FLASH</t>
  </si>
  <si>
    <t>FLT3E92</t>
  </si>
  <si>
    <t>14º BPMI</t>
  </si>
  <si>
    <t>I-14016</t>
  </si>
  <si>
    <t>• PARECER TÉCNICO.
• ANALISE DE PEDIDO DE AGENDAMENTO POR E-MAIL.
• RESPOSTA POR E-MAIL NUMERADO DA LIBERAÇÃO DO PEDIDO DE AGENDAMENTO.
• ANALISE DA DOCUMENTAÇÃO FISICA.
• MOVIMENTAÇÃO E ACONDICIONAMENTO DA VIATURA NO PÁTIO.
• LANCAMENTO DA VTR EM PLANILHA SISTEMA E LOUSA.
• FOTOS DE IDENTIFICAÇÃO.
• DIAGNOSTICO ELETRONICO E FOTOS.
• TESTE DINÂMICO DE FRENAGEM.
• POSICIONAMENTO DA VIATURA NO ELEVADOR.
• DESMONTAGEM DO SITEMA DE FREIOS.
• MEDIÇÃO E FOTOGRAFIAS DO SISTEMA DE FREIOS.
• PARECER TÉCNICO.
• ANALISE DE PEDIDO DE AGENDAMENTO POR E-MAIL.
• RESPOSTA POR E-MAIL NUMERADO DA LIBERAÇÃO DO PEDIDO DE AGENDAMENTO.
• ANALISE DA DOCUMENTAÇÃO FISICA.
• MOVIMENTAÇÃO E ACONDICIONAMENTO DA VIATURA NO PÁTIO.
• LANCAMENTO DA VTR EM PLANILHA SISTEMA E LOUSA.
• FOTOS DE IDENTIFICAÇÃO.
• DIAGNOSTICO ELETRONICO E FOTOS.
• TESTE DINÂMICO DE FRENAGEM.
• POSICIONAMENTO DA VIATURA NO ELEVADOR.
• DESMONTAGEM DO SITEMA DE FREIOS.
• MEDIÇÃO E FOTOGRAFIAS DO SISTEMA DE FREIOS.
• ELABORAÇÃO DO PARECER TÉCNICO.
• REVISÃO DO PARECER TÉCNICO.
• IMPRESSÃO E COLHETA DE ASSINATURAS.
• DIGITALIZAÇÃO E COPIA COLORIDA.
• ENVELOPE E RECIBO DE ENTREGA.
• ARQUIVO DE PASTA FÍSICA E DIGITAL.
• E-MAIL SOLICITANDO A RETIRADA DA VIATURA.
• ENCERRAMENTO DO PROCESSO FÍSICO E DIGITAL NO SISTEMA.
• PARECER TÉCNICO.
• ANALISE DE PEDIDO DE AGENDAMENTO POR E-MAIL.
• RESPOSTA POR E-MAIL NUMERADO DA LIBERAÇÃO DO PEDIDO DE AGENDAMENTO.
• ANALISE DA DOCUMENTAÇÃO FISICA.
• MOVIMENTAÇÃO E ACONDICIONAMENTO DA VIATURA NO PÁTIO.
• LANCAMENTO DA VTR EM PLANILHA SISTEMA E LOUSA.
• FOTOS DE IDENTIFICAÇÃO.
• DIAGNOSTICO ELETRONICO E FOTOS.
• TESTE DINÂMICO DE FRENAGEM.
• POSICIONAMENTO DA VIATURA NO ELEVADOR.
• DESMONTAGEM DO SITEMA DE FREIOS.
• MEDIÇÃO E FOTOGRAFIAS DO SISTEMA DE FREIOS.
• ELABORAÇÃO DO PARECER TÉCNICO.
• REVISÃO DO PARECER TÉCNICO.
• IMPRESSÃO E COLHETA DE ASSINATURAS.
• DIGITALIZAÇÃO E COPIA COLORIDA.
• ENVELOPE E RECIBO DE ENTREGA.
• ARQUIVO DE PASTA FÍSICA E DIGITAL.
• E-MAIL SOLICITANDO A RETIRADA DA VIATURA.
• ENCERRAMENTO DO PROCESSO FÍSICO E DIGITAL NO SISTEMA.</t>
  </si>
  <si>
    <t>EEF8710</t>
  </si>
  <si>
    <t>APMSAP</t>
  </si>
  <si>
    <t>15-336</t>
  </si>
  <si>
    <t>OVO1E24</t>
  </si>
  <si>
    <t>TOYOTA / YARIS</t>
  </si>
  <si>
    <t>S/ PREFIXO</t>
  </si>
  <si>
    <t xml:space="preserve">RETIRADA DE MATERIAL </t>
  </si>
  <si>
    <t>EMT7557</t>
  </si>
  <si>
    <t>M-17016</t>
  </si>
  <si>
    <t xml:space="preserve">TROCA DO MODULO DE SIRENE </t>
  </si>
  <si>
    <t>DCG2E51</t>
  </si>
  <si>
    <t>CMIL 1-51</t>
  </si>
  <si>
    <t>CONTRATAÇÃO DO ESTRIBO</t>
  </si>
  <si>
    <t>FPB8J86</t>
  </si>
  <si>
    <t>49I</t>
  </si>
  <si>
    <t>I-49200</t>
  </si>
  <si>
    <t>TROCA DE LUMINOSO DE TETO E CONTROLE</t>
  </si>
  <si>
    <t>UDD9H03</t>
  </si>
  <si>
    <t>HYUNDAI/CRETA</t>
  </si>
  <si>
    <t>PARECER TÉCNICO FREIOS</t>
  </si>
  <si>
    <t>BPQ3A53</t>
  </si>
  <si>
    <t>22º BPMI</t>
  </si>
  <si>
    <t>I-22005</t>
  </si>
  <si>
    <t>SWI0E61</t>
  </si>
  <si>
    <t>M-49021</t>
  </si>
  <si>
    <t>VIATURA NÃO APRESENTOU DEFEITO</t>
  </si>
  <si>
    <t>EML0F12</t>
  </si>
  <si>
    <t>BA-092</t>
  </si>
  <si>
    <t>• REPARO NA.
• INSTALAÇÃO DOS SINAIS LUMINOSOS.
• TROCA DA SIRENE.</t>
  </si>
  <si>
    <t>FVX3A91</t>
  </si>
  <si>
    <t>20I</t>
  </si>
  <si>
    <t>I-20090-11</t>
  </si>
  <si>
    <t>• REPAROS NOS SINALIZADORES.</t>
  </si>
  <si>
    <t>FQW1C75</t>
  </si>
  <si>
    <t>I-20093-11</t>
  </si>
  <si>
    <t>• REPAROS E.
• TROCA DA SIRENE POR UMA SIRENE RECUPERADA.</t>
  </si>
  <si>
    <t>DFI6J61</t>
  </si>
  <si>
    <t>10-M</t>
  </si>
  <si>
    <t>• REALIZADA AS DEVIDAS MANUNTENÇÕES.</t>
  </si>
  <si>
    <t>OVO1E32</t>
  </si>
  <si>
    <t>TOYOTA YARIS/ YARIS</t>
  </si>
  <si>
    <t>FJB8C72</t>
  </si>
  <si>
    <t>15-56</t>
  </si>
  <si>
    <t>• .ENCAMINHADA PARA A CONTRATAÇÃO.</t>
  </si>
  <si>
    <t>DZF0F31</t>
  </si>
  <si>
    <t>22-196</t>
  </si>
  <si>
    <t>• .TROCA DA BATERIA 75 AMP/H.</t>
  </si>
  <si>
    <t>FIW3F08</t>
  </si>
  <si>
    <t>11ºBPMM</t>
  </si>
  <si>
    <t>M-11184</t>
  </si>
  <si>
    <t>DJL8695</t>
  </si>
  <si>
    <t>M-11185</t>
  </si>
  <si>
    <t>DLF7441</t>
  </si>
  <si>
    <t>23ºBPMM</t>
  </si>
  <si>
    <t>M-23170</t>
  </si>
  <si>
    <t>• REPARO NOS SINAIS SONOROS E LUMINOSOS.
• TROCA DA SIRENE.</t>
  </si>
  <si>
    <t>UGI3J28</t>
  </si>
  <si>
    <t>2ºBPMM</t>
  </si>
  <si>
    <t>M-02208</t>
  </si>
  <si>
    <t>OFÍCIO Nº2BPMM-190/62/26.
SINDICÂNCIA Nº2BPMM-13/06/26.</t>
  </si>
  <si>
    <t>FHH4E56</t>
  </si>
  <si>
    <t>48º BPMM</t>
  </si>
  <si>
    <t>M-48306</t>
  </si>
  <si>
    <t>• VIATURA REAGENDADA.</t>
  </si>
  <si>
    <t>GCU0935</t>
  </si>
  <si>
    <t>22-519</t>
  </si>
  <si>
    <t>• .REAPERTO DA CAPA PLÁSTICA DO PARALAMA DIANTEIRO LADO ESQUERDO.
• REVISÃO DO SISTEMA DE FREIOS.
• REVISÃO DO SISTEMA DE SUSPENSÃO.
• ENCAMINHADO PARA TERCERIZADA PARA.
• TROCA DOS COXINS DE MOTOR, CAMBIO, KITS DE BATENTES COIFAS COXINS E ROLAMENTOS DOS AMORTECEDORES DIANTEIROS E TRASEIROS.</t>
  </si>
  <si>
    <t>LINHA MECÂNICA
LIBERADO
LINHA MECÂNICA
CONTRATAÇÃO</t>
  </si>
  <si>
    <t>BNI1915</t>
  </si>
  <si>
    <t>M-11109</t>
  </si>
  <si>
    <t>EQX5990</t>
  </si>
  <si>
    <t>14º BAEP</t>
  </si>
  <si>
    <t>3-768</t>
  </si>
  <si>
    <t>• LANÇADO EM DUPLICIDADE.</t>
  </si>
  <si>
    <t>SETOR TÉCNICO
LIBERADO</t>
  </si>
  <si>
    <t>FRL2B73</t>
  </si>
  <si>
    <t>1º BPCHQ</t>
  </si>
  <si>
    <t>• REPARO NOS SINALIZADORES.
• TROCA DO CONTROLE.</t>
  </si>
  <si>
    <t>DFL2302</t>
  </si>
  <si>
    <t>HONDA/XRE</t>
  </si>
  <si>
    <t>M-13052-11</t>
  </si>
  <si>
    <t>CUJ4F26</t>
  </si>
  <si>
    <t>M-13058-11</t>
  </si>
  <si>
    <t>• REPAROS NOS SINALIDORES.</t>
  </si>
  <si>
    <t>OVO1D95</t>
  </si>
  <si>
    <t>EEF9249</t>
  </si>
  <si>
    <t>VW/SPACEFOX PAT MA</t>
  </si>
  <si>
    <t>• ELABORADO PROJETO PARA CONTRATAÇÃO.</t>
  </si>
  <si>
    <t>DUE2782</t>
  </si>
  <si>
    <t>22-60</t>
  </si>
  <si>
    <t>• TROCA DE DOIS PNEUS 195/65R15.
• ALINHAMENTO DE DIREÇÃO.
• BALANCEAMENTO DE RODAS.</t>
  </si>
  <si>
    <t>DGY7275</t>
  </si>
  <si>
    <t>22-49</t>
  </si>
  <si>
    <t>• TROCA DOS PNEUS.
• REPARO NO TRAMBULADOR DE CÂMBIO.</t>
  </si>
  <si>
    <t>BORRACHARIA
CONTRATAÇÃO</t>
  </si>
  <si>
    <t>BLF6D71</t>
  </si>
  <si>
    <t>M-13057-11</t>
  </si>
  <si>
    <t>SINALIZADOR: MANUTENÇÃO SINAIS SONOROS E LUMINOSOS.</t>
  </si>
  <si>
    <t>GDA7J74</t>
  </si>
  <si>
    <t>20ºBPMI</t>
  </si>
  <si>
    <t>I-20092-11</t>
  </si>
  <si>
    <t>• REPAROS NO CHICOTE E CONTROLE.</t>
  </si>
  <si>
    <t>FVO2D63</t>
  </si>
  <si>
    <t>I-20097-11</t>
  </si>
  <si>
    <t>GIX3I07</t>
  </si>
  <si>
    <t>15-173</t>
  </si>
  <si>
    <t>• REPARO PNEU DIANTEIRO.</t>
  </si>
  <si>
    <t>GBI5269</t>
  </si>
  <si>
    <t>22-389</t>
  </si>
  <si>
    <t>• EM AVALIAÇÃO..
• AVALIAÇÃO P/ CONTRATAÇÃO.
• AVALIAÇÃO P/ CONTRATAÇÃO.</t>
  </si>
  <si>
    <t>DJL4699</t>
  </si>
  <si>
    <t>7-52</t>
  </si>
  <si>
    <t xml:space="preserve">REGULAGEM DA EMBREAGEM </t>
  </si>
  <si>
    <t>GIN1J13</t>
  </si>
  <si>
    <t>M-03289</t>
  </si>
  <si>
    <t>• TROCA DA.
• INSTALAÇÃO DOS SINAIS LUMINOSOS E SONOROS E KIT.</t>
  </si>
  <si>
    <t>CUJ6D38</t>
  </si>
  <si>
    <t>1ºPBTRAN</t>
  </si>
  <si>
    <t>T-01425</t>
  </si>
  <si>
    <t>• REPARO NA.
• INSTALAÇÃO DOS SINAIS SONOROS E LUMINOSOS.
• TROCA DO MÓDULO.</t>
  </si>
  <si>
    <t>DIB8F92</t>
  </si>
  <si>
    <t>T-01127</t>
  </si>
  <si>
    <t>• REPARO NOS SINAIS LUMINOSOS E SONOROS.</t>
  </si>
  <si>
    <t>FVX3J54</t>
  </si>
  <si>
    <t>E-06110</t>
  </si>
  <si>
    <t>• REPARO NOS SINAIS LUMINOSOS E SONOROS.
• TROCA DO MÓDULO.</t>
  </si>
  <si>
    <t>STG1E33</t>
  </si>
  <si>
    <t>TROCA DE BATERIA
• APAGADO AS FALHAS VIA SCANER</t>
  </si>
  <si>
    <t>FPJ6928</t>
  </si>
  <si>
    <t>22ºBPMI</t>
  </si>
  <si>
    <t>19-336</t>
  </si>
  <si>
    <t>FXB6D94</t>
  </si>
  <si>
    <t>RENAULT/MASTER FUR L3H2</t>
  </si>
  <si>
    <t>5-25</t>
  </si>
  <si>
    <t>PROBLEMA NO SISTEMA ELÉTRICO (VEÍCULO NÃO DÁ PARTIDA).</t>
  </si>
  <si>
    <t>LINHA MECÂNICA PESADOS</t>
  </si>
  <si>
    <t>ELY1785</t>
  </si>
  <si>
    <t>FIAT/UNO VIVACE 1.0</t>
  </si>
  <si>
    <t>8-98</t>
  </si>
  <si>
    <t>COP6904</t>
  </si>
  <si>
    <t>22-265</t>
  </si>
  <si>
    <t>• BATERIA.
• TROCA DA BATERIA.
• READAPTAÇÃO DO SISTEMA DE INJEÇÃO ELETRONICA.</t>
  </si>
  <si>
    <t>CTX5160</t>
  </si>
  <si>
    <t>22-504</t>
  </si>
  <si>
    <t>• REPARADO PUXADOR DO CAPÔ.
• REPARADO PUXADOR DO CAPÔ.
• 2 COXINS DO AMORTECEDOR DIANTEIRO.
• REPARADO PUXADOR DO CAPÔ.
• TROCA DOS PNEUS DIANTERIROS.
• BLANCEAMENTO DE RODAS.
• REPARADO PUXADOR DO CAPÔ.
• TROCA DOS PNEUS DIANTERIROS.
• BALANCEAMENTO DE RODAS.
• ALINHAMENTO DE DIREÇÃO.
• TROCA DOS COXINS DOS AMORTECEDORES DIANTEIROS.
• TROCA DOS BATENTES DOS AMORTECEDORES DIANTEIROS.
• TROCA DAS COIFAS DOS AMORTECEDORES DIANTEIROS.</t>
  </si>
  <si>
    <t>FPE5832</t>
  </si>
  <si>
    <t>3-221</t>
  </si>
  <si>
    <t>DOCUMENTAÇÃO EM ANEXO</t>
  </si>
  <si>
    <t>EMA6H24</t>
  </si>
  <si>
    <t>M-13011</t>
  </si>
  <si>
    <t>BXI7E63</t>
  </si>
  <si>
    <t>M-20481-11</t>
  </si>
  <si>
    <t>FCE6C76</t>
  </si>
  <si>
    <t>8-950</t>
  </si>
  <si>
    <t>• .TROCA DOS 04 PNEUS 205/55R15.</t>
  </si>
  <si>
    <t>FZQ7C86</t>
  </si>
  <si>
    <t>3º BNPCHQ</t>
  </si>
  <si>
    <t>• .TROCA DE 02 PNEUS 265/60R18 (FORNECIDOS PELO CPCHQ).
• ALINHAMENTO DE DIREÇÃO.</t>
  </si>
  <si>
    <t>CUI9F74</t>
  </si>
  <si>
    <t>M-16486</t>
  </si>
  <si>
    <t>GEK6195</t>
  </si>
  <si>
    <t>• TROCA DE PREFIXOS.</t>
  </si>
  <si>
    <t>GRAFISMO
LIBERADO</t>
  </si>
  <si>
    <t>GBO5398</t>
  </si>
  <si>
    <t>T-02223-11</t>
  </si>
  <si>
    <t>GRAFISMO: TROCA DE PREFIXOS  T-02223-11 PARA M-12055-11</t>
  </si>
  <si>
    <t>FXB9345</t>
  </si>
  <si>
    <t>T-02214-11</t>
  </si>
  <si>
    <t>GRAFISMO: TROCA DE PREFIXOS  T-02214-11 PARA 26.367</t>
  </si>
  <si>
    <t>BPQ0C41</t>
  </si>
  <si>
    <t>8-413</t>
  </si>
  <si>
    <t>• TROCA DOIS PNEUS 215/50R17.
• TROCA DOIS PNEUS 215/50R17.
• ALINHAMENTO DE DIREÇÃO.</t>
  </si>
  <si>
    <t>GJD8J11</t>
  </si>
  <si>
    <t>M-03280</t>
  </si>
  <si>
    <t>GDT7160</t>
  </si>
  <si>
    <t>T-02333-11</t>
  </si>
  <si>
    <t>TROCA DE PREFIXOS T-02333-11 PARA  M-12060-11</t>
  </si>
  <si>
    <t>FDZ8116</t>
  </si>
  <si>
    <t>T-02141-11</t>
  </si>
  <si>
    <t>TROCA DE PREFIXOS T-02141-11 PARA 26-366.</t>
  </si>
  <si>
    <t>FNV2392</t>
  </si>
  <si>
    <t>T-02138-11</t>
  </si>
  <si>
    <t>TROCA DE PREFIXOS T-02138-11 PARA 26-362.</t>
  </si>
  <si>
    <t>FOQ6868</t>
  </si>
  <si>
    <t>T-02133-11</t>
  </si>
  <si>
    <t>TROCA DE PREFIXOS T-02133-11 PARA 26-361.</t>
  </si>
  <si>
    <t>CTM2J63</t>
  </si>
  <si>
    <t>M-38301</t>
  </si>
  <si>
    <t>CFZ3H23</t>
  </si>
  <si>
    <t>I-36000</t>
  </si>
  <si>
    <t>• TROCA DO SISTEMA DOS SINALIZADORES- REV.</t>
  </si>
  <si>
    <t>FVU5B96</t>
  </si>
  <si>
    <t>M-92000</t>
  </si>
  <si>
    <t>TROCA PREFIXO</t>
  </si>
  <si>
    <t>CCU6H07</t>
  </si>
  <si>
    <t>M-13387</t>
  </si>
  <si>
    <t>GFW4A83</t>
  </si>
  <si>
    <t>I-19045-11</t>
  </si>
  <si>
    <t>FVM4D25</t>
  </si>
  <si>
    <t>19ºBPMI</t>
  </si>
  <si>
    <t>I-19015</t>
  </si>
  <si>
    <t>MANUTENÇÃO SINAIS SONOROS E LUMINOSOS.</t>
  </si>
  <si>
    <t>EHH5D46</t>
  </si>
  <si>
    <t>I-19031-11</t>
  </si>
  <si>
    <t>GHV8A75</t>
  </si>
  <si>
    <t>I-19046-11</t>
  </si>
  <si>
    <t>EFQ8J43</t>
  </si>
  <si>
    <t>1-54</t>
  </si>
  <si>
    <t>Prefixo</t>
  </si>
  <si>
    <t>DJL2441</t>
  </si>
  <si>
    <t>PALIO WEEK</t>
  </si>
  <si>
    <t>22-337</t>
  </si>
  <si>
    <t>ESCAPAMENTO/CAIXA E BOMBA DE DIREÇÃO/PNEUS</t>
  </si>
  <si>
    <t>CONTRATAÇÃO - DESCARGA</t>
  </si>
  <si>
    <t>EEF4106</t>
  </si>
  <si>
    <t>ASTRA</t>
  </si>
  <si>
    <t>22-330</t>
  </si>
  <si>
    <t>VAZAMENTO COMB/ MOTOR Ñ FUNCIONA/ CHEIRO EMBR. CAMBIO/ COXINS AMORTECEDORES/ VERIFICAR CORREIAS/ AR INOPERANTE</t>
  </si>
  <si>
    <t>GBO4311</t>
  </si>
  <si>
    <t>22-89</t>
  </si>
  <si>
    <t>CONSUMO ÓLEO / BARULHO NA SUSPENSÃO</t>
  </si>
  <si>
    <t>CFY5839</t>
  </si>
  <si>
    <t>3-424</t>
  </si>
  <si>
    <t>SUSPENSÃO/ FREIO/ CAMBIO</t>
  </si>
  <si>
    <t>DJL0953</t>
  </si>
  <si>
    <t>3-168</t>
  </si>
  <si>
    <t>CAMBIO/ MOTOR/ SUSPENSÃO</t>
  </si>
  <si>
    <t>CFY5799</t>
  </si>
  <si>
    <t>3-37</t>
  </si>
  <si>
    <t>SUSPENSÃO/ FREIO/ MOTOR/ CAMBIO</t>
  </si>
  <si>
    <t>FXR6994</t>
  </si>
  <si>
    <t>22-315</t>
  </si>
  <si>
    <t>DJL6019</t>
  </si>
  <si>
    <t>BLAZER</t>
  </si>
  <si>
    <t>15-16</t>
  </si>
  <si>
    <t>ELÉTRICO ( VTR ENCHENTE DO CMM )</t>
  </si>
  <si>
    <t>FJH5857</t>
  </si>
  <si>
    <t>22-1092</t>
  </si>
  <si>
    <t>LUZ ANOMALIA ACESA ( BAIXA PRESSÃO DE ÓLEO )</t>
  </si>
  <si>
    <t>DJM0137</t>
  </si>
  <si>
    <t>PARATI</t>
  </si>
  <si>
    <t>22-631</t>
  </si>
  <si>
    <t>GAT6417</t>
  </si>
  <si>
    <t>22-1184</t>
  </si>
  <si>
    <t xml:space="preserve">CAMBIO NÃO ENGATA 3º MARCHA </t>
  </si>
  <si>
    <t>GAC3646</t>
  </si>
  <si>
    <t>22-382</t>
  </si>
  <si>
    <t>CHAVE QUEBRADA/ PAINEL DEFEITUOSO/ ARREFECIMENTO/ PANE ELÉTRICA</t>
  </si>
  <si>
    <t>202/24</t>
  </si>
  <si>
    <t>FCF9549</t>
  </si>
  <si>
    <t>DF/CIAP</t>
  </si>
  <si>
    <t>22-1308</t>
  </si>
  <si>
    <t>BATERIA/ PANE ELETRICA/ MOTOR RAJANDO</t>
  </si>
  <si>
    <t>EEF5753</t>
  </si>
  <si>
    <t>15-351</t>
  </si>
  <si>
    <t>SUSPENSÃO. MOTOR , FREIO</t>
  </si>
  <si>
    <t>14-477</t>
  </si>
  <si>
    <t>FOF9372</t>
  </si>
  <si>
    <t>CMM-SAF</t>
  </si>
  <si>
    <t>22-336</t>
  </si>
  <si>
    <t>DIREÇÃO ELÉTRICA, PAINEL. PANE ELETRICA</t>
  </si>
  <si>
    <t>EEF9238</t>
  </si>
  <si>
    <t>22-1306</t>
  </si>
  <si>
    <t xml:space="preserve">POSSÍVEL DESCARGA </t>
  </si>
  <si>
    <t>GBA6310</t>
  </si>
  <si>
    <t>BA-046</t>
  </si>
  <si>
    <t>MOTOR QUEIMANDO ÓLEO</t>
  </si>
  <si>
    <t>GBZ0400</t>
  </si>
  <si>
    <t>ESSD-057</t>
  </si>
  <si>
    <t>EEF5758</t>
  </si>
  <si>
    <t>CMM - SAF</t>
  </si>
  <si>
    <t>22-731</t>
  </si>
  <si>
    <t>AVALIAÇÃO DE RECOLHA</t>
  </si>
  <si>
    <t>FWP1363</t>
  </si>
  <si>
    <t>22-824</t>
  </si>
  <si>
    <t>FALHA MOTOR</t>
  </si>
  <si>
    <t>CMW7425</t>
  </si>
  <si>
    <t>15-131</t>
  </si>
  <si>
    <t>REVISÃO GERAL, PNEUS, MOTOR, FREIO</t>
  </si>
  <si>
    <t>CMW7379</t>
  </si>
  <si>
    <t>15-124</t>
  </si>
  <si>
    <t>MOTOR/SUSPENSÃO/DERIVADOS</t>
  </si>
  <si>
    <t>CDV3430</t>
  </si>
  <si>
    <t>3-1081</t>
  </si>
  <si>
    <t>CAMBIO / SUSPENSÃO / PNEUS</t>
  </si>
  <si>
    <t>CMW7432</t>
  </si>
  <si>
    <t>CAJ PM</t>
  </si>
  <si>
    <t>15-191</t>
  </si>
  <si>
    <t>CMW7426</t>
  </si>
  <si>
    <t>ESCAPAMENTO, SUSPENSÃO. REVISÃO GERAL.</t>
  </si>
  <si>
    <t>CMW7386</t>
  </si>
  <si>
    <t xml:space="preserve">VECTRA </t>
  </si>
  <si>
    <t>15-146</t>
  </si>
  <si>
    <t>SUSPENSÃO, CAMBIO</t>
  </si>
  <si>
    <t>CMW7420</t>
  </si>
  <si>
    <t>15-161</t>
  </si>
  <si>
    <t>SISTEMA ELETRICO/MOTOR/SUSPENSÃO</t>
  </si>
  <si>
    <t>EEF4153</t>
  </si>
  <si>
    <t>15-176</t>
  </si>
  <si>
    <t>AVALIAÇÃO GERAL, SUSPENSÃO, ROLAMENTOS, BATERIA.</t>
  </si>
  <si>
    <t>FDB4938</t>
  </si>
  <si>
    <t>17-16</t>
  </si>
  <si>
    <t>ELÉTRICO/ MOTOR</t>
  </si>
  <si>
    <t>BYZ7654</t>
  </si>
  <si>
    <t>REVISAO GERAL</t>
  </si>
  <si>
    <t>FPZ5988</t>
  </si>
  <si>
    <t>PALIO W</t>
  </si>
  <si>
    <t>22-93</t>
  </si>
  <si>
    <t>VIATURA COM SUPERAQUECIMENTO/ AVALIAÇÃO PARA DESCARGA</t>
  </si>
  <si>
    <t>GAV2510</t>
  </si>
  <si>
    <t>22-750</t>
  </si>
  <si>
    <t>FAT4978</t>
  </si>
  <si>
    <t>22-741</t>
  </si>
  <si>
    <t>DJL7764</t>
  </si>
  <si>
    <t>15-92</t>
  </si>
  <si>
    <t>AVALIAÇÃO PARA POSSÍVEL DESCARGA</t>
  </si>
  <si>
    <t>PORTA DO MOTORISTA NÃO ABRE POR DENTRO, FALHA NO MOTOR, PNEU TRASEIRO FURADO</t>
  </si>
  <si>
    <t>22-684</t>
  </si>
  <si>
    <t>ARREFECIMENTO/ VIATURA NÃO LIGA POSSÍVEL BATERIA</t>
  </si>
  <si>
    <t xml:space="preserve">FREIO; SUSPENSÃO ; DIREÇÃO; </t>
  </si>
  <si>
    <t>EEF8713</t>
  </si>
  <si>
    <t>15-14</t>
  </si>
  <si>
    <t>REVISÃO GERAL (POSSIVEL DESCARGA)</t>
  </si>
  <si>
    <t>DJL7766</t>
  </si>
  <si>
    <t>15-93</t>
  </si>
  <si>
    <t>REVISÃO SUSPENSÃO, FREIOS, PNEUS, ALINHAMENTO E BALANCEAMENTO.</t>
  </si>
  <si>
    <t>INJEÇÃO ELETRÔNICA (MOTOR RAJANDO, BATENDO VÁLVULAS)</t>
  </si>
  <si>
    <t>VTR FALHANDOBATENDO MOTOR, VAZANDO AGUA</t>
  </si>
  <si>
    <t>DJM8726</t>
  </si>
  <si>
    <t>8-318</t>
  </si>
  <si>
    <t>MOTOR</t>
  </si>
  <si>
    <t>CMW7377</t>
  </si>
  <si>
    <t>CRPM</t>
  </si>
  <si>
    <t>15-139</t>
  </si>
  <si>
    <t>MOTOR, SUSPENSAO</t>
  </si>
  <si>
    <t>CMW7410</t>
  </si>
  <si>
    <t>DSA/CG ( ECE-SAF)</t>
  </si>
  <si>
    <t>15-157</t>
  </si>
  <si>
    <t>MOTOR / SUSPENSÃO</t>
  </si>
  <si>
    <t>O.S.</t>
  </si>
  <si>
    <t>STT7I41</t>
  </si>
  <si>
    <t>05 BPMM</t>
  </si>
  <si>
    <t>M-05365</t>
  </si>
  <si>
    <t>APOIO OPERAÇÃO VERÃO TROCA DE PNEU DIANTEIRO DIREITO</t>
  </si>
  <si>
    <t>REPARADO - LIBERADA</t>
  </si>
  <si>
    <t>SVO9C79</t>
  </si>
  <si>
    <t>M-05371</t>
  </si>
  <si>
    <t>APOIO OPERAÇÃO VERÃO TROCA DE PNEU DIANTEIRO ESQUERDO</t>
  </si>
  <si>
    <t>ECO5J34</t>
  </si>
  <si>
    <t>BAEP</t>
  </si>
  <si>
    <t>E-07218</t>
  </si>
  <si>
    <t xml:space="preserve">VISTORIA PARA OPERAÇÃO VERÃO/ </t>
  </si>
  <si>
    <t>FSB7D43</t>
  </si>
  <si>
    <t>TRAILBLEZER</t>
  </si>
  <si>
    <t>E-07111</t>
  </si>
  <si>
    <t>VISTORIA PARA OPERAÇÃO VERÃO/ REPROVADA; PNEUS DIANEIROS E TRASEIROS E TROCA DE ÓLEO</t>
  </si>
  <si>
    <t>DII9749</t>
  </si>
  <si>
    <t>5BPM/M</t>
  </si>
  <si>
    <t>VISTORIA DE RECOLHA (REPROVADA)</t>
  </si>
  <si>
    <t>M-05339</t>
  </si>
  <si>
    <t>VISTORIA DE RECOLHA - APROVADA</t>
  </si>
  <si>
    <t>BSX7I45</t>
  </si>
  <si>
    <t>9BPM/M</t>
  </si>
  <si>
    <t>REAVALIAÇÃO DE RECOLHA (APROVADA)</t>
  </si>
  <si>
    <t>ROLAMENTO REY CARDAN</t>
  </si>
  <si>
    <t>EEF9171</t>
  </si>
  <si>
    <t>BA-040</t>
  </si>
  <si>
    <t>EEF9384</t>
  </si>
  <si>
    <t>*****</t>
  </si>
  <si>
    <t>TROCA DOS CILINDROS DO FREIO TRASEIRO (CARTÃO DE ADIANTAMENTO)</t>
  </si>
  <si>
    <t>ETE-0383</t>
  </si>
  <si>
    <t>3-529</t>
  </si>
  <si>
    <t>TROCA LÂMPADA FAROL DE POSIÇÃO</t>
  </si>
  <si>
    <t>FWI1421</t>
  </si>
  <si>
    <t>ESSGT</t>
  </si>
  <si>
    <t>ESSGT 0-20</t>
  </si>
  <si>
    <t>DJM8683</t>
  </si>
  <si>
    <t>15-109</t>
  </si>
  <si>
    <t>QUEIMANDO ÓLEO</t>
  </si>
  <si>
    <t>PALIO WEEKEND</t>
  </si>
  <si>
    <t>BATERIA NÃO SEGURA CARGA</t>
  </si>
  <si>
    <t>MOTOR / SUSPENSÃO/ AR CONDICIONADO</t>
  </si>
  <si>
    <t xml:space="preserve">SUSPENSÃO TRAS. E DIANT/ INJEÇÃO ELETR./ PNEUS/ LANTERNAS </t>
  </si>
  <si>
    <t>GBQ4440</t>
  </si>
  <si>
    <t>AR CONDICIONADO/ ARREFECIMENTO/BARULHO MOTOR</t>
  </si>
  <si>
    <t>FVU3593</t>
  </si>
  <si>
    <t>17-13</t>
  </si>
  <si>
    <t>VAZAMENTO ÓLEO MOTOR/ SINALIZADOR</t>
  </si>
  <si>
    <t>COORDOP PM</t>
  </si>
  <si>
    <t>15-134</t>
  </si>
  <si>
    <t>GGI4H65</t>
  </si>
  <si>
    <t>BA-085</t>
  </si>
  <si>
    <t>TROCA DE BATERIA- RETORNO OFICINA EXTERNA ( CARTÃO ADIANTAMENTO )</t>
  </si>
  <si>
    <t>DVR9040</t>
  </si>
  <si>
    <t>22-1090</t>
  </si>
  <si>
    <t>CORREIAS/ PNEUS/ PAINEL INOPERANTE</t>
  </si>
  <si>
    <t>CMW7414</t>
  </si>
  <si>
    <t>15-160</t>
  </si>
  <si>
    <t>FXS8512</t>
  </si>
  <si>
    <t>22-1302</t>
  </si>
  <si>
    <t>CHICOTE DO SIST. DE INJEÇÃO ELETRÔNICA/CORREIA DO ALTERNADOR</t>
  </si>
  <si>
    <t>BAIXANDI ÓLEO; MOTOR FALHANDO</t>
  </si>
  <si>
    <t xml:space="preserve">BATERIA / ALAVANCA DO CÂMBIO E REGULAGEM DOS CABOS SELETORES </t>
  </si>
  <si>
    <t>DJL7424</t>
  </si>
  <si>
    <t>15-98</t>
  </si>
  <si>
    <t>GAD8487</t>
  </si>
  <si>
    <t>AJ FROTA 22</t>
  </si>
  <si>
    <t>CMW7416</t>
  </si>
  <si>
    <t>15-130</t>
  </si>
  <si>
    <t>FREIO/ EMBREAGEM/ AR CONDICIONADO</t>
  </si>
  <si>
    <t>FMT5967</t>
  </si>
  <si>
    <t>22-650</t>
  </si>
  <si>
    <t>SUSPENSÃO/ HOMOCINÉTICA</t>
  </si>
  <si>
    <t>FREIO/ SUSPENSÃO/ ILUMINAÇÃO</t>
  </si>
  <si>
    <t>CMW7382</t>
  </si>
  <si>
    <t>15-125</t>
  </si>
  <si>
    <t>REPARO NO CHICOTE DO PAINEL</t>
  </si>
  <si>
    <t>REPARO NO SISTEMA ELEÉTRICO / BOBINA DE IGNIÇÃO REMANEJADA</t>
  </si>
  <si>
    <t>DJM8873</t>
  </si>
  <si>
    <t>22-83</t>
  </si>
  <si>
    <t>VTR DESLIGA SOZINHA</t>
  </si>
  <si>
    <t>GJG9907</t>
  </si>
  <si>
    <t>22-794</t>
  </si>
  <si>
    <t>TROCA DE ÓLEO E FILTROS/ ENCAMINHADO PARA CONTRATAÇÃO</t>
  </si>
  <si>
    <t>TROCA DE BATERIA, AMORTECEDORES, RETORNO DA EXECUÇÃO</t>
  </si>
  <si>
    <t>ELS8873</t>
  </si>
  <si>
    <t>22-22</t>
  </si>
  <si>
    <t>04 PNEUS E MOTOR DE ARRANQUE</t>
  </si>
  <si>
    <t>FPP1023</t>
  </si>
  <si>
    <t>3-826</t>
  </si>
  <si>
    <t>AR CONDICIONADO INOPERANE</t>
  </si>
  <si>
    <t>TROCA DE PASTILHA DE FREIO</t>
  </si>
  <si>
    <t>ETZ7163</t>
  </si>
  <si>
    <t>15-20</t>
  </si>
  <si>
    <t>MOTOR DE ARRANQUE</t>
  </si>
  <si>
    <t>BYP4277</t>
  </si>
  <si>
    <t>BA-050</t>
  </si>
  <si>
    <t>REPARO NO CHICOTE DO FAROL E TROCA DE LÂMPADAS</t>
  </si>
  <si>
    <t>23/08/2024</t>
  </si>
  <si>
    <t>REPARO CHAVE DE IGNIÇÃO</t>
  </si>
  <si>
    <t>FIAT UNO WAY</t>
  </si>
  <si>
    <t>PASTILHA DE FREIO</t>
  </si>
  <si>
    <t>CFY4296</t>
  </si>
  <si>
    <t>SPACE FOX</t>
  </si>
  <si>
    <t>BA-023</t>
  </si>
  <si>
    <t>ARREFECIMENTO/ INJEÇÃO/ BALANCIAMENTO</t>
  </si>
  <si>
    <t>REVISÃO ELETRICA</t>
  </si>
  <si>
    <t>GCG1620</t>
  </si>
  <si>
    <t>22-835</t>
  </si>
  <si>
    <t>FALHA DE IGNIÇÃO/ TROCA DE ÓLEO</t>
  </si>
  <si>
    <t>FYR7284</t>
  </si>
  <si>
    <t>GOL CITY</t>
  </si>
  <si>
    <t>8-787</t>
  </si>
  <si>
    <t>PARABRISA TRINCADO</t>
  </si>
  <si>
    <t>FQW6145</t>
  </si>
  <si>
    <t>8-851</t>
  </si>
  <si>
    <t>MOTOR/ AR COND./ SUSPENSÃO</t>
  </si>
  <si>
    <t>3ºEM/PM</t>
  </si>
  <si>
    <t>MONTANA</t>
  </si>
  <si>
    <t>TROCA DE LAMPADA/ ANÁLISE COM SCANNER</t>
  </si>
  <si>
    <t>EEF8697</t>
  </si>
  <si>
    <t>S10</t>
  </si>
  <si>
    <t>3-276</t>
  </si>
  <si>
    <t xml:space="preserve">GAB COM GERAL </t>
  </si>
  <si>
    <t>1-120</t>
  </si>
  <si>
    <t>PARABARRO</t>
  </si>
  <si>
    <t>AJUSTE NO ESTRIBO, TROCA DE ÓLEO</t>
  </si>
  <si>
    <t>TROCA DE PASTILHA DE FREIO/ FAROL QUEBRADO</t>
  </si>
  <si>
    <t>GEM9466</t>
  </si>
  <si>
    <t>22-272</t>
  </si>
  <si>
    <t>TROCA DE BATERIA/ MOTOR ARRANQUE</t>
  </si>
  <si>
    <t>FSP3584</t>
  </si>
  <si>
    <t>22-736</t>
  </si>
  <si>
    <t>EMBREAGEM/ SUSPENSÃO/ TROCA DE ÓLEO</t>
  </si>
  <si>
    <t>TRAIL</t>
  </si>
  <si>
    <t>TROCA DE LÂMPADAS FOROL BAIXO E MILHA L.D.</t>
  </si>
  <si>
    <t>EEF8915</t>
  </si>
  <si>
    <t>22-354</t>
  </si>
  <si>
    <t>SISTEMA DE ARREFECIMENTO / BATERIA / SUSPENSÃO TRASEIRA</t>
  </si>
  <si>
    <t>BOBINAS E VELAS, LIMPEZA TBI, SCANNER</t>
  </si>
  <si>
    <t>FSI2B52</t>
  </si>
  <si>
    <t>1-91</t>
  </si>
  <si>
    <t>TROCA DE ÓLEO E FILTROS</t>
  </si>
  <si>
    <t>BYW2A71</t>
  </si>
  <si>
    <t>1-82</t>
  </si>
  <si>
    <t>REPARO ANTENA RÁDIO FM</t>
  </si>
  <si>
    <t>BNF8775</t>
  </si>
  <si>
    <t>22-278</t>
  </si>
  <si>
    <t>VAZAMENTO DE ÓLEO/ CHICOTE BOBINA ROMPIDO</t>
  </si>
  <si>
    <t>SSP</t>
  </si>
  <si>
    <t>LAMPADA FAROL</t>
  </si>
  <si>
    <t>EEF9604</t>
  </si>
  <si>
    <t>GAB CMDO GERAL</t>
  </si>
  <si>
    <t>1-166</t>
  </si>
  <si>
    <t>CFY2788</t>
  </si>
  <si>
    <t>22-468</t>
  </si>
  <si>
    <t>PARTE ELÉTRICA E ARREFECIMENTO</t>
  </si>
  <si>
    <t>PASTILHA DE FREIO / DISCO DE FREIO/</t>
  </si>
  <si>
    <t>FOZ9B35</t>
  </si>
  <si>
    <t>3-96</t>
  </si>
  <si>
    <t>TROCA DO PARABRISA</t>
  </si>
  <si>
    <t>BOMBA DE COMBUSTÍVEL</t>
  </si>
  <si>
    <t>CUJ8C35</t>
  </si>
  <si>
    <t>BA-083</t>
  </si>
  <si>
    <t>TROCA DE BATERIA ( start stop) VTR RODANDO</t>
  </si>
  <si>
    <t>VTR FALHANDO</t>
  </si>
  <si>
    <t>GAD4055</t>
  </si>
  <si>
    <t>22-1301</t>
  </si>
  <si>
    <t>MAQUINA VIDRO DIANT DIR ( reparado )</t>
  </si>
  <si>
    <t>FNW5G94</t>
  </si>
  <si>
    <t>1-67</t>
  </si>
  <si>
    <t xml:space="preserve">TROCA DOS  FLUÍDOS </t>
  </si>
  <si>
    <t>LAMPADA DE FREIO</t>
  </si>
  <si>
    <t>FWP4A94</t>
  </si>
  <si>
    <t>15-207</t>
  </si>
  <si>
    <t>PASTILHADE FREIO</t>
  </si>
  <si>
    <t>BSZ9109</t>
  </si>
  <si>
    <t>22-1174</t>
  </si>
  <si>
    <t>BATERIA/ PALHETAS/ ADITIVO/ RESET COM SCANNER</t>
  </si>
  <si>
    <t>FLUENCE</t>
  </si>
  <si>
    <t>ANOMALIA NA INJEÇÃO</t>
  </si>
  <si>
    <t>TROCA DA LÂMPADA PINGÃO - (PLACA) / LÂMPADA H7 (FAROL BAIXO)</t>
  </si>
  <si>
    <t>1-35</t>
  </si>
  <si>
    <t>REAPERTO DA SUSPENSÃO</t>
  </si>
  <si>
    <t>BATERIA/ FREIO/ SINALIZADOR</t>
  </si>
  <si>
    <t>VENTOINHA NÃO FUNCIONA</t>
  </si>
  <si>
    <t>EVD0F41</t>
  </si>
  <si>
    <t>CPRV</t>
  </si>
  <si>
    <t>1-50</t>
  </si>
  <si>
    <t>TROCA 04 PNEUS</t>
  </si>
  <si>
    <t>3-1026</t>
  </si>
  <si>
    <t>TROCA DE LÂMPADA</t>
  </si>
  <si>
    <t>TROCA DE LAMPADAS DE FREIO</t>
  </si>
  <si>
    <t>CFY5701</t>
  </si>
  <si>
    <t>15-293</t>
  </si>
  <si>
    <t>DESCARACTERIZAÇÃO ( GRUPO 3 PARA 15)</t>
  </si>
  <si>
    <t>EOC5512</t>
  </si>
  <si>
    <t>33ºBPM/I</t>
  </si>
  <si>
    <t>22-1143</t>
  </si>
  <si>
    <t>REPARO NO ARREFECIMENTO ( APOIO EMERGENCIAL )</t>
  </si>
  <si>
    <t>TROCA DE ÓLEO DO MOTOR E FILTRO</t>
  </si>
  <si>
    <t>GAG2E24</t>
  </si>
  <si>
    <t>8-1066</t>
  </si>
  <si>
    <t>FOK4089</t>
  </si>
  <si>
    <t>22-802</t>
  </si>
  <si>
    <t>FALHA DE IGNIÇÃO</t>
  </si>
  <si>
    <t>TROCA DA BATERIA/ REVISÃO ELÉTRICA</t>
  </si>
  <si>
    <t>DESCARACTERIZAR ( GRUPO 22 PARA GRUPO 15 )</t>
  </si>
  <si>
    <t>SEM PREF.</t>
  </si>
  <si>
    <t>TROCADO BATERIA (NOVA)</t>
  </si>
  <si>
    <t>FWS9C43</t>
  </si>
  <si>
    <t>FYU7586</t>
  </si>
  <si>
    <t>TROCA DA LÂMPADA H27W/2 E LÂMPADA PINGO</t>
  </si>
  <si>
    <t>TROCA DE PNEUS/ CONTROLE DE ESTABILIDADE/ SUSPENSÃO</t>
  </si>
  <si>
    <t>22-733</t>
  </si>
  <si>
    <t>TROCA DA BATERIA / TEST. DE MOTOR DE PARTIDA / TEST.  ALTERNADOR</t>
  </si>
  <si>
    <t>DJM9041</t>
  </si>
  <si>
    <t>3-87</t>
  </si>
  <si>
    <t>PANE ELÉTRICA /  MECANICA</t>
  </si>
  <si>
    <t>TROCA DE BATERIA AUXILIAR</t>
  </si>
  <si>
    <t>GIK1995</t>
  </si>
  <si>
    <t>3-47</t>
  </si>
  <si>
    <t>TROCA DE PNEUA/ TROCA DE ÓLEO E FILTRO</t>
  </si>
  <si>
    <t xml:space="preserve"> PASTILHA DE FREIO TRASEIRO/ ÓLEO+FILTRO/ LÂMPADAS  LEITURA VIA SCANNER</t>
  </si>
  <si>
    <t>EEF8698</t>
  </si>
  <si>
    <t>3-356</t>
  </si>
  <si>
    <t>BYY1563</t>
  </si>
  <si>
    <t>BA-049</t>
  </si>
  <si>
    <t>MOTOR ( RESOLVIDO NA LINHA ) FREIO/ ( GARANTIA )</t>
  </si>
  <si>
    <t>CMDO GERAL</t>
  </si>
  <si>
    <t>EEF8683</t>
  </si>
  <si>
    <t>1-113</t>
  </si>
  <si>
    <t>CDR1G22</t>
  </si>
  <si>
    <t>ESSGT-032</t>
  </si>
  <si>
    <t>EHW3805</t>
  </si>
  <si>
    <t>ESSGT-025</t>
  </si>
  <si>
    <t>REPARO NO SISTEMA DE ARREFECIMENTO/ INJEÇÃO</t>
  </si>
  <si>
    <t>CUI3651</t>
  </si>
  <si>
    <t>15-45</t>
  </si>
  <si>
    <t>DSA-CG</t>
  </si>
  <si>
    <t>MOTOR/ EMBREAGEM/ SUSPENSÃO</t>
  </si>
  <si>
    <t>EFC8130</t>
  </si>
  <si>
    <t>22-208</t>
  </si>
  <si>
    <t>SUSPENSÃO/ ARREFECIMENTO/ DIFICULDADE DE PARTIDA</t>
  </si>
  <si>
    <t>REPARO NA VÁLVULA DE PURGA DO CANISTER, REPARO NO BUJÃO DO CÁRTER</t>
  </si>
  <si>
    <t>TROCA DE LAMPADA DE PLACA</t>
  </si>
  <si>
    <t>TROCA DO ÓLEO DO MOTOR E FILTROS ( TODOS )</t>
  </si>
  <si>
    <t>BWM5F24</t>
  </si>
  <si>
    <t>BA-091</t>
  </si>
  <si>
    <t>TROCA DE BATERIA ( CARTÃO DE ADIANTAMENTO )</t>
  </si>
  <si>
    <t>REPARO PNEU ESTEPE, TROCA DO BICO</t>
  </si>
  <si>
    <t>PANÉ ELÉTRICA, BATERIA ,BOMBA DE COMBUSTÌVEL, PALHETA E TROCA DE ÓLEO REALIZADAS</t>
  </si>
  <si>
    <t>GAM4186</t>
  </si>
  <si>
    <t>12º BAEP</t>
  </si>
  <si>
    <t>3-737</t>
  </si>
  <si>
    <t>REPARO PNEU TRASEIRO DIREITO, BALANCIAMENTO</t>
  </si>
  <si>
    <t>LIMPEZA COMPLETA DO SISTEMA DE ARREFECIMENTO/ LIMPEZA E SUBSTITUIÇÃO DO FLUIDO DE FREIO/ PASTILHAS DE FREIO DIANTEIRA/ VELAS/ LEITURA DO SISTEMA DE INJEÇÃO ELETRÔNICA/ TROCA DE ÓLEO E FILTROS/ PROBLEMAS DE INJEÇÃO SOLUCIONADO (COMBUSTÍVEL ADULTERADO)/ ABASTECIMENTO DE COMBUSTÍVEL E ENCAMINHADO PARA O SETOR CONTRATUAL</t>
  </si>
  <si>
    <t>LÂMPADA H7 ( FAROL BAIXO ) E REVISÃO SISTEMA ELÉTRICO )</t>
  </si>
  <si>
    <t>CFY5853</t>
  </si>
  <si>
    <t>BATERIA/LÂMPADAS</t>
  </si>
  <si>
    <t>FPP0162</t>
  </si>
  <si>
    <t>ESSGT-22</t>
  </si>
  <si>
    <t>REPARO NO MOTOR DE ARRANQUE</t>
  </si>
  <si>
    <t>TESTE DO SISTEMA ELÉTRICO</t>
  </si>
  <si>
    <t>FIP0147</t>
  </si>
  <si>
    <t>REPARO EM 02 PNEUS ESTEPES TRAZIDOS DE VTR EM P.E.</t>
  </si>
  <si>
    <t>ETE0383</t>
  </si>
  <si>
    <t>TROCA DE DISCO E PASTILHA DE FREIO TRASEIRO</t>
  </si>
  <si>
    <t>GFS6957</t>
  </si>
  <si>
    <t>ESSGT-029</t>
  </si>
  <si>
    <t>REAPERTO NO MOTOR DE ARRANQUE E TROCA DA PALHETA</t>
  </si>
  <si>
    <t>REMANEJAMENTO DO ESPELHO RETROVISOR LADO ESQUERDO</t>
  </si>
  <si>
    <t>PNEUS, AVALIAÇAO MECANICA</t>
  </si>
  <si>
    <t>TROCA DA LÂMPADA H27 E PINGÃO DA PLACA</t>
  </si>
  <si>
    <t>TROCA DE LAMPADA DO MILHA</t>
  </si>
  <si>
    <t>GFN8742</t>
  </si>
  <si>
    <t>3-527</t>
  </si>
  <si>
    <t>TROCA DE LAMPADA DO FAROL</t>
  </si>
  <si>
    <t>BSS8600</t>
  </si>
  <si>
    <t>CPI-05</t>
  </si>
  <si>
    <t>22-1281</t>
  </si>
  <si>
    <t>FOI COMPLETADO ÓLEO DO MOTOR ( APOIO VTR EM VIAGEM )</t>
  </si>
  <si>
    <t>GBR1430</t>
  </si>
  <si>
    <t>3-804</t>
  </si>
  <si>
    <t>MANUTENÇÃO FECHADURA CAPO ( APOIO VTR EM VIAGEM )</t>
  </si>
  <si>
    <t>BATERIA / PNEUS E PALHETA PARABRISA</t>
  </si>
  <si>
    <t>FQD6G92</t>
  </si>
  <si>
    <t>BA-084</t>
  </si>
  <si>
    <t>FIN2J42</t>
  </si>
  <si>
    <t>BA-086</t>
  </si>
  <si>
    <t>GJB4F43</t>
  </si>
  <si>
    <t>BA-087</t>
  </si>
  <si>
    <t>EST2I66</t>
  </si>
  <si>
    <t>BA-088</t>
  </si>
  <si>
    <t>EEF8671</t>
  </si>
  <si>
    <t>1-102</t>
  </si>
  <si>
    <t xml:space="preserve">TROCA DO ÓLEO DO MOTOR E FLTROS / AMORTECEDORES DIANTEIROS, TRASEIROS E KITS / DICOS DE FREIO TRASEIRO / PASTILHA DE FREIO TRASEIRA / BANDEJAS DA SUSPENSÃO DIANTEIRA / PIVÔS DA SUSPENSÃO DIANTEIRA / CAIXA DE DIREÇÃO COMPLETA / BIELETAS  / JUNTA DO CÁRTER DO CÂMBIO / FILTRO DE ÓLEO DO CÂMBIO / BUCHAS DA BARRA ESTABILIZADORA DIANTEIRA </t>
  </si>
  <si>
    <t>TROCA DE BATERIA (CARTÃO DE ADIANTAMENTO)</t>
  </si>
  <si>
    <t>FWM1D23</t>
  </si>
  <si>
    <t>1-76</t>
  </si>
  <si>
    <t>GAB.CMDO.GERAL</t>
  </si>
  <si>
    <t>1-157</t>
  </si>
  <si>
    <t>SUSPENSÃO/ ELÉTRICO/ FUN. E PINTURA</t>
  </si>
  <si>
    <t>22-373</t>
  </si>
  <si>
    <t>TROCA DE LAMPADAS E REPARO PNEU ESTEPE</t>
  </si>
  <si>
    <t>TROCA DE ÓLEO E FILTROS/ BOBINAS E VELAS/ DESODORIZAÇÃO DO AR CONDICIONADO/ LIMPEZA DO CORPO DE BORBOLETA</t>
  </si>
  <si>
    <t>fci7693</t>
  </si>
  <si>
    <t>VOYAGE</t>
  </si>
  <si>
    <t xml:space="preserve">TROCA DE BATERIA </t>
  </si>
  <si>
    <t>CFY2724</t>
  </si>
  <si>
    <t>22-1305</t>
  </si>
  <si>
    <t>REPARO NO ALTERNADOR E RECARGA NA BATERIA</t>
  </si>
  <si>
    <t>PASTILHAS DE FREIO DIANTEIRA/ AVISADO AO MOTORISTA REFERENTE AS PASTILHAS DE FREIO TRASEIRA QUE ESTÃO MEIA VIDA.</t>
  </si>
  <si>
    <t>EEF9229</t>
  </si>
  <si>
    <t>22-100</t>
  </si>
  <si>
    <t>TROCA DA CAIXA DE DIREÇÃO E SUSPENSÃO</t>
  </si>
  <si>
    <t>FPF7746</t>
  </si>
  <si>
    <t>22-700</t>
  </si>
  <si>
    <t>VAZAMENTO NA BOMBA D´AGUA, INJEÇÃO ELETRÔNICA</t>
  </si>
  <si>
    <t>GBZ7153</t>
  </si>
  <si>
    <t>BA-045</t>
  </si>
  <si>
    <t>SUSPENSÃO DIANTEIRA, SISTEMA  ARREFECIMENO, PNEU</t>
  </si>
  <si>
    <t>ERN4001</t>
  </si>
  <si>
    <t>BA-048</t>
  </si>
  <si>
    <t>MOTOR DE PARTIDA, PNEUS</t>
  </si>
  <si>
    <t>BXD7E68</t>
  </si>
  <si>
    <t>22-711</t>
  </si>
  <si>
    <t>FALHANDO E SEM FORÇA</t>
  </si>
  <si>
    <t>GDA4D57</t>
  </si>
  <si>
    <t>1-71</t>
  </si>
  <si>
    <t>REVISÃO GERAL: ÓLEO,FILTROS,PASTILHAS DE FREIO DIANTEIRA E TRASEIRA,DISCO DE FREIO DIANTEIRO, BATERIA, DESODORIZAÇÃO DO AR CONDICIONADO</t>
  </si>
  <si>
    <t>CMM/SAF'</t>
  </si>
  <si>
    <t>TROCA DE ÓLEO E FILTROS/ VELAS/ LIMPEZA DA TBI/ REMANEJAMENTO DA BOMBA DE COMBUSTÍVEL</t>
  </si>
  <si>
    <t>GFF1I73</t>
  </si>
  <si>
    <t>BA-036</t>
  </si>
  <si>
    <t>TROCA DAS PASTILHAS DE FREIO DIANTEIRO</t>
  </si>
  <si>
    <t>FOD0G52</t>
  </si>
  <si>
    <t>23°BPM/M</t>
  </si>
  <si>
    <t>M-23</t>
  </si>
  <si>
    <t>TROCA DE PASTILHA ( DEVOLVIDA NO GUINCHO )</t>
  </si>
  <si>
    <t>TROCA DE LÂMPADAS</t>
  </si>
  <si>
    <t>FPP0243</t>
  </si>
  <si>
    <t>BA-053</t>
  </si>
  <si>
    <t>REPARO NO MOTOR DE PARTIDA</t>
  </si>
  <si>
    <t>DJL0960</t>
  </si>
  <si>
    <t>3-26</t>
  </si>
  <si>
    <t>CAMBIO, FREIO, REVISÃO GERAL</t>
  </si>
  <si>
    <t>EEF4587</t>
  </si>
  <si>
    <t>22-40</t>
  </si>
  <si>
    <t>BATERIA, ROUBANDO CARGA</t>
  </si>
  <si>
    <t>GHU0D17</t>
  </si>
  <si>
    <t>ESSGT-033</t>
  </si>
  <si>
    <t>FOM5629</t>
  </si>
  <si>
    <t>22-103</t>
  </si>
  <si>
    <t>REPARO NA BOBINA 2/ TROCA DE VELAS E CABOS</t>
  </si>
  <si>
    <t>EZS9J12</t>
  </si>
  <si>
    <t>15/72</t>
  </si>
  <si>
    <t>TROCA DOS AMORTECEDORES DIANTEIRO E TRASEIRO/ PASTILHAS DE FREIO/ ÓLEO E FILTROS/ PAR DE BIELETAS</t>
  </si>
  <si>
    <t>GFQ8I43</t>
  </si>
  <si>
    <t>BA-033</t>
  </si>
  <si>
    <t xml:space="preserve">TROCA DA PASTILHA DE FREIO DIANTEIRA </t>
  </si>
  <si>
    <t>BZG8J55</t>
  </si>
  <si>
    <t>BA-037</t>
  </si>
  <si>
    <t>AJUSTE DA INJEÇAO ELETRÔNICA VIA SCANNER</t>
  </si>
  <si>
    <t>DJL7831</t>
  </si>
  <si>
    <t>8-101</t>
  </si>
  <si>
    <t>BARULHO NA SUSPENSÃO</t>
  </si>
  <si>
    <t>TROCA DO FLUÍDO DE FREIO</t>
  </si>
  <si>
    <t>1-68</t>
  </si>
  <si>
    <t>TROCA DOS AMORTECEDORES TRASEIROS</t>
  </si>
  <si>
    <t xml:space="preserve">TROCA DAS PASTILHAS DE FREIO DIANTEIRO / PASTILHAS DE FREIO TRASEIRO / TROCA DO FLUÍDO DO FREIO / FILTROS DE COMBUSTÍVEL / FILTRO DE AR / FILTRO DE CABINE </t>
  </si>
  <si>
    <t>TROCA DE BATERIA /TROCA DE LAMPADAS</t>
  </si>
  <si>
    <t>FEE6239</t>
  </si>
  <si>
    <t>BA-044</t>
  </si>
  <si>
    <t>TROCA DE PNEU</t>
  </si>
  <si>
    <t>EEF9059</t>
  </si>
  <si>
    <t xml:space="preserve">COROLLA </t>
  </si>
  <si>
    <t>1-135</t>
  </si>
  <si>
    <t>TROCA DE BATERIAS, ÓELO E FILTROS, PALHETAS</t>
  </si>
  <si>
    <t>EEF8711</t>
  </si>
  <si>
    <t>1-124</t>
  </si>
  <si>
    <t>M-180016</t>
  </si>
  <si>
    <t>REPARO NO SISTEMA DO AR CONDICIONADO</t>
  </si>
  <si>
    <t>EEF4102</t>
  </si>
  <si>
    <t>15-44</t>
  </si>
  <si>
    <t>EMBREAGEM/ SUSPENSÃO</t>
  </si>
  <si>
    <t>FXS2069</t>
  </si>
  <si>
    <t>22-168</t>
  </si>
  <si>
    <t>REPARO NO ALTERNADOR, TROCA DE ÓLEO E FILTROS/ TROCA DO LÍQUIDO DE ARREFECIMENTO</t>
  </si>
  <si>
    <t>CMW7422</t>
  </si>
  <si>
    <t>15-162</t>
  </si>
  <si>
    <t>REPARO NO SISTEMA DE FREIOS COM VAZAMENTO/ TROCA DAS PASTILHAS DIANTEIRA E TRASEIRA E SANGRIA</t>
  </si>
  <si>
    <t>TRAILBLKAZER</t>
  </si>
  <si>
    <t>TROCA DAS PASTILHAS DIANTEIRA E TRASEIRA</t>
  </si>
  <si>
    <t>SUB CMT GERAL</t>
  </si>
  <si>
    <t>TROCA DAS PASTILHAS DE FREIO DIANTEIR E TRASEIRA</t>
  </si>
  <si>
    <t>FVD3D56</t>
  </si>
  <si>
    <t>BAV PM</t>
  </si>
  <si>
    <t>3-204</t>
  </si>
  <si>
    <t>TROCA LÂMPADA FAROL BAIXO L.E.</t>
  </si>
  <si>
    <t>GBX6546</t>
  </si>
  <si>
    <t>CPI/8</t>
  </si>
  <si>
    <t>APOIO EMERGENCIAL LEITURA VIA SCANNER</t>
  </si>
  <si>
    <t>GCF1399</t>
  </si>
  <si>
    <t>22-298</t>
  </si>
  <si>
    <t>REPARO NO SISTEMA DE ARREFECIMENTO</t>
  </si>
  <si>
    <t>EEF9602</t>
  </si>
  <si>
    <t>1-164</t>
  </si>
  <si>
    <t>REVISÃO GERAL/ PALHETAS</t>
  </si>
  <si>
    <t>FNT1475</t>
  </si>
  <si>
    <t>BA-061</t>
  </si>
  <si>
    <t>FREIO , MOTOR DE ARRANQUE</t>
  </si>
  <si>
    <t>FUK7232</t>
  </si>
  <si>
    <t>BA-002</t>
  </si>
  <si>
    <t>TROCA DE DISCO DE FREIO TRASEIRO, PASTILHA E PASTILHA DIANTEIRA</t>
  </si>
  <si>
    <t>ELU3313</t>
  </si>
  <si>
    <t>8-331</t>
  </si>
  <si>
    <t>TROCA DE ÓLEO</t>
  </si>
  <si>
    <t>GDL6798</t>
  </si>
  <si>
    <t>22-1185</t>
  </si>
  <si>
    <t xml:space="preserve">AVALIAÇÃO PARA CONTRATAÇÃO </t>
  </si>
  <si>
    <t>15-273</t>
  </si>
  <si>
    <t>VAZAMENTO ÓLEO MOTOR E CAMBIO</t>
  </si>
  <si>
    <t>8-375</t>
  </si>
  <si>
    <t>TRODA DAS PASTILHAS DE FREIO DIANTEIRA, TRASEIRA E FILTRO DE AR</t>
  </si>
  <si>
    <t>TROCA DE PASTILHAS DE FREIO DIANTEIRO E SANGRIA</t>
  </si>
  <si>
    <t>AR CONDICIONADO</t>
  </si>
  <si>
    <t>ECU7J56</t>
  </si>
  <si>
    <t>RENAULT</t>
  </si>
  <si>
    <t>ESSGT-034</t>
  </si>
  <si>
    <t>BATERIA (START STOP) / CARTÃO DE ADIANTAMENTO</t>
  </si>
  <si>
    <t>TROCA DE BATERIA E LÂMPADA FFAROLBAIXO L.E.</t>
  </si>
  <si>
    <t>CDV3477</t>
  </si>
  <si>
    <t>3-1072</t>
  </si>
  <si>
    <t>CAMBIO</t>
  </si>
  <si>
    <t>RECARGA DA BATERIA, REPARO SISTEMA ELÉTRICO</t>
  </si>
  <si>
    <t>DL-INT</t>
  </si>
  <si>
    <t>SENSOR DE NÍVEL REMANEJADO</t>
  </si>
  <si>
    <t>CMW7424</t>
  </si>
  <si>
    <t>15-167</t>
  </si>
  <si>
    <t xml:space="preserve">AMORTECEDORES DIANTEIROS, BOMBA ELÉTRICA </t>
  </si>
  <si>
    <t>CFY5909</t>
  </si>
  <si>
    <t>26-525</t>
  </si>
  <si>
    <t>ARREFECIMENTO, PNEUS,LAMPADAS, ÓLEO E FILTROS</t>
  </si>
  <si>
    <t>CFY5H11</t>
  </si>
  <si>
    <t>3-72</t>
  </si>
  <si>
    <t>AVALIAÇÃO PARA CONTRATAÇÃO OU POSSÍVEL DESCARGA</t>
  </si>
  <si>
    <t>TROCA DE ÓLEO E FILTRO</t>
  </si>
  <si>
    <t>TROCA DOS DISCOS E PASTILHAS DE FREIO DIANTEIROS</t>
  </si>
  <si>
    <t>TROCA DAS PASTILHAS DE FREIO DIANTEIRA E TRASEIRA, DISCO TRASEIRO E REGULAGEM NO FREIO DE ESTACIONAMENO</t>
  </si>
  <si>
    <t>15-2024</t>
  </si>
  <si>
    <t>TREPIDAÇÃO DO CAMBIO</t>
  </si>
  <si>
    <t>CFY5518</t>
  </si>
  <si>
    <t>GJO5789</t>
  </si>
  <si>
    <t>22-32</t>
  </si>
  <si>
    <t>PROBLEMA DE ENGATE DE MARCHA, BATERIA</t>
  </si>
  <si>
    <t>DJP1133</t>
  </si>
  <si>
    <t>DOBLO</t>
  </si>
  <si>
    <t>15-95</t>
  </si>
  <si>
    <t>MOTOR, SUSPENSÃO</t>
  </si>
  <si>
    <t>TROCA DAS PASTILHAS DE FREIO TRASEIRO, TROCA DO FLUÍDO E SANGRIA</t>
  </si>
  <si>
    <t>TROCA DE ÓLEO E FILTRO DO MOTOR</t>
  </si>
  <si>
    <t>MOTOR, SUSPENSÃO, EMBREAGEM, ESCAPAMENTO , PNEUS.</t>
  </si>
  <si>
    <t>CMW8214</t>
  </si>
  <si>
    <t>15-192</t>
  </si>
  <si>
    <t>REPARO NO SISTEMADE ARREFECIMENTO/ PALHETAS E VÁLVULA PURGA (CARTÃO DE ADIANTAMENTO)</t>
  </si>
  <si>
    <t>EXM3861</t>
  </si>
  <si>
    <t>CFY5737</t>
  </si>
  <si>
    <t>DIA3881</t>
  </si>
  <si>
    <t>22-1299</t>
  </si>
  <si>
    <t>BATERIA, REVISÃO ELÉTRICA</t>
  </si>
  <si>
    <t>VIDROS TRASEIROS E BATERIA</t>
  </si>
  <si>
    <t>ESTRIBOS LATERAIS REMANEJADOS ( 1-61 PARA 1-65 )</t>
  </si>
  <si>
    <t>1-65</t>
  </si>
  <si>
    <t>ESTRIBOS LATERAIS REMANEJADOS ( 1-65 PARA 1-61 )</t>
  </si>
  <si>
    <t>GJA5G17</t>
  </si>
  <si>
    <t>E-08140</t>
  </si>
  <si>
    <t>BATERIA 60A REMANEJADA</t>
  </si>
  <si>
    <t>BYW2155</t>
  </si>
  <si>
    <t>CPI-04</t>
  </si>
  <si>
    <t>15-257</t>
  </si>
  <si>
    <t>SOCORRO EMERGENCIAL ( MOTOR ARRANQUE )</t>
  </si>
  <si>
    <t>DUI5482</t>
  </si>
  <si>
    <t>BA-059</t>
  </si>
  <si>
    <t>REMOÇÃO DO PROTETOR DE CÁRTER DANIFICADO, INSTALÇÃO DE NOVA PEÇA IMPOSSIBILITADA DEVIDO AMASSAMENTO DA TRAVESSA FRONTAL INFERIOR, CAUSANDO DESALINHAMENTO NO POSICINAMENTO DO PROTETOR DE CÁRTER</t>
  </si>
  <si>
    <t>ALIMENTAÇÃO, INJEÇÃO, CAMBIO</t>
  </si>
  <si>
    <t>TROCA DE LAMAPADA H7 E DE 1 POLO</t>
  </si>
  <si>
    <t>TROCA DAS PASTILHAS DE FREIO/ REVISÃO ELÉTRICA</t>
  </si>
  <si>
    <t>FOQ9J35</t>
  </si>
  <si>
    <t>8-1178</t>
  </si>
  <si>
    <t>TROCA DE LâMPADAS DE FREIO E REVISÃO LÉTRICA NA LÂMPADA DE RÉ</t>
  </si>
  <si>
    <t>SPACE</t>
  </si>
  <si>
    <t>AVALIAÇÕ DE VAZAMENTO NA CAIXA DE DIREÇÃO HIDRÁULICA, CONTRATAÇÃO</t>
  </si>
  <si>
    <t>REPARO NO FILTRO DE COMBUSTÍVEL</t>
  </si>
  <si>
    <t>CAV</t>
  </si>
  <si>
    <t>REPARO NO PNEU TRASEIRO LADO DIREITO</t>
  </si>
  <si>
    <t>1ª EM PM</t>
  </si>
  <si>
    <t>BATERIAS OK, FAROIS DE MILHA  REMANEJADOS OK</t>
  </si>
  <si>
    <t>ARREFECIMENTO</t>
  </si>
  <si>
    <t>EEF4107</t>
  </si>
  <si>
    <t>22-327</t>
  </si>
  <si>
    <t>TROCA DE BATERIA , REVISÃO NO SISTEMA ELÉTRICO</t>
  </si>
  <si>
    <t>DJM8518</t>
  </si>
  <si>
    <t>22-1023</t>
  </si>
  <si>
    <t>ARREFECIMENTO/ BATERIA NÃO SEGURA CARGA</t>
  </si>
  <si>
    <t>BARULHO AO ESTERÇAR O VOLANTE, DIFICULDADE DE PARTIDA</t>
  </si>
  <si>
    <t>REVISÃO ELÉTRICA/ TROCA DE LAMPADA</t>
  </si>
  <si>
    <t>SUSPENSÃO DIANTEIRA / SUSPPENSÃO TRASEIRA / ROLAMENTOS DE RODA</t>
  </si>
  <si>
    <t>FLX5074</t>
  </si>
  <si>
    <t>20-137</t>
  </si>
  <si>
    <t>CFY5762</t>
  </si>
  <si>
    <t>3-594</t>
  </si>
  <si>
    <t>REPARO NO ALTERNADOR / RECARGA NA BATERIA / TROCA DO FLUÍDO DE FREIO</t>
  </si>
  <si>
    <t>BYZ6J64</t>
  </si>
  <si>
    <t>3-126</t>
  </si>
  <si>
    <t xml:space="preserve">TROCA DE LAMPADA H7 </t>
  </si>
  <si>
    <t>TROCA DE PASTILHAS E DISCOS DE FREIO DIANTEIRO E TRASEIRO</t>
  </si>
  <si>
    <t>LUBRIFICAÇÃO DAS CANALETAS DOS VIDROS</t>
  </si>
  <si>
    <t>GHF3102</t>
  </si>
  <si>
    <t>22-1186</t>
  </si>
  <si>
    <t>TROCA DE BATERIA (CARTÃO CORPORATIVO)</t>
  </si>
  <si>
    <t>DJM8791</t>
  </si>
  <si>
    <t>C MUSICAL</t>
  </si>
  <si>
    <t>3-179</t>
  </si>
  <si>
    <t>CFY5742</t>
  </si>
  <si>
    <t>CMUSICAL</t>
  </si>
  <si>
    <t>3-315</t>
  </si>
  <si>
    <t>CAV PM</t>
  </si>
  <si>
    <t>TROCA DE BATERIA, REVISÃO ELÉTRICA</t>
  </si>
  <si>
    <t>GIQ5D76</t>
  </si>
  <si>
    <t>1-85</t>
  </si>
  <si>
    <t xml:space="preserve">TROCA DE LÂMPADAS FAROL E DE FREIO </t>
  </si>
  <si>
    <t>ENI6F92</t>
  </si>
  <si>
    <t>3-138</t>
  </si>
  <si>
    <t>EEF-9065</t>
  </si>
  <si>
    <t>TROCA DA BOMBA DE COMBUSTÍVEL</t>
  </si>
  <si>
    <t>TROCA MAQUINA VIDRO, REMANEJAMENTO PNEUS, ÓLEO E FILTROS</t>
  </si>
  <si>
    <t xml:space="preserve">TROCA DA BATERIA </t>
  </si>
  <si>
    <t>DJP8543</t>
  </si>
  <si>
    <t>FIESTA</t>
  </si>
  <si>
    <t>DEC / MUSEL</t>
  </si>
  <si>
    <t>15-27</t>
  </si>
  <si>
    <t>FILTRO CABINE, BATERIA,PASTILHAS,FLUÍDO,RESET , VERIFICAÇÃO VAZAMENTO</t>
  </si>
  <si>
    <t>TROCA DA BATERIA / REPARO NO RELÊ DA BATERIA AUXILIAR</t>
  </si>
  <si>
    <t xml:space="preserve">EM PM </t>
  </si>
  <si>
    <t>TROCA DE LÂMPADA DO FAROL L.E</t>
  </si>
  <si>
    <t>EJO9350</t>
  </si>
  <si>
    <t>BA-058</t>
  </si>
  <si>
    <t>SUSPENSÃO DIANT. E TRASEIRA/EMBREAGEM/COXIM DO CÂMBIO/ROLAMENTO CENTRAL DO CARDAN/CORREÇÃO DO ALINHAMENTO, CAMBER E CASTER</t>
  </si>
  <si>
    <t>TURBOCOMPRESSOR</t>
  </si>
  <si>
    <t>TROCA DE ÓLEO E FILTROS, PASTILHA FREIO , LIMPEZA NA MANGUEIRA DO RESPIRO</t>
  </si>
  <si>
    <t>SUSPENSÃO ( AIRON ) , PNEUS</t>
  </si>
  <si>
    <t>EEF 8992</t>
  </si>
  <si>
    <t>SPCFOX</t>
  </si>
  <si>
    <t>TROCA DE BATERIA (NOVA)</t>
  </si>
  <si>
    <t>FSM2794</t>
  </si>
  <si>
    <t>22-189</t>
  </si>
  <si>
    <t>MOTOR FALHANDO; BARULHO NA SUSPENSÃO</t>
  </si>
  <si>
    <t>GAM1120</t>
  </si>
  <si>
    <t>18ºBPM/I</t>
  </si>
  <si>
    <t>22-1011</t>
  </si>
  <si>
    <t>REPARO NA INJEÇAO ( SOCORRO EMERGENCIAL )</t>
  </si>
  <si>
    <t>TROCA DE PASTILHA DIANTEIRA E TRASEIRA</t>
  </si>
  <si>
    <t>EKG9888</t>
  </si>
  <si>
    <t>8º BAEP</t>
  </si>
  <si>
    <t>E-08238</t>
  </si>
  <si>
    <t>REMANEJAMENTO MANGUEIRA TURBOCOMPRESSOR</t>
  </si>
  <si>
    <t>FKS2G67</t>
  </si>
  <si>
    <t>ESSGT-039</t>
  </si>
  <si>
    <t>EEI9E82</t>
  </si>
  <si>
    <t>ESSSGT-036</t>
  </si>
  <si>
    <t>REALIZADO TESTES NA BATERIA, MOTOR DE PARTIDA E ALTERNADOR, SISTEMA OK, CONFORME COMPROVANTE ANEXO NA O.</t>
  </si>
  <si>
    <t>CMM/P4</t>
  </si>
  <si>
    <t>TROCA DAS PRESILHAS DA MOLDURA DA PORTA DIANTEIRA ESQUERDA (14) CARTÃO DE ADIANTAMENTO</t>
  </si>
  <si>
    <t>GEX2228</t>
  </si>
  <si>
    <t>APMTJM</t>
  </si>
  <si>
    <t>22-1089</t>
  </si>
  <si>
    <t>COXIM DO CÂMBIO TRASEIRO REMANEJADO E TROCA DA BATERIA</t>
  </si>
  <si>
    <t>DXK0481</t>
  </si>
  <si>
    <t>APMSEFAZ</t>
  </si>
  <si>
    <t>15-101</t>
  </si>
  <si>
    <t>DJL2189</t>
  </si>
  <si>
    <t>BA-021</t>
  </si>
  <si>
    <t>SUSPENSÃO/ FREIO</t>
  </si>
  <si>
    <t>MOTOR DE PARTIDA (ARRANQUE)</t>
  </si>
  <si>
    <t>MANUTENÇÃO NA CAPA DA CORREIA DENTADA</t>
  </si>
  <si>
    <t>1-123</t>
  </si>
  <si>
    <t>SUSPENSÃO DIANTEIRA- AGUARDANDO RIV PARA ENCAMINHAR PARA CONTRATOS</t>
  </si>
  <si>
    <t>TROCA DE DISCOS E PASTILHAS</t>
  </si>
  <si>
    <t>15-254</t>
  </si>
  <si>
    <t>VTR FALHANDO, ÓLEO E FILTOS</t>
  </si>
  <si>
    <t>1-104</t>
  </si>
  <si>
    <t>RESET SCANNER</t>
  </si>
  <si>
    <t>TROCA DA BOBINA DE IGNIÇÃO, LEITURA VIA SCANNER E TESTE NA BATERIA</t>
  </si>
  <si>
    <t>FPR4G72</t>
  </si>
  <si>
    <t>30 BPM M</t>
  </si>
  <si>
    <t xml:space="preserve">TROCA DAS PASTILHAS DE FREIO TRASEIRO </t>
  </si>
  <si>
    <t>TROCA DO PNEU ESTEPE</t>
  </si>
  <si>
    <t>ECG5F94</t>
  </si>
  <si>
    <t>CPI-08</t>
  </si>
  <si>
    <t>22-1210</t>
  </si>
  <si>
    <t>TROCA CATALIZADOR, SONDAS, ENGRENAGEM,</t>
  </si>
  <si>
    <t>EEF5770</t>
  </si>
  <si>
    <t>22-149</t>
  </si>
  <si>
    <t>LUZ ÓLEO ACESA, BARULHO NO MOTOR</t>
  </si>
  <si>
    <t>REPARO NA BOMBA DE COMBUSTÍVEL</t>
  </si>
  <si>
    <t>TROCA DA LÂMPADA H7</t>
  </si>
  <si>
    <t>REALIZADO TROCA DA BOMBA D'ÁGUA/ VÁVULA TERMOSTÁTICA/ CORREIA DENTADA E TENSOR/ CORREIA DO ALTERNADOR/ LIQUIDO DE ARREFECIMENTO/ SENSOR DE TEMPERATURA/ TUBO RIGIDO/ LEITURA VIA SCANNER</t>
  </si>
  <si>
    <t>EOC7652</t>
  </si>
  <si>
    <t>15-182</t>
  </si>
  <si>
    <t>BATERIA, ARREFECIMENTO, LAMPADAS</t>
  </si>
  <si>
    <t>FPP0261</t>
  </si>
  <si>
    <t>ESSGT-023</t>
  </si>
  <si>
    <t>BOMBA D'AGUA</t>
  </si>
  <si>
    <t>TROCA DA BATERIA E REPARO NO MOTOR DE PARTIDA</t>
  </si>
  <si>
    <t>EGI2751</t>
  </si>
  <si>
    <t>ESSGT-030</t>
  </si>
  <si>
    <t>ELÉTRICO, REVISÃO</t>
  </si>
  <si>
    <t>CFY5907</t>
  </si>
  <si>
    <t xml:space="preserve">S10 </t>
  </si>
  <si>
    <t>26-870</t>
  </si>
  <si>
    <t>TROCA DA BATERIA ( REMANEJADA )</t>
  </si>
  <si>
    <t>TROCA DE BATERIA, LÂMPADAS DO FAROL E DE NEBLINA</t>
  </si>
  <si>
    <t>EFF8813</t>
  </si>
  <si>
    <t>TROCA DE VELAS E REPARO NA BOBINA</t>
  </si>
  <si>
    <t>TROCA DE LÂMPADA  E BATERIA</t>
  </si>
  <si>
    <t>TROCA DA LÂMPADA DE FREIO TRASEIRA DIRETA</t>
  </si>
  <si>
    <t>8-1026</t>
  </si>
  <si>
    <t>TROCA DA LÂMPADA DO FAROL BAIXO LADO DIREITO</t>
  </si>
  <si>
    <t>FFD1C82</t>
  </si>
  <si>
    <t>8-1024</t>
  </si>
  <si>
    <t>TROCA DE ÓLEO E FILTROS; TROCA DO VIDRO DA TAMPA DA MALA</t>
  </si>
  <si>
    <t>CAIXA DE DIREÇÃO</t>
  </si>
  <si>
    <t>EEF9608</t>
  </si>
  <si>
    <t>1-170</t>
  </si>
  <si>
    <t>TROCA DA BATERIA MOTOR E AUXILIAR</t>
  </si>
  <si>
    <t>XXXX</t>
  </si>
  <si>
    <t>REVISÃO GERAL OK ENCAMINHADA  PARA O GRAFISMO</t>
  </si>
  <si>
    <t>FZT0173</t>
  </si>
  <si>
    <t>22-602</t>
  </si>
  <si>
    <t>REAPEOR E FIXAÇÃO DO PNEU ESTEPE</t>
  </si>
  <si>
    <t>GHG4C55</t>
  </si>
  <si>
    <t>22-732</t>
  </si>
  <si>
    <t>PANE ELÉTRICA/ PNEUS</t>
  </si>
  <si>
    <t>REPARO PROTETOR CARTER, AJUSTE INJEÇÃO ELETRONICA</t>
  </si>
  <si>
    <t>AVALIAÇÃO DA SUSPENSÃO E DIREÇÃO, ENCAMINHADA PARA CONTRATAÇÃO</t>
  </si>
  <si>
    <t>15-211</t>
  </si>
  <si>
    <t>TROCA DE LÂMPADAS DO FAROL E LANTERNA</t>
  </si>
  <si>
    <t>EEF9128</t>
  </si>
  <si>
    <t>8-738</t>
  </si>
  <si>
    <t>REAPERTO DA BIELETA DIREITA, AVALIAÇÃO PARA CONTRATAÇÃO</t>
  </si>
  <si>
    <t>BZL3I46</t>
  </si>
  <si>
    <t>1-73</t>
  </si>
  <si>
    <t>TROCA DAS PASTILHAS DE FREIO DIANTEIRA E TRASEIRA</t>
  </si>
  <si>
    <t>8-79</t>
  </si>
  <si>
    <t>TROCA DA BATERIA E PALHETAS DO LIMPADOR, AVALIAÇÃO PAR CONTRATAÇÃO POSTERIOR</t>
  </si>
  <si>
    <t>BOBINAS</t>
  </si>
  <si>
    <t>DJL6017</t>
  </si>
  <si>
    <t>GAN3114</t>
  </si>
  <si>
    <t>3-525</t>
  </si>
  <si>
    <t>TROCA DOS DISCOS DE FREIO DIANTEIRO/TRASEIRO E PASTILHAS DE FREIO DIANTEIRA/TRASEIRA  E LIMPEZA E SUBSTITUIÇÃO DO FLUÍDO DE FREIO</t>
  </si>
  <si>
    <t>TROCA DE ÓLEO DO MOTOR E FILTRO, FILTRO DE COMBUSTÍVEL, FILTRO DE AR, FILTRO DE CABINE, PASTILHAS DE FREIO TRASEIRO</t>
  </si>
  <si>
    <t>BZR8275</t>
  </si>
  <si>
    <t>ESSGT-024</t>
  </si>
  <si>
    <t>SUSPENSÃO</t>
  </si>
  <si>
    <t>GBL4079</t>
  </si>
  <si>
    <t>TROCA DO RADIADOR/ LIQUIDO DO ARREFECIMENTO/ ÓLEO E FILTROS</t>
  </si>
  <si>
    <t>EEF4101</t>
  </si>
  <si>
    <t>8-551</t>
  </si>
  <si>
    <t>AVALIAÇÃO PARA CONTRATOS</t>
  </si>
  <si>
    <t>TROCA DA MANGUEIRA DO BOCAL DE GASOLINA E HIGIENIZAÇÃO</t>
  </si>
  <si>
    <t>FPP0165</t>
  </si>
  <si>
    <t>BA-056</t>
  </si>
  <si>
    <t>TROCA DE DISCOS E PASTILHAS DE FREIOS DIANT. REVISADO OS TRAS. E FLUIDO</t>
  </si>
  <si>
    <t>FREIO / PNEU</t>
  </si>
  <si>
    <t>EMBREAGEM, ELETRICO</t>
  </si>
  <si>
    <t xml:space="preserve">DP </t>
  </si>
  <si>
    <t>BATERIA/ VIATURA NÃO LIGA ( MOTO ARRANQUE )</t>
  </si>
  <si>
    <t>EFETUADO REPARO NA SUSPENSÃO TRASEIRA: TROCA DAS BIELETAS E REAPERTO</t>
  </si>
  <si>
    <t>DJL6089</t>
  </si>
  <si>
    <t>17-197</t>
  </si>
  <si>
    <t>BATERIA REMANEJADA</t>
  </si>
  <si>
    <t>COMPLETADO FLUÍDO DE FREIO, REALIZADO ANÁLISE DE DESGASTE DAS PASTILHAS DE FREIO, REVISÃO DE SUSPENSÃO, ENCAMINHADO PARA REPAROS NO SINALIZADOR</t>
  </si>
  <si>
    <t>TROCA DE PASTILHAS DE FREIO DIANTEIRO, PASTILHAS E DISCOS DE FREIO TRASEIRO, LÂMPADAS DE PLACA, LÂMPADAS DO FARO DE NEBLINA, AVALIAÇÃO PARA CONTRATAÇÃO DA TROCA DO FLUÍDO DE TRANSMISSÃO AUTOMÁTICA, ENCAMINHADA PARA REPAROS NO SINALIZADOR</t>
  </si>
  <si>
    <t xml:space="preserve">COROLLA ( CEL FEDRIZZI ) </t>
  </si>
  <si>
    <t>TROCA DOS AMORTECEDORES DIANTEIROS E TRASEIROS, COXINS DA SUSPENSÃO DIANTEIRA E TRASEIRA, BRAÇOS DA SUSPENSÃO DIANTEIRA, BUCHAS DA BARRA ESTABILIZADORA, BIELETAS, PASTILHAS DE FREIO DIANTEIRAS E TRASEIRAS, DISCOS DE FREIO DIANTEIROS E TRASEIROS, TROCA DE ÓLEO DO MOTOR E FILTROS, TROCA DAS VELAS DE IGNIÇÃO, LIMPEZA DO TBI, DESODORIZAÇÃO, POLIMENTO DOS FARÓIS, AVALIAÇÃO PARA CONTRATAÇÃO</t>
  </si>
  <si>
    <t>TROCA DA TAMPA DO RADIADOR</t>
  </si>
  <si>
    <t>ENTRANDO AGUA NA VTR/ HIGIENIZAÇÃO</t>
  </si>
  <si>
    <t xml:space="preserve">HILUX </t>
  </si>
  <si>
    <t>EMBREAGEM/ BATERIA</t>
  </si>
  <si>
    <t>ENCAMINHADO PARA CONTRATAÇÃO</t>
  </si>
  <si>
    <t>EEF9135</t>
  </si>
  <si>
    <t>8-719</t>
  </si>
  <si>
    <t>DUSTER  - MUDOU PARA CARGA DA SAF</t>
  </si>
  <si>
    <t>CMM SAF</t>
  </si>
  <si>
    <t>VAZAMENTO DE COMBUSTÍVEL/ BARULHO NA SUSPENSÃO/ SINALIZADOR</t>
  </si>
  <si>
    <t>3-559</t>
  </si>
  <si>
    <t>MANUTENÇÃO NO SISTEMA DE ARREFECIMENTO E RECARGA NA BATERIA</t>
  </si>
  <si>
    <t>ALAVANCA DO FREIO DE ESTACIONAMENTO REMANEJADA, REGULAGEM DAS LONAS E DO FREIO DE ESTACIONAMENTO</t>
  </si>
  <si>
    <t>TROCADO ÓLEO E FILTRO DO MOTOR</t>
  </si>
  <si>
    <t>TROCA DO RADIADOR/ TROCA DA VÁLVULA TEMOSTÁTICA/ ÁGUA DESMINERALIZADA E ADITIVO</t>
  </si>
  <si>
    <t>GRAND SIENA</t>
  </si>
  <si>
    <t>SUSPENSÃO/ ARREFECIMENTO</t>
  </si>
  <si>
    <t>AJUSTE NAS PASTILHAS DE FREIO TRASEIRA E DIANTEIRA</t>
  </si>
  <si>
    <t>TRIALBLAZER</t>
  </si>
  <si>
    <t>TROCA DAS PASTILHAS DIANTEIRAS E TRASEIRAS</t>
  </si>
  <si>
    <t xml:space="preserve">BAV PM </t>
  </si>
  <si>
    <t>TROCA DA LÃMPADA DE FREIO DIREITA, REPARO NO SOQUETE DA LANTERNA</t>
  </si>
  <si>
    <t>TROCA DA LAÂMPADA DO FAROL ESQUERDO</t>
  </si>
  <si>
    <t>TROCA DAS PASTILHAS E DISCOS DE FREIO DIANTEIRO, PASTILHAS DE FREIO TRASEIRO</t>
  </si>
  <si>
    <t>15-72</t>
  </si>
  <si>
    <t xml:space="preserve">02 PNEUS TRASEIROS REMANEJADOS E REPARO NA LANTERNA TRASEIRA </t>
  </si>
  <si>
    <t>FDX7657</t>
  </si>
  <si>
    <t>TROCA DA BATERIA PRINCIPAL, TROCA DA BATERIA AUXILIAR, REPARO NO RELE AUXILIAR</t>
  </si>
  <si>
    <t>TROCA DAS LÂMPADAS DOS FARÓIS E LUZ DE PLACA</t>
  </si>
  <si>
    <t>COROLLA ( ESCOLTA ESPOSA CMT GERAL)</t>
  </si>
  <si>
    <t>TROCA DA MANGUEIRA D'AGUA SAÍDA DO CABEÇOTE</t>
  </si>
  <si>
    <t>MANUT. CONFORME OFICIO</t>
  </si>
  <si>
    <t>TROCADO TUBO RÍGIDO, FLUÍDO, RESERVATORIO DE EXPANSÃO COM TAMPA DO SISTEMA DE ARREFECIMENTO</t>
  </si>
  <si>
    <t>FYX0251</t>
  </si>
  <si>
    <t>ESSD-051</t>
  </si>
  <si>
    <t>22-406</t>
  </si>
  <si>
    <t>VTR COM FALHA NO MOTOR</t>
  </si>
  <si>
    <t>TROCA DO ÓLEO DO MOTOR E FILTROS</t>
  </si>
  <si>
    <t>TROCA DAS PALHETAS DO LIMPADOR, TROCA DA LÂMPADA DE FREIO DIREITA</t>
  </si>
  <si>
    <t>TROCA DAS PASTILHAS DE FREIO DIANTEIRA</t>
  </si>
  <si>
    <t>GDB3312</t>
  </si>
  <si>
    <t>33º BPM/I</t>
  </si>
  <si>
    <t>3-640</t>
  </si>
  <si>
    <t>LIMPEZA E TROCA DO FLUÍDO DE FREIO E SANGRIA DO SISTEMA</t>
  </si>
  <si>
    <t>REVISÃO DO SISTEMA DE FREIO/ TROCA DE ÓLEO E FILTRO</t>
  </si>
  <si>
    <t>EDI3E78</t>
  </si>
  <si>
    <t>MUSEU - DEC</t>
  </si>
  <si>
    <t>FALHA DO MOTOR ( REPARO NO SISTEMA DE INJEÇÃO )</t>
  </si>
  <si>
    <t>ILUMINAÇÃO E ARREFECIMENTO</t>
  </si>
  <si>
    <t>CMW7398</t>
  </si>
  <si>
    <t>15-153</t>
  </si>
  <si>
    <t>ESSGT-020</t>
  </si>
  <si>
    <t>TROCA DAS PALHETAS/ REVISÃO ELÉTRICA/ INSPEÇÃO NOS FREIOS/ ENCAMINHADO PARA O SINALIZADOR</t>
  </si>
  <si>
    <t xml:space="preserve">ESSGT </t>
  </si>
  <si>
    <t>ESSGT-001</t>
  </si>
  <si>
    <t>REPARO NO ALTERNADOR</t>
  </si>
  <si>
    <t>CAG3711</t>
  </si>
  <si>
    <t>22-307</t>
  </si>
  <si>
    <t>EBV7E92</t>
  </si>
  <si>
    <t>SAF- RECOLHA</t>
  </si>
  <si>
    <t>M-14515</t>
  </si>
  <si>
    <t>REPARO NO PNEU</t>
  </si>
  <si>
    <t>MOTOR ARRANQUE</t>
  </si>
  <si>
    <t>INSTALAÇÃO DA MANGUEIRA DO LIMPADOR DE PARABRISA DIANTEIRO]</t>
  </si>
  <si>
    <t>LAMPADA H7 LADO DIREITO</t>
  </si>
  <si>
    <t>SUSPENSÃO, FREIOS</t>
  </si>
  <si>
    <t>PNEUS</t>
  </si>
  <si>
    <t>GAU-0459</t>
  </si>
  <si>
    <t>FQB2F43</t>
  </si>
  <si>
    <t>8-1154</t>
  </si>
  <si>
    <t>TROCA DE BATERIA STAR-STOP E  PASSADO SCANER (CARTÃO CORPORATIVO)</t>
  </si>
  <si>
    <t>TROCA DE ÓLEO E FILTROS/ HIGIENIZAÇÃO DO AR CONDICIONADO/ LUBRIFICAÇÃO DAS CANALETAS DOS VIDROS/ REVISÃO ELÉTRICA</t>
  </si>
  <si>
    <t>EEF9607</t>
  </si>
  <si>
    <t>15-275</t>
  </si>
  <si>
    <t>TROCA DAS PASTILHAS E DISCOS DE FREIO TRASEIRO, REAPERTO NO PROTETOR DE CÁRTER</t>
  </si>
  <si>
    <t>REMANEJAMENTO DA MANGUEIRA DE PRESSÃO DA DIREÇÃO HIDRÁULICA, REMANEJAMENTO DE DOIS PNEUS DIANTEIROS, TROCA DE ÓLEO DO MOTOR E FILTROS</t>
  </si>
  <si>
    <t>REVISÃO ELETRICA, ENCAMINHADA PARA O SINALIZADOR</t>
  </si>
  <si>
    <t>ESSGT 029</t>
  </si>
  <si>
    <t>REPARO NOS PNEUS/ REVISÃO ELÉTRICA</t>
  </si>
  <si>
    <t>FYV2412</t>
  </si>
  <si>
    <t>22-1076</t>
  </si>
  <si>
    <t>TROCA DE BATERIA/ LEITURA VIA SCANNER/ TROCA DO CANO D´ÁGUA E MANGUEIRA DE DISTRIBUIÇÃO</t>
  </si>
  <si>
    <t>REVISÃO GERAL, REMANEJAMENTO DA MÁQUINA DO VIDRO TRASEIRO DIREITO, REMANEJAMENTO DO MÓDULO DO VIDRO TRASEIRO DIREITO, REMANEJAMENTO DO BOTÃO DE ACIONAMENTO DO VIDRO TRASEIRO DIREITO</t>
  </si>
  <si>
    <t>COROLLA ( CEL HUGO -  CPRV )</t>
  </si>
  <si>
    <t>LIMPEZA DOS BICOS INJETORES, LIMPEZA DO TBI, REMANEJAMENTO D SONDA LAMBDA, AVALIAÇÃO PARA CONTRATAÇÃO</t>
  </si>
  <si>
    <t>EXE7G67</t>
  </si>
  <si>
    <t>CAV-PM</t>
  </si>
  <si>
    <t>3-380</t>
  </si>
  <si>
    <t>TROCA DOS ESTRIBOS LATERAIS E LÂMPADA</t>
  </si>
  <si>
    <t xml:space="preserve">TRAILBLAZER </t>
  </si>
  <si>
    <t>REVISÃO 40.000 KM</t>
  </si>
  <si>
    <t>TROCA DE BATERIA/ REVISÃO ELÉTRICA</t>
  </si>
  <si>
    <t>TRAILBLAZER ( CEL PEDRO LUIZ )</t>
  </si>
  <si>
    <t>TROCA DE PNEUS, LAMPADAS. ENCAMINHADA PARA CONTRATAÇÃO DO RADIADOR AR QUENTE PAINEL COM VAZAMENTO</t>
  </si>
  <si>
    <t>BKU3920</t>
  </si>
  <si>
    <t>CPI-1</t>
  </si>
  <si>
    <t>26-1057</t>
  </si>
  <si>
    <t>APERTO NA SUSPENSÃO DIANTEIRA</t>
  </si>
  <si>
    <t>GIP2D62</t>
  </si>
  <si>
    <t>APERTO DAS MANGUEIRAS DO TANQUE DE COMBUSTÍVEL</t>
  </si>
  <si>
    <t>PASTILHA DE FREIO DIANTEIRO</t>
  </si>
  <si>
    <t>PASTILHAS E DISCOS DE FREIO DIANTEIROS E TRASEIROS</t>
  </si>
  <si>
    <t>15-117</t>
  </si>
  <si>
    <t>REVISÃO GERAL (SISTEMA DE ARREFECIMENTO E TROCA DE ÓLEO)</t>
  </si>
  <si>
    <t>TROCA DE LÂMPADA DO FAROL</t>
  </si>
  <si>
    <t>REMANEJAMENTO DA BATERIA AUXILIAR PARA PRINCIPAL, INSTALAÇÃO DE NOVA BATERIA AUXILIAR DE 60 Ah</t>
  </si>
  <si>
    <t>TROCA DA VÁLVULA TERMOSTÁTICA, MANGUEIRA SUPERIOR DO RADIADOR, SENSOR DE TEMPERATURA, LÍQUIDO DE ARREFECIMENTO, REPARO NO INTERRUPTOR DA LUZ DE FREIO, TROCA D LAÂMPADA DE FREIO ESQUERDA</t>
  </si>
  <si>
    <t>TROCA DAS PASTILHAS DIANTEIRA E TRASEIRA/ DISCOS DE FREIO TRASEIRO</t>
  </si>
  <si>
    <t>TRAILBLAZER ( CEL GLAUCE )</t>
  </si>
  <si>
    <t>TROCA DE PNEUS DIANTEIROS</t>
  </si>
  <si>
    <t>GAH3668</t>
  </si>
  <si>
    <t>22-381</t>
  </si>
  <si>
    <t>EMBREAGEM, SUSPENSÃO, CINTO DE SEGURANÇA</t>
  </si>
  <si>
    <t xml:space="preserve">TROCADO PAR DE BIELETAS </t>
  </si>
  <si>
    <t>DJM8639</t>
  </si>
  <si>
    <t>26-514</t>
  </si>
  <si>
    <t>ARREFECIMENTO, INJEÇÃO</t>
  </si>
  <si>
    <t>AVALIAÇÃO DO SIST. DE AR COND. ENCAMINHADO PARA CONTRATAÇÃO</t>
  </si>
  <si>
    <t>SISTEMA DE ARREFECIMENTO E SUSPENSÃO DIANTEIRA</t>
  </si>
  <si>
    <t>TROCA DE LÂMPADA DO FAROL BAIXO</t>
  </si>
  <si>
    <t>GRAN SIENA</t>
  </si>
  <si>
    <t>CMV7416</t>
  </si>
  <si>
    <t>TROCA DE ÓLEO E FILTROS, DE AR, DE CABINE, DE ÓLEO E DESODORIZAÇÃO</t>
  </si>
  <si>
    <t>dis6f91</t>
  </si>
  <si>
    <t>DF-CIAF</t>
  </si>
  <si>
    <t>ELETRICO, TROCA DE ÓLEO</t>
  </si>
  <si>
    <t>08-101</t>
  </si>
  <si>
    <t>CMW8140</t>
  </si>
  <si>
    <t>ESSD-026</t>
  </si>
  <si>
    <t>EOE2980</t>
  </si>
  <si>
    <t>22-308</t>
  </si>
  <si>
    <t>AVALIAÇÃO DA SUSPENSÃO ( VTR ESTAVA NO SETOR TÉCINICO)</t>
  </si>
  <si>
    <t>PNEUS LISOS, BARULHO AR CONDICIONADO, LIQUIDO ARREF. BAIXO</t>
  </si>
  <si>
    <t>LUBIFICAÇÃO DA CORREIA</t>
  </si>
  <si>
    <t>EEF4120</t>
  </si>
  <si>
    <t>22-52</t>
  </si>
  <si>
    <t>TROCA DE ÓLEO E FILTROS, FLUIDO DO FREIO E PALHETAS</t>
  </si>
  <si>
    <t>CFY5632</t>
  </si>
  <si>
    <t>BA-027</t>
  </si>
  <si>
    <t>REPARO NO ATUADOR DE EMBREAGEM</t>
  </si>
  <si>
    <t>CPV4I01</t>
  </si>
  <si>
    <t>3-243</t>
  </si>
  <si>
    <t>TROCA DAS PASTILHAS E DISCOS DE FREIO DIANTEIRO, PATILHAS DE FREIO TRASEIRO</t>
  </si>
  <si>
    <t>TOCA DO FAROL DIREITO</t>
  </si>
  <si>
    <t>TROCA DE LÂMPADA DE LANTERNA  TRASEIRA</t>
  </si>
  <si>
    <t>TROCA DA LANTERNA TRASEIRA ESQUERDA</t>
  </si>
  <si>
    <t>REPARO DO MOTOR DE ARRANQUE, TROCA DO FLUÍDO DE FREIO, ENCAMINHADA PARA GRAFISMO</t>
  </si>
  <si>
    <t>ARREFECIMENTO, CORREIA DENTADA E TENSOR E FILTRO DO AR CONDICIONADO</t>
  </si>
  <si>
    <t>DJL0986</t>
  </si>
  <si>
    <t>3-163</t>
  </si>
  <si>
    <t>REMANEJAMENTO DA BOMBA DE COMBUSTÍVEL E REPARO NA CHAVE DE SETA/LIMPADOR PARA-BRISA</t>
  </si>
  <si>
    <t>REPARO PNEU, REPARO NO MOTOR, LIMPADOR PARABRISA, BATERIA, REPARO ELÉTRICO, ILUMINAÇÃO.</t>
  </si>
  <si>
    <t>AVALIAÇÃO DE EMBREAGEM</t>
  </si>
  <si>
    <t>CMW8253</t>
  </si>
  <si>
    <t>15-172</t>
  </si>
  <si>
    <t>REPARO NO RETROVISOR ELÉTRICO</t>
  </si>
  <si>
    <t>TROCA DAS PASTILHAS E DISCOS DE FREIO DIANTEIRO, PASTILHAS DE FREIO TRASEIRO, LÂMPADAS DOS FARÓIS, LÂMPADAS DOS FARÓIS DE NEBLINA, LÂMPADAS DA LUZ DE PLACA, RESET DO SISTEMA DE INJEÇÃO ELETRÔNICA VIA SCANNER</t>
  </si>
  <si>
    <t>TROCA DO TUBO RIGIDO/ TROCA DO LIQUIDO DE ARREFECIMENTO/ TROCA DE BATERIA</t>
  </si>
  <si>
    <t>BTERIA, REMANEJAMENTO ESCAPE COMPLETO</t>
  </si>
  <si>
    <t>TROCA DE BATERIA, REVISÃO ELÉTRICA, REMANEJAMENTO DA MANGUEIRA DE PRESSÃO DO TURBOCOMPRESSOR</t>
  </si>
  <si>
    <t>COROLA</t>
  </si>
  <si>
    <t>REVISÃO GERAL, TROCA DE ÓLEO DO MOTOR E FILTRO, TROCADO TAMPA DO RADIADOR (USADA)</t>
  </si>
  <si>
    <t>ELY-7809</t>
  </si>
  <si>
    <t>BA-052</t>
  </si>
  <si>
    <t>BPQ2105</t>
  </si>
  <si>
    <t>BA-047</t>
  </si>
  <si>
    <t>SPIN ( CEL GALDINO )</t>
  </si>
  <si>
    <t>DEC/MUSEU</t>
  </si>
  <si>
    <t>REPARO NO MOTOR DE PARTIDA, REVISÃO ELÉTRICA</t>
  </si>
  <si>
    <t>BZL5270</t>
  </si>
  <si>
    <t>22-303</t>
  </si>
  <si>
    <t>SUSPENSÃO DIANTEIRA E BOMBA DE COMBUSTÍVEL REMANEJADA</t>
  </si>
  <si>
    <t>EFETUADO LEITURA VIA SCANNER, REALIZADO LIMPEZA NOS BICOS INJETORES, REVISADO O SISTEMA DE INJEÇÃO ELETRÔNICA, POIS APRESENTAVA  AVARIAS EM SEUS COMPONENTES, LIMPEZA NO CORPO DE BORBOLETA,VERIFICADO E CORRIGIDO O PONTO DE DISTRIBUIÇÃO, REMANEJADO O COLETOR DE ADMISSÃO.</t>
  </si>
  <si>
    <t>TROCA DA BATERIA(TRASEIRA) NOVA</t>
  </si>
  <si>
    <t>TROCA DE PASTILHAS DIANTEIRA E TRASEIRA E DISCOS DE FREIO TRASEIRO/ REGULAGEM DO FREIO DE ESCTACIONAMENTO</t>
  </si>
  <si>
    <t>ARREFECIMENTO, BATERIA, REVISÃO ELÉTRICA</t>
  </si>
  <si>
    <t>CJJ-7F93</t>
  </si>
  <si>
    <t>TROCA LâMPADA FAROL BAIXO E LUZ DE FREIO</t>
  </si>
  <si>
    <t>REVISÃO NO SISTEMA DE ARREFECIMENTO, REPARO NO ESCAPAMENTO E NO PROTETOR DE CÁRTER</t>
  </si>
  <si>
    <t>TROCA DO AMORTECEDOR TRASEIRO</t>
  </si>
  <si>
    <t>CMW8075</t>
  </si>
  <si>
    <t>15-23</t>
  </si>
  <si>
    <t xml:space="preserve">REVISÃO GERAL, REPARO NO INTERRUPTOR DA LUZ DE RÉ, TROCA DAS LÂMPADAS DE FREIO, TROCA DAS LÂMPADAS DA MEIA LUZ DIANTEIRA </t>
  </si>
  <si>
    <t>TROCA DAS PINÇAS, DISCOS E PASTILHAS DE FREIO</t>
  </si>
  <si>
    <t>TROCA DAS PINÇAS, DISCOS E PASTILHAS DE FREIO DIANTEIROS E TRASEIROS/ TROCA DO FLUÍDO E SANGRIA</t>
  </si>
  <si>
    <t>1-51</t>
  </si>
  <si>
    <t>REMAEJAMENTO DA BATERIA DA VTR 17-462 PLACAS BYQ7C54</t>
  </si>
  <si>
    <t>DKV4A92</t>
  </si>
  <si>
    <t>BA-038</t>
  </si>
  <si>
    <t>REPARO NA TRAVA DA TAMPA DO TANQUE DE COMBUSTÍVEL</t>
  </si>
  <si>
    <t>REVISÃO GERAL, REPARO NO SISTEMA DE ARREFECIMENTO</t>
  </si>
  <si>
    <t>TROCA DE BATERIA/ REVISÃO ELÉTRICA  E TROCA DE PALHETAS</t>
  </si>
  <si>
    <t>GDU8I43</t>
  </si>
  <si>
    <t>TROCA DE BATERIA - EFB</t>
  </si>
  <si>
    <t>REVISÃO GERAL (SISTEMA DE ILUMINAÇÃO/ SUSPENSÃO/ FREIOS/ LÍQUIDOS/ ÓLEO)</t>
  </si>
  <si>
    <t>ENCAMINHADO PARA GARANTIA</t>
  </si>
  <si>
    <t>TROCA DOS AMORTECEDORES DIANTEIROS, BIELETAS, LÂMPADA H1, LÂMPADA H27 E LÂMPADA PINGÃO</t>
  </si>
  <si>
    <t>GAB.CMT.GERAL</t>
  </si>
  <si>
    <t>DISCOS DE FREIO TRASEIRO / PASTILHAS DE FREIO TRASEIRO / AMORTECEDORES TRASEIROS</t>
  </si>
  <si>
    <t>TROCA DAS PALHETAS DO LIMPADOR DIANTEIRO</t>
  </si>
  <si>
    <t>EMBREAGEM, FREIO DIANTEIRO, PNEUS DIANTEIROS, ALINHAMENTO E BALANCEAMENTO</t>
  </si>
  <si>
    <t>TROCA DAS PASTILHAS DE FREIO DIANTEIRA E TRASEIRA/ TROCA DO LÍQUIDO DE ARREFECIMENTO/ FILTRO DO AR CONDICNADO E DESODORIZAÇÃO DO SISTEMA/ ANÁLISE VIA SCANNER DOS PARÂMETROS/ REVISÃO ELÉTRICA/ REVISÃO DO SISTEMA DE SUSPENSÃO</t>
  </si>
  <si>
    <t>TROCA DE DISCOS E PASTILHAS DE FREIOS DIANTEIROS</t>
  </si>
  <si>
    <t>REVISÃO NO SISTEMA ELÉTRICO (BATERIA/MOTOR DE PARTIDA/ALTERNADOR)</t>
  </si>
  <si>
    <t>REPARO NO MOTOR DE ARRANQUE E CHICOTE</t>
  </si>
  <si>
    <t>TROCA DE BATERIA E LÂMPADAS/ REPAR0O NO CHICOTE DA BATERIA POLO POSITIVO</t>
  </si>
  <si>
    <t>DJM8869</t>
  </si>
  <si>
    <t>3-13</t>
  </si>
  <si>
    <t>REVISÃO GERAL, SUSPENSÃO , ELETRICA, FREIO</t>
  </si>
  <si>
    <t>REPARO NO ALTERNADOR, TROCA DA LÂMPADA DO FAROL DE MILHA, TROCA DA LÂMPADA DA LANTERNA DIANTEIRA, TROCA DO FUSÍVEL PRINCIPAL DA CAIXA DE FUSÍVEIS</t>
  </si>
  <si>
    <t>REVISÃO NO SISTEMA DE ARREFECIMENTO</t>
  </si>
  <si>
    <t>EEF9191</t>
  </si>
  <si>
    <t>BA-026</t>
  </si>
  <si>
    <t xml:space="preserve">ENCAMINHADA PARA CONTRATAÇÃO </t>
  </si>
  <si>
    <t>TROCA DAS PASTILHAS DE FREIO DIANTEIRO E TRASEIRO/ REPARO NO RESERVATÓRIO DE ESGUICHO/ TROCA DAS BANDEJAS SUPERIOR COM PIVÔ/ ENCAMINHADO PARA BORRACHARIA</t>
  </si>
  <si>
    <t>CABEÇOTE, SISTEMA DE ARREFECIMENTO, SISTEMA DE IGNIÇÃO</t>
  </si>
  <si>
    <t>TROCA DE LÂMPADAS DO FREIO E PLACA</t>
  </si>
  <si>
    <t>20-98</t>
  </si>
  <si>
    <t>TROCA DOS DISCOS DE FREIOS DIANTEIROS, TROCA DAS PASTILHAS DE FREIOS DIANTEIROS E TRASEIROS, TROCA DOS FLUÍDOS E SANGRIA</t>
  </si>
  <si>
    <t>15-292</t>
  </si>
  <si>
    <t>TROCA DOS BRAÇOS OSCILANTE DA SUSPENSÃO DIANTEIRA E TROCA DE ÓLEO</t>
  </si>
  <si>
    <t>REVISÃO GERAL (SERÁ USADA OP. VERÃO 24/25)</t>
  </si>
  <si>
    <t>MONTAGEM DA CORREIA DENTADA, TENSOR E PERIFÉRICOS.</t>
  </si>
  <si>
    <t>DEC (CEL FEDREZZI)</t>
  </si>
  <si>
    <t>CMW 7395</t>
  </si>
  <si>
    <t>MANGUEIRA SUPERIOR DO AR QUENTE E RECARGA DA BATERIA</t>
  </si>
  <si>
    <t>TROCA DE PARACHOQUE E MANUNTENÇÃO</t>
  </si>
  <si>
    <t>TROCA DE PASTILHAS DIANTEIRAS</t>
  </si>
  <si>
    <t>TROCA DE LAMPADA DO FAROL MILHA</t>
  </si>
  <si>
    <t>AGUARDANDO BATERIA ALMOX</t>
  </si>
  <si>
    <t>TROCA DOS AMORTECEDORES DIANT./ TRAS. AGUARDANDO BATERIA  ALMOX</t>
  </si>
  <si>
    <t>EEF9592</t>
  </si>
  <si>
    <t>1-155</t>
  </si>
  <si>
    <t xml:space="preserve">TROCA DE LÂMPADAS DO FAROL E LANTERNA </t>
  </si>
  <si>
    <t>REPARO NOS TERMINAIS DA BATERIA</t>
  </si>
  <si>
    <t>REPARO NOS CONECTORES DA BATERIA, 02 PNEUS E BALANCIAMENTO E ALINHAMENTO</t>
  </si>
  <si>
    <t>FMJ9704</t>
  </si>
  <si>
    <t>22-18</t>
  </si>
  <si>
    <t>REPARO DO MOTOR DE PARTIDA, REVISÃO DE DEVOLUÇÃO</t>
  </si>
  <si>
    <t>RECARGA NA BATERIA, REVISÃO GERAL</t>
  </si>
  <si>
    <t>EEF8714</t>
  </si>
  <si>
    <t>1-127</t>
  </si>
  <si>
    <t>REVISÃO GERAL E REPARO NA CINTA DO AIR BAG</t>
  </si>
  <si>
    <t>CFY5904</t>
  </si>
  <si>
    <t>CAVPM - PG</t>
  </si>
  <si>
    <t>26-866</t>
  </si>
  <si>
    <t>REVISÃO GERAL, MOTOR NÃO FUNCIONA</t>
  </si>
  <si>
    <t>CoordOp-002</t>
  </si>
  <si>
    <t>DEI7I96</t>
  </si>
  <si>
    <t>1-26</t>
  </si>
  <si>
    <t>REAPRO NO SISTEMA ELÉTRICO, INVERSÃO DAS BATERIAS</t>
  </si>
  <si>
    <t>CONTRATAÇÃO DAS PELICULAS E AVALIAÇÃO DOS FREIOS</t>
  </si>
  <si>
    <t>SUSPENSÃO E SINALIZADOR</t>
  </si>
  <si>
    <t>TROCA DE ÓLEO E FILTROS DE AR, AR COND, COMB, MOTOR</t>
  </si>
  <si>
    <t>REMANEJAMENTO DA BATERIA AUXILIARA PARA PRINCIPAL, SUBSTITUIÇÃO DA BATERIA AUXILIAR</t>
  </si>
  <si>
    <t xml:space="preserve">REVISÃO DE DEVOLUÇÃO </t>
  </si>
  <si>
    <t>FUJ7360</t>
  </si>
  <si>
    <t>TROCA DE BATERIA (REMANEJADA DA VTR PLACAS FSK1C14)</t>
  </si>
  <si>
    <t>CUI5773</t>
  </si>
  <si>
    <t>VAZAMENTO DE ÓLEO DO MOTOR ( CARTER REMANEJADO )</t>
  </si>
  <si>
    <t>TROCA DAS PASTILHAS E DISCOS DE FREIO (PEÇAS FORNECIDAS PELA UNIDADE)</t>
  </si>
  <si>
    <t>MANUNTENÇÃO NA TAMPA DA  BOMBA ELÉTRICA. TANQUE (VAZAMENTO)</t>
  </si>
  <si>
    <t>EYN8D91</t>
  </si>
  <si>
    <t>1-75</t>
  </si>
  <si>
    <t>REVISÃO DE DEVOLUÇÃO, TROCA DAS LÂMPADAS DO FAROL DE MILHA</t>
  </si>
  <si>
    <t>FVK8233</t>
  </si>
  <si>
    <t>8-765</t>
  </si>
  <si>
    <t>REVISAO ELÉTRICA</t>
  </si>
  <si>
    <t>BATERIA, LAMPADAS, REVISÃO ELÉTRICA</t>
  </si>
  <si>
    <t>AR CONDICINADO, BATERIA, MOTOR FALHANDO</t>
  </si>
  <si>
    <t>17-200</t>
  </si>
  <si>
    <t>PNEUS, AR CONDICIONADO,ELÉRICO E FREIO</t>
  </si>
  <si>
    <t>1-119</t>
  </si>
  <si>
    <t>TROCA DE ÓLEO DO MOTOR DESODORIZAÇÃO DO AR CONDICIONADO</t>
  </si>
  <si>
    <t>GAN3428</t>
  </si>
  <si>
    <t>15-234</t>
  </si>
  <si>
    <t>REPARO NO ALTERNADOR E REPARO CHICOTE DO MÓDULO CONTROLE DE VELOCIDADE</t>
  </si>
  <si>
    <t>DVK8702</t>
  </si>
  <si>
    <t>23-51</t>
  </si>
  <si>
    <t>CONTRATAÇÃO ( AIR BAG )</t>
  </si>
  <si>
    <t>TROCA DE BATERIA E FUSÍVEIS</t>
  </si>
  <si>
    <t>TROCA DA LÂMPADA DO FAROL DE MILHA</t>
  </si>
  <si>
    <t>23-53</t>
  </si>
  <si>
    <t>AIR BAG</t>
  </si>
  <si>
    <t>TROCA DE FILTRO DIESEL</t>
  </si>
  <si>
    <t>DMV3509</t>
  </si>
  <si>
    <t>BA-057</t>
  </si>
  <si>
    <t xml:space="preserve">REPARO NO BANCO DO MOTORISTA </t>
  </si>
  <si>
    <t>EXS2H34</t>
  </si>
  <si>
    <t>ESSGT-038</t>
  </si>
  <si>
    <t>TROCA DE BATERIA STARTSTOP</t>
  </si>
  <si>
    <t>ESSGT-036</t>
  </si>
  <si>
    <t>FZQ1H27</t>
  </si>
  <si>
    <t>ESSGT-035</t>
  </si>
  <si>
    <t xml:space="preserve">CPC </t>
  </si>
  <si>
    <t>COROLLA (SAF)</t>
  </si>
  <si>
    <t>1-153</t>
  </si>
  <si>
    <t>ARREFECIMENTO ( MOTOR BATENTO VALVULA )</t>
  </si>
  <si>
    <t>COPOM001</t>
  </si>
  <si>
    <t>DJL7765</t>
  </si>
  <si>
    <t>15-90</t>
  </si>
  <si>
    <t>ARREFECIMENTO (TROCA DO SENSOR DE TEMPERATURA)</t>
  </si>
  <si>
    <t>TROCA DOS DISCOS DE FREIO, PASTILHAS DE FREIO, LIMPEZA E TROCA DO FLUÍDO DE FREIO</t>
  </si>
  <si>
    <t>TROCA DE PNEUS E REMANEJAMENTO</t>
  </si>
  <si>
    <t>COORDOP-002</t>
  </si>
  <si>
    <t>AJUSTE NO CALÇO DE MOLAS TRASEIRAS</t>
  </si>
  <si>
    <t>SUSPENSÃO DIANTEIRA: AMORTECEDORES, BANDEJAS SUPERIORES E INFERIORES, BIELETAS, PIVÔS. PASTILHA DE FREIO DIANTEIRA. SUSPENSÃO TRASEIRA: AMORTECEDORES E BIELETAS. PARTE ELÉTRICA: TROCA DA BATERIA E LÂMPADA DE FREIO</t>
  </si>
  <si>
    <t xml:space="preserve">REPARO NO SENSOR DO FREIO </t>
  </si>
  <si>
    <t>EJH8F92</t>
  </si>
  <si>
    <t>1-41</t>
  </si>
  <si>
    <t>TROCA DAS BATERIAS</t>
  </si>
  <si>
    <t>TROCA DE BATERIAS</t>
  </si>
  <si>
    <t>EEF9005</t>
  </si>
  <si>
    <t>REPARO NO COMUTADOR E MIOLO D IGNIÇÃO</t>
  </si>
  <si>
    <t>COROLLA ( CEL LUCENA )</t>
  </si>
  <si>
    <t>REPARO NO RADIADOR</t>
  </si>
  <si>
    <t>VTR NÃO FUNCIONA O MOTOR</t>
  </si>
  <si>
    <t>REPARO NO CHICOTE DA BATERIA E TROCA DE BATERIA</t>
  </si>
  <si>
    <t>REPARO NO PORTA FUSÍVEL PRINCIPAL</t>
  </si>
  <si>
    <t>EPC0825</t>
  </si>
  <si>
    <t>22-247</t>
  </si>
  <si>
    <t>22-57</t>
  </si>
  <si>
    <t>REPARO ELÉTRICO, TROCA DE BATERIA</t>
  </si>
  <si>
    <t>VERIFICAÇÃO DE BATERIA</t>
  </si>
  <si>
    <t>DUA6G41</t>
  </si>
  <si>
    <t>22-35</t>
  </si>
  <si>
    <t>TROCA DAS PASTILHAS E DISCOS DE FREIO DIANTEIRO, SAPATAS E TAMBORES DE FREIO TRASEIRO, ÓLEO DO MOTOR E FILTROS, DESODORIZAÇÃO, LÂMPADAS DO FAROL DE MILA, LÂMPAS DE FREIO</t>
  </si>
  <si>
    <t>TROCA DE OLEO E FILTRO DO MOTOR, FILTRO DE COMB, FILTRO DE AR, FILTRO DE AR COND, PAST FREIO DIANT, DESODORIZAÇÃO, REVISÃO ELÉTRICA</t>
  </si>
  <si>
    <t>REPARO INTERRUPTOR DOS VIDROS ELÉTRICOS E BORRACHÃO PORTA DD</t>
  </si>
  <si>
    <t>REPARO E INSTALAÇÃO DO BORRACHÃO PORTA DD</t>
  </si>
  <si>
    <t>VAZAMENTO OLEO MOTOR PARTE DE CIMA E BAIXO, BARULHO PARTIDA, FOLGA DIREÇÃO</t>
  </si>
  <si>
    <t>EMBREAGEM, BATERIA</t>
  </si>
  <si>
    <t>GAB. CMT . GERAL</t>
  </si>
  <si>
    <t>CONTRATAÇÃO DO PARABRISA/ ENCAMINHADA PARA A BORRACHARIA</t>
  </si>
  <si>
    <t>FTJ6867</t>
  </si>
  <si>
    <t>22-287</t>
  </si>
  <si>
    <t>PANE ELÉTRICA, SUSPENSÃO- TROCA  DA BATERIA E REMANEJAMENTO DA BANDEJA DIREITA DIANTEIRA</t>
  </si>
  <si>
    <t>CFY5543</t>
  </si>
  <si>
    <t>3-65</t>
  </si>
  <si>
    <t>REPARO NO ALTERNADOR, REPARO NO FUSÍVEL PRINCIPAL, SUBSTITUIÇÃO DA BATERIA PRINCIPAL E AUXILIAR, SUBSTITUIÇÃO DO RELÉ AUXILIAR</t>
  </si>
  <si>
    <t>DISCO,PASTILHA,PNEUS</t>
  </si>
  <si>
    <t>REVISÃO GERAL/ TROCA DE LÂMPADAS H7</t>
  </si>
  <si>
    <t>CPAM11</t>
  </si>
  <si>
    <t>1-179</t>
  </si>
  <si>
    <t>LAMPADAS</t>
  </si>
  <si>
    <t>ALTERNADOR E SISTEMA DE FREIO</t>
  </si>
  <si>
    <t>BAvPM</t>
  </si>
  <si>
    <t>PASTILHAS E DISCOS DO FREIO TRASEIRO</t>
  </si>
  <si>
    <t>SERVIÇOS EXECUTADOS: SUSPENSÃO DIANTEIRA, TROCA DOS BRAÇOS OSCILANTES  INFERIORES, LADOS ESQ E DIR, TROCA DOS PIVÕS/ TROCA  DAS BANDEJAS SUPERIORES LADOS ESQ E DIR E PIVÕS/ TROCA DOS AMORTECEDORES E KITs/ TROCA DAS BIELETAS/ SUSPENSÃO TRASEIRA: TROCA DOS AMORTECEDORES E BIELETAS/ TROCA DO BATENTE DO QUADRO/ SISTEMA DE FREIO:  TROCA DOS DISCOS DE FREIO DIANTEIRO E TRASEIRO, BEM COMO AS PASTILHAS DE FREIOS.</t>
  </si>
  <si>
    <t>EXF8962</t>
  </si>
  <si>
    <t>22-182</t>
  </si>
  <si>
    <t>ARREFECIMENTO ( CONTRATAÇÃO )</t>
  </si>
  <si>
    <t>REVISÃO GERAL DE DEVOLUÇÃO</t>
  </si>
  <si>
    <t>FPP-0165</t>
  </si>
  <si>
    <t>EFETUADO REPARO NO BOTÃO DE ACIONAMENTO DOS VIDROS PORTA DIANT. ESQ.</t>
  </si>
  <si>
    <t>ELÉTRICO ( CARGA BATERIA, REPARO NO ALTERNADOR )</t>
  </si>
  <si>
    <t>REVISÃO GERAL, VTR FALHANDO ( CONFORME OFÍCIO )</t>
  </si>
  <si>
    <t>REPARO NO SENSOR DE NÍVEL DE COMBUSTÍVEL</t>
  </si>
  <si>
    <t>FRX0423</t>
  </si>
  <si>
    <t>REVISÃO GERAL, AVALIAÇÃO DO AR CONDICIONADO</t>
  </si>
  <si>
    <t>GFG7059</t>
  </si>
  <si>
    <t>22-297</t>
  </si>
  <si>
    <t>INJEÇÃO, SUSPENSÃO, VIDROS</t>
  </si>
  <si>
    <t>INJEÇÃO, SEM PARTIDA/ REALIZADO REMANEJAMENO DO MOTOR DE PARTIDA, EFETUADA LEITURA VIA SCANNER, PORÉM NÃO APRESENTOU AVARIAS.</t>
  </si>
  <si>
    <t>COORDOP OP PM</t>
  </si>
  <si>
    <t>PATILHA E FLUIDO</t>
  </si>
  <si>
    <t>REPARO NO ESPELHO RETROVISOR LADO DIREITO, LÂMPADAS DAS LANTERNAS DIANTEIRAS</t>
  </si>
  <si>
    <t>CFY5902</t>
  </si>
  <si>
    <t>CAVPM (PIRACICABA)</t>
  </si>
  <si>
    <t>3-332</t>
  </si>
  <si>
    <t>REVISÃO GERAL, SUSPENSÃO E DIREÇÃO</t>
  </si>
  <si>
    <t>TROCA DA BATERIA PRINCIPAL</t>
  </si>
  <si>
    <t>SUBSTITUIÇÃO DE RODAS, PNEUS E ESTRIBOS</t>
  </si>
  <si>
    <t>VIDROS INOPERANTES(REMANEJADO BOTÃO)</t>
  </si>
  <si>
    <t>LIMPEZA DO SISTEMA DE FREIO, TROCA TOTAL DO FLUÍDO DE FREIO, TROCA DAS PALHETAS DO LIMPADOR DIANTEIRO,</t>
  </si>
  <si>
    <t>TROCA DE BATERIA E TROCA DAS BIELETAS DIANTEIRAS</t>
  </si>
  <si>
    <t>LUBRIFICAÇÃO DAS CANALETAS DOS VIDROS DAS PORTAS, TROCA DAS LÂMPADAS DE PLACA, REAPERTO NO LIMITADOR DA PORTA TRASEIRA ESQUERDA</t>
  </si>
  <si>
    <t>TROCA DA BATERIA AUXILIAR, FILTRO DE CABINE, DESODORIZAÇÃO</t>
  </si>
  <si>
    <t>REPARO NO ENCAIXE DA LAMPADA DE FREIO ESQ</t>
  </si>
  <si>
    <t>EWJ7A92</t>
  </si>
  <si>
    <t>8-1025</t>
  </si>
  <si>
    <t xml:space="preserve">INSTALAÇÃO DOS ESTRIBOS </t>
  </si>
  <si>
    <t>TROCA DE ÓLEO E FILTROS, PNEUS</t>
  </si>
  <si>
    <t>EMBREAGEM, FREIO</t>
  </si>
  <si>
    <t>EMBREAGEM (NÃO LOCALIZADA NENHUMA ANOMALIA NO SISTEMA DE TRANSMISSÃO E EMBREAGEM)</t>
  </si>
  <si>
    <t>BAVPM</t>
  </si>
  <si>
    <t>TROCA DE BATERIA E LÂMPADA DO FAROL BAIXO L.D.</t>
  </si>
  <si>
    <t>DGY2751</t>
  </si>
  <si>
    <t>SUBSTITUIÇÃO BATERIA</t>
  </si>
  <si>
    <t>CHAVE CODIFICADA( viatura remanejada sem passar pelo centro aguardando ofício )</t>
  </si>
  <si>
    <t>PROBLEMA NO AIR BAG</t>
  </si>
  <si>
    <t>15-322</t>
  </si>
  <si>
    <t xml:space="preserve">REVISÃO NO CHICOTE ELÉTRICO, REVISÃO E REPARO NO SISTEMA DO ARLA </t>
  </si>
  <si>
    <t>CEL CARVALHO</t>
  </si>
  <si>
    <t>TROCA DAS PASTILHAS E DISCOS DE FREIO DIANTEIRO/ VIATURA SEM RIV</t>
  </si>
  <si>
    <t>TROCADO PASTILHAS DE FREIOS DIANT, REVISADO FREIOS DIANT E TRAS, LUBRIFICADO CANALETAS DO VIDROS DAS 4 PORTAS, TROCADO OLEO DE FREIO</t>
  </si>
  <si>
    <t>TROCA DO CILINDRO MESTRE DO FREIO E SERVO FREIO, TROCA DO FLUÍDO DE FREIO</t>
  </si>
  <si>
    <t>BSY7280</t>
  </si>
  <si>
    <t>15-212</t>
  </si>
  <si>
    <t>TROCA DE ÓLEO E FILTROS, DESODORIZAÇÃO</t>
  </si>
  <si>
    <t xml:space="preserve">TROCA DE ÓLEO DO MOTOR, FILTRO DE ÓLEO DO MOTOR E FILTRO DE COMBUSTÍVEL </t>
  </si>
  <si>
    <t>3-28</t>
  </si>
  <si>
    <t>TROCA DAS BATERIAS PRINCIAPL E AUXILIAR/ TROCA DO RELE DE BATERIA</t>
  </si>
  <si>
    <t xml:space="preserve">TROCA DAS PASTILHAS E DISCOS DE FREIO DIANTEIRO, PASTILHA DE FREIO TRASEIRO </t>
  </si>
  <si>
    <t>ESE3A74</t>
  </si>
  <si>
    <t>22-39</t>
  </si>
  <si>
    <t>TROCA LAMPADA H4</t>
  </si>
  <si>
    <t>TROCA LAMPADA H27 12W</t>
  </si>
  <si>
    <t>SEM PARTIDA, ARREFECIMENTO.</t>
  </si>
  <si>
    <t>LIBERADA</t>
  </si>
  <si>
    <t>TROCA DA LÂMPADA DO FAROL BAIXO L.E., LATERNAS TRASEIRAS, LUZ DE PLACA</t>
  </si>
  <si>
    <t>TROCA DAS PASTILHAS DE FREIO DIANTEIRO E TROCA DAS PASTILHAS DE FREIO TRASEIRO</t>
  </si>
  <si>
    <t>PANE ELÉTRICA</t>
  </si>
  <si>
    <t>MOTOR PARTIDA SUBSTITUIDO VTR DESCARGA</t>
  </si>
  <si>
    <t xml:space="preserve">SPIN </t>
  </si>
  <si>
    <t>RADIADOR</t>
  </si>
  <si>
    <t>ALTERNADOR</t>
  </si>
  <si>
    <t>TROCA LAMPADA H7 / TROCA PALETAS PARA-BRISA</t>
  </si>
  <si>
    <t>DA/CG</t>
  </si>
  <si>
    <t>MOTOR FALHANDO</t>
  </si>
  <si>
    <t>TROCA BATERIA</t>
  </si>
  <si>
    <t>MOTOR ( REVISÃO DE RECOLHA )</t>
  </si>
  <si>
    <t xml:space="preserve">LUZES PAINEL ACESAS, DIREÇÃO PESADA </t>
  </si>
  <si>
    <t>TROCA DA LÂMPADA DO FREIO TRASEIRO, REVISÃO ELÉTRICA</t>
  </si>
  <si>
    <t>REPARO NO CHICOTE DO MOTOR DE PARTIDA</t>
  </si>
  <si>
    <t>TROCA 2 PNEUS, ALINHAM E BALANC, REGULAGEM DOS FREIOS</t>
  </si>
  <si>
    <t>EEF5734</t>
  </si>
  <si>
    <t>22-889</t>
  </si>
  <si>
    <t>AVALIAÇÃO GERAL</t>
  </si>
  <si>
    <t>GJA9222</t>
  </si>
  <si>
    <t>22-107</t>
  </si>
  <si>
    <t>MOTOR NÃO LIGA, SUSPENSÃO E FREIO</t>
  </si>
  <si>
    <t>DJL-5324</t>
  </si>
  <si>
    <t>ESSD-017</t>
  </si>
  <si>
    <t>DJL5357</t>
  </si>
  <si>
    <t>ESSD-030</t>
  </si>
  <si>
    <t>FJV2315</t>
  </si>
  <si>
    <t>8-825</t>
  </si>
  <si>
    <t>TROCA DE BATERIA/ OLÉO, FILTROS, VELAS E CABO</t>
  </si>
  <si>
    <t>TROCA DOS DISCOS E PASTILHAS DE FREIO TRASEIRO</t>
  </si>
  <si>
    <t>CPA-M/1</t>
  </si>
  <si>
    <t>CAMBIO, TROCA DE ÓLEO E FILTROS, VELAS E CABOS DE VELA.</t>
  </si>
  <si>
    <t>GAO3891</t>
  </si>
  <si>
    <t>22-384</t>
  </si>
  <si>
    <t>TROCA DE ÓLEO, FILTROS, VELAS, CABOS E CORREIA</t>
  </si>
  <si>
    <t>22-276</t>
  </si>
  <si>
    <t>FALHA NA IGNIÇÃO, PAINEL INOPERANTE.( velas e cabos )</t>
  </si>
  <si>
    <t>LIMPEZA NO MOTOR DA VENTILAÇÃO INTERNA, REPARO NO RELÉ DA VENTILAÇÃO INTERNA</t>
  </si>
  <si>
    <t>EEF9058</t>
  </si>
  <si>
    <t>COROLLA ( CEL SANÇANA )</t>
  </si>
  <si>
    <t>15-224</t>
  </si>
  <si>
    <t>PARACHOQUE, TAPEÇARIA, INSULFILM, SINALIZADOR.</t>
  </si>
  <si>
    <t>VIDROS INOPERANTES</t>
  </si>
  <si>
    <t>TROCA DE BATERIA / TROCA DE LAMPADAS DE FREIO</t>
  </si>
  <si>
    <t>TROCA DE ÓLEO, FILTROS, DESODORIZAÇÃO E LAMPADAS</t>
  </si>
  <si>
    <t>SPIN (CARTÃO)</t>
  </si>
  <si>
    <t>ESSGT-021</t>
  </si>
  <si>
    <t>TROCA DA CORREIA DENTADA/ TENSOR/ VELAS E CABOS/ FILTROS DE AR E COMBUSTÍVEL/ ADITIVO DO SISTEMA DE ARREFECIMENTO E ALTERNADOR ADQUIRIDO COM O CARTÃO CORPORATIVO</t>
  </si>
  <si>
    <t>REPARO NA MANGUEIRA SUPERIOR DO RADIADOR E REPOSIÇÃO DO LIQUÍDO DE ARREFECIMENTO</t>
  </si>
  <si>
    <t>ESSGT-22-103</t>
  </si>
  <si>
    <t>TROCA DE OLEO DO MOTOR E FILTRO, FILTROS DE AR COND, AR, COMBUS.DESODORIZAÇÃO, ANALISE DE PASTILHAS</t>
  </si>
  <si>
    <t>EEF9599</t>
  </si>
  <si>
    <t>15-250</t>
  </si>
  <si>
    <t>BOBINA DE IGNIÇÃO REMANEJADA</t>
  </si>
  <si>
    <t>GBZ5269</t>
  </si>
  <si>
    <t>ESSD-006</t>
  </si>
  <si>
    <t>AR CONDICIONADO, SUSPENSÃO, ALTERNADOR</t>
  </si>
  <si>
    <t>TROCA DOS DISCOS E PASTILHAS DIANTEIRA E TRASEIRA</t>
  </si>
  <si>
    <t>GIX3107</t>
  </si>
  <si>
    <t>FREIO</t>
  </si>
  <si>
    <t>FREIO/ ABS</t>
  </si>
  <si>
    <t>FUD1B23</t>
  </si>
  <si>
    <t>15-178</t>
  </si>
  <si>
    <t>REPARO TÉCNICO NO CHICOTE DO SISTEMA ABS/ TROCA DOS DISCOS E PASTILHAS DIANTEIRA E TRASEIRA</t>
  </si>
  <si>
    <t>TROCA DE BATERIA E LÂMPADA DO FAROL. L.E</t>
  </si>
  <si>
    <t>FBQ5G83</t>
  </si>
  <si>
    <t>CPC-001</t>
  </si>
  <si>
    <t>FNX-4A94</t>
  </si>
  <si>
    <t>VERIFICAÇÃO BORRACHA DO PARABRISA</t>
  </si>
  <si>
    <t>TROCA DA MANQUEIRA  DE COMBUSTÍVEL DA ENTRADA DO TANQUE/ CARTÃO ADIANTAMENTO</t>
  </si>
  <si>
    <t>ESSGT-022</t>
  </si>
  <si>
    <t>GIQ 5D76</t>
  </si>
  <si>
    <t>REVISÃO GERAL OK, LIBERADA P/ UNIDADE</t>
  </si>
  <si>
    <t>BOMBA DE COMBUSTÍVEL REMANEJADA</t>
  </si>
  <si>
    <t>GCJ 2J25</t>
  </si>
  <si>
    <t>TROCA DE PASTILHAS DE FREIOS DIANT. E TRAS.; TROCA DO OLEO DE FREIO; REVISÃO ELETRICA; TROCA DO ESPELHO RETROVISOR LADO DIREITO</t>
  </si>
  <si>
    <t>VAZAMENTO RADIADOR INTERNO</t>
  </si>
  <si>
    <t>TROCA DAS BATERIAS E RELE</t>
  </si>
  <si>
    <t>CPA-M12</t>
  </si>
  <si>
    <t>TROCA DE PIVOS SUPERIORES; BANDEJAS INFERIORES COM PIVOS, BIELETAS DIANT.; REPARO BANCO MOT.; AJUSTE DO DEFLETOR DO CATALIZADOR; REPARO NO AR COND; ENCAMINHADO PARA SINALIZADORES.</t>
  </si>
  <si>
    <t>REPARO BORRACHA DE PORTA</t>
  </si>
  <si>
    <t>FCH9J72</t>
  </si>
  <si>
    <t>1-77</t>
  </si>
  <si>
    <t>TROCA DE ÓLEO/ FILTROS DE ÓLEO E COMBUSTÍVEL</t>
  </si>
  <si>
    <t>AJUSTE DO VIDRO ELÉTRICO</t>
  </si>
  <si>
    <t>15.30</t>
  </si>
  <si>
    <t>TROCA LAMPADAS DOS FAROIS</t>
  </si>
  <si>
    <t>GCP9H02</t>
  </si>
  <si>
    <t>22-135</t>
  </si>
  <si>
    <t>SPIN ( CARTÃO )</t>
  </si>
  <si>
    <t>DEC- MUSEU</t>
  </si>
  <si>
    <t>EEF9F34</t>
  </si>
  <si>
    <t>3-68</t>
  </si>
  <si>
    <t>REMANEJAMENTO DO ALTERNADOR/  SUBSTITUIÇÃO DA BATERIA AUX/ TROCA DO RELÊ AUXILIAR</t>
  </si>
  <si>
    <t>TROCA DE ÓLEO E FILTRO/ DISCO DE FREIO DIANTEIRO/  PASTILHAS DE FREIO DIANTEIRO E TRASEIRO E PALHETA DE PARABRISA</t>
  </si>
  <si>
    <t>CFY5868</t>
  </si>
  <si>
    <t>ESSD-001</t>
  </si>
  <si>
    <t>TROCA DOS AMORTECEDORES DIANTEIROS E COXINS, TROCA DAS BIELETAS DIANTEIRAS, TROCA DAS PASTILHAS DE FREIO DIANTEIRA E TRASEIRA, TROCA DE ÓLEO DO MOTOR E TODOS OS FILTROS, DESODORIZAÇÃO DO AR CONDICIONADO, LAVAGEM DO MOTOR, TROCA TOTAL DO FLUÍDO DE FREIO, RESET DO SISTEMA DE AIR BAG VIA SCANNER, TROCA DA BATERIA, REVISÃO ELÉTRICA, TROCA DAS LÂMPADAS DOS FARÓIS</t>
  </si>
  <si>
    <t>EEF8706</t>
  </si>
  <si>
    <t>26-520</t>
  </si>
  <si>
    <t>BOMBA DE COMBUSTIVEL, ESCAPAMENTO, REVISÃO GERAL</t>
  </si>
  <si>
    <t>EST7226</t>
  </si>
  <si>
    <t>22-777</t>
  </si>
  <si>
    <t>REVISÃO GERAL, LÂMPADAS DA PLACA, PALHETAS DO LIMPADOR DIANTEIRO</t>
  </si>
  <si>
    <t>FEI 8130</t>
  </si>
  <si>
    <t>TROCA DE VELAS E CABOS, TROCA DE ÓLEO DO MOTOR E FILTRO, FILTRO DE AR, FILTRO DE COMBUSTÍVEL, LÂMPADAS DA LANTERNA TRAS. DIR., LÂMPADAS DA PLACA, LÂMPADAS DOS FARÓIS BAIXOS, LÂMPADA DA LANTERNA DIANT. DIR.</t>
  </si>
  <si>
    <t>TROCA DOS AMORTECEDORRES TRASEIROS E PASTILHAS DE FREIO TRASEIRO</t>
  </si>
  <si>
    <t>EEF9077</t>
  </si>
  <si>
    <t>1-145</t>
  </si>
  <si>
    <t>TROCA PALHETAS LIMPADOR PARABRISA</t>
  </si>
  <si>
    <t>EEF9063</t>
  </si>
  <si>
    <t>1-139</t>
  </si>
  <si>
    <t>BATERIA E LAMPADAS</t>
  </si>
  <si>
    <t>CORDOP 002</t>
  </si>
  <si>
    <t>CMM GUARDA</t>
  </si>
  <si>
    <t>REPARO EM 02 PNEUS</t>
  </si>
  <si>
    <t>DTIC/ DCI</t>
  </si>
  <si>
    <t>FED1J47</t>
  </si>
  <si>
    <t xml:space="preserve"> SPIN ( CARTÃO )</t>
  </si>
  <si>
    <t>22-28</t>
  </si>
  <si>
    <t>BATERIA (BATERIA 50AH ) COMPRA COM CARTÃO</t>
  </si>
  <si>
    <t>CMW8114</t>
  </si>
  <si>
    <t>FNE4I34</t>
  </si>
  <si>
    <t>BA-090</t>
  </si>
  <si>
    <t>TROCA DE PASTILHA DE FREIOS, PNEUS DIANTEIROS ( REMANEJADOS )</t>
  </si>
  <si>
    <t>TRAILBLAZER'</t>
  </si>
  <si>
    <t>TROCA DE PALHETA</t>
  </si>
  <si>
    <t>TROCA DO RADIADOR</t>
  </si>
  <si>
    <t>PALHETAS</t>
  </si>
  <si>
    <t>TROCA DAS PALHETAS DO LIMPADOR DO PARABRISA DIANT/TRAS.</t>
  </si>
  <si>
    <t>TRAILBLAZER  (FIP0G21) EM AVALIAÇÃO NO ELEVADOR</t>
  </si>
  <si>
    <t>TROCA DOS AMORTECEDORES DIANTEIROS E COXINS DA SUSPENSÃO DIANTEIRA, REMOCÇÃO E INSTALAÇÃO DA MOLA TRASEIRA ESQUERDA (ESTAVA DESLOCADA PARA FRENTE, ENCOSTANDO NO CHASSI DA VTR)</t>
  </si>
  <si>
    <t>CMW8216</t>
  </si>
  <si>
    <t>15-169</t>
  </si>
  <si>
    <t>BATERIA, INJEÇÃO, LAMPADAS</t>
  </si>
  <si>
    <t>6º EM/PM</t>
  </si>
  <si>
    <t>TROCA DO ÓLEO DO MOTOR, FILTRO DE ÓLEO E BIELETAS</t>
  </si>
  <si>
    <t>REPARO NO ALTERNADOR, TROCA DA LÂMPADA DO FAROL BAIXO, LUBRIFICAÇÃO DAS CANALETAS DOS VIDROS, FECHADURAS E LIMITADORES DAS PORTAS</t>
  </si>
  <si>
    <t>GBE6740</t>
  </si>
  <si>
    <t>16BPM/I</t>
  </si>
  <si>
    <t>3-655</t>
  </si>
  <si>
    <t>REPARO EMERGENCIAL- REPARO NO FLEXIVEL DE FREIO DA RODA DIANTEIRA DIREITA, TROCA TOTAL DO FLUÍDO DE FREIO</t>
  </si>
  <si>
    <t>TROCA DA LÂMPADA DO FAROL BAIXO</t>
  </si>
  <si>
    <t>BARULHO NA CORREIA DO MOTOR</t>
  </si>
  <si>
    <t>BARULHO NA CORREIA DO MOTOR ( RETORNO DA GESTÃO )</t>
  </si>
  <si>
    <t>TROCA DE BATERIA, RELE PRINCIPAL</t>
  </si>
  <si>
    <t>BARULHO NA EMBREAGEM E FREIO, VAZAMENTO DE ÓLEO DO MOTOR</t>
  </si>
  <si>
    <t>FYU 9621</t>
  </si>
  <si>
    <t>TROCA DOS CABOS DE VELAS, FILTRO DE COMB, TROCA DAS PALHETAS LIMPADORAS</t>
  </si>
  <si>
    <t>DJM8152</t>
  </si>
  <si>
    <t>3-159</t>
  </si>
  <si>
    <t>FWL4381</t>
  </si>
  <si>
    <t>22-834</t>
  </si>
  <si>
    <t>REVISÃO DE DEVOLUÇÃO</t>
  </si>
  <si>
    <t>REVISTORIA DA SUSPENSÃO</t>
  </si>
  <si>
    <t>C. MIL</t>
  </si>
  <si>
    <t>SUSPENSÃO, PNEUS</t>
  </si>
  <si>
    <t>REPARO NO SILENCIOSO TRASEIRO, TROCA DAS LÂMPADAS DE FREIO</t>
  </si>
  <si>
    <t>ARREFECIMENTO; BOMBA DE COMBUSTÍVEL; VELAS; PASTILHAS DE FREIO</t>
  </si>
  <si>
    <t>22-832</t>
  </si>
  <si>
    <t>TROCA DE ÓLEO E FILTROS, DESODORIZAÇÃO, TROCA DAS PASTILHAS DE FREIO TRASEIRO, TROCA DAS PALHETAS DO LIMPADOR DIANTEIRO, TROCA DA LÂMPADA DO FAROL BAIXO DIREITO, TROCA DA LÃMPADA DO FAROL DE MILHA DIREITO, TROCA DAS LÂMPADAS DA LUZ DE PLACA</t>
  </si>
  <si>
    <t>BOMBA D'ÁGUA, CORREIA DENTADA, TENSOR DA CORREIA DENTADA, ÁGUA DESMINERALIZADA E ADITIVO PARA RADIADOR</t>
  </si>
  <si>
    <t>VERIFICAÇÃO DE VAZAMENTO</t>
  </si>
  <si>
    <t>TROCA DA LÂMPADA DO FAROL DE MILHA ESQUERDO</t>
  </si>
  <si>
    <t>GAH9J40</t>
  </si>
  <si>
    <t>CPA-M4</t>
  </si>
  <si>
    <t>26-897</t>
  </si>
  <si>
    <t>RESET COM SCANNER ( APOIO )</t>
  </si>
  <si>
    <t>D TIC</t>
  </si>
  <si>
    <t>HODOMETRO, HOCINÉTICA</t>
  </si>
  <si>
    <t>BA-62</t>
  </si>
  <si>
    <t>ELETROVENTILADOR DO RADIADOR, LIMPEZA DO SISTEMA DE ARREFCIMENTO, TROCA DE ÓLEO DO MOTOR E FILTRO, TROCA DA BATERIA, LIMPEZA DO TBI, TROCA DAS PALHETAS DO LIMPADOR</t>
  </si>
  <si>
    <t>BATERIA; MAÇANETA INTERNA PORTA DO MOTORISTA; EMBREAGEM</t>
  </si>
  <si>
    <t>FUG-6C63</t>
  </si>
  <si>
    <t>TROCA PALHETAS LIMPADORES PARA BRISAS</t>
  </si>
  <si>
    <t>EEF9722</t>
  </si>
  <si>
    <t>BA-028</t>
  </si>
  <si>
    <t>AVALIAÇÃO DE ABERTURA DO CAPO</t>
  </si>
  <si>
    <t>TROCA DA BATERIA PRINCUPAL, TROCA DO RELÉ AUXILIAR DE BATERIA</t>
  </si>
  <si>
    <t>TROCA DAS PASTILHAS DE FREIO DIANTEIRO, PASTILHAS E DISCOS DE FREIO TRASEIRO, LÂMPADA DO FAROL BAIXO</t>
  </si>
  <si>
    <t>MANUTENÇÃO NO MOTOR DE PARTIDA</t>
  </si>
  <si>
    <t>DIR6160</t>
  </si>
  <si>
    <t>22-195</t>
  </si>
  <si>
    <t>TAMPA DO RESERVATÓRIO</t>
  </si>
  <si>
    <t>DMV-3509</t>
  </si>
  <si>
    <t xml:space="preserve"> TROCA LÂMPADAS LANTERNAS DIANTEIRA E TRASEIRA</t>
  </si>
  <si>
    <t xml:space="preserve">BARULHO NA SUSPENSÃO </t>
  </si>
  <si>
    <t>TROCA DE BATERIA, TROCA PASTILHAS DE FREIO DIANTEIRA.</t>
  </si>
  <si>
    <t>C. MUS</t>
  </si>
  <si>
    <t>TROCA DE BATERIA, RETIRADA DE ALARME ADAPTADO.</t>
  </si>
  <si>
    <t>EDI-3478</t>
  </si>
  <si>
    <t>TRALBLAZER</t>
  </si>
  <si>
    <t>RECOLHA (ECE)</t>
  </si>
  <si>
    <t>TROCA DE LAMPADAS (1 H7, 2 PINGO) ENV. CONT. AR COND.</t>
  </si>
  <si>
    <t>TROCA DA CORREIA DENTADA/ TROCA DAS ESCOVAS DO ALTERNADOR ADQUIRIDO COM O CARTÇAO CORPORATIVOP</t>
  </si>
  <si>
    <t>EMBREAGEM; FREIO DE MÃO</t>
  </si>
  <si>
    <t>TREPIDAÇÃO NA EMBREAGEM; LUZ DA INJEÇÃO ACESA</t>
  </si>
  <si>
    <t>BOTÃO DO VIDRO ELÉTRICO</t>
  </si>
  <si>
    <t>REPARO NO SIST. ARREF. C/ TROCA DE ADITIVO/ÁGUA DESMINERALIZADA</t>
  </si>
  <si>
    <t>SUSPENSÃO (ANORTECEDORES DIANT. E TRAZ. COIFAS E BATENTES BANDEJAS, PIVOS, TERMINAIS E BIELETAS), DUAS LAMPADAS PINGÃO, ALINHAMENTO E BALANCEAMENTO</t>
  </si>
  <si>
    <t>VIDRO DA PORT A  DO MOTORISTA</t>
  </si>
  <si>
    <t>MOTOR COM PERDA DE POTENCIA, BORRACHARIA</t>
  </si>
  <si>
    <t>DJM8150</t>
  </si>
  <si>
    <t>VERIFICAÇÃO DOS DISCOS DE FREIO</t>
  </si>
  <si>
    <t>TROCA DAS HASTES TRASEIRA/ PASTILHAS DE FREIO TRASEIRA/ REAPERTO DOS ESTRIBOS</t>
  </si>
  <si>
    <t>REAPERTO STRIBOS, TROCA LAMPADA H7 LE, REVISÃO DOS FREIOS</t>
  </si>
  <si>
    <t>GFL 6G57</t>
  </si>
  <si>
    <t>TROCADO BATERIA(NOVA)</t>
  </si>
  <si>
    <t>FXB 7A21</t>
  </si>
  <si>
    <t>TROCADO LAMPADA H7 E 1POLO</t>
  </si>
  <si>
    <t>FZG 4H04</t>
  </si>
  <si>
    <t>TRAILBALZER</t>
  </si>
  <si>
    <t>TROCA DE LAMPADA H7 E PALHETAS DO PARA BRISA DIANT</t>
  </si>
  <si>
    <t>CMW7428</t>
  </si>
  <si>
    <t>15-132</t>
  </si>
  <si>
    <t xml:space="preserve">ARREFECIMENTO ( Radiador ) </t>
  </si>
  <si>
    <t>TROCA DAS PASTILHAS E DISCOS DO FREIO DIANTEIRO; FILTRO DE CABINE E DESODORIZAÇÃO; CONTRATAÇÃO DE PELÍCULAS DOS VIDROS (VTR OPERANDO)</t>
  </si>
  <si>
    <t>CDV9594</t>
  </si>
  <si>
    <t>3-400</t>
  </si>
  <si>
    <t xml:space="preserve">TRANSFORMAR EM HISTÓRICA </t>
  </si>
  <si>
    <t>MARCHA LENTA OSCILANDO</t>
  </si>
  <si>
    <t>CSP 6C81</t>
  </si>
  <si>
    <t>GAB CMTG</t>
  </si>
  <si>
    <t>TROCA DE LAMPADA DE 1POLO LANT TRAS ESQ</t>
  </si>
  <si>
    <t>TROCA DAS PASTILHAS E DISCOS DE FREIO DIANTEIRO</t>
  </si>
  <si>
    <t>TROCA DAS VELAS DE IGNIÇÃO, REPARO NA BOBINA DE IGNIÇÃO CILINDRO 1</t>
  </si>
  <si>
    <t>TROCA DOS DISCOS E PASTILHAS DE FREIO DIANTEIRO E LIMPEZA E SUBSTITUIÇÃO DO FLUÍDO DE FREIO</t>
  </si>
  <si>
    <t>BARULHO NO FREIO</t>
  </si>
  <si>
    <t>VTR TREPIDANDO E COM BARULHO AO FREAR</t>
  </si>
  <si>
    <t>REPARO NO CHICOTE INTERNO DO PEDAL DE ACELERADOR</t>
  </si>
  <si>
    <t>SEM PARTIDA.</t>
  </si>
  <si>
    <t>GAB. CMT. GERAL</t>
  </si>
  <si>
    <t>TROCA DAS PALHETAS DOS LIMPADORES DO PARA-BRISA, REPARO NO ESGUICHO DO PARA-BRISA, REPARO NA LANTERNA TRASEIRA ESQUERDA E REAPERTO NA SUSPENSÃO DIANTEIRA</t>
  </si>
  <si>
    <t>PROTETOR DE CARTER  ESPANADO</t>
  </si>
  <si>
    <t>TROCA DE ÓLEO E FILTROS, AMORTECEDORES DIANTEIROS, AMORTECEDORES TRASEIROS, BIELETAS DIANTEIRAS, BIELETAS TRASEIRAS E PASTILHAS DE FREIO DIANTEIRO.</t>
  </si>
  <si>
    <t>INSTALAÇÃO DOS ESTRIBOS, PALHETAS DO LIMPADOR DE PARABRISA DIANTEIRO, FILTRO DE CABINE, DESODORIZAÇÃO, LÂMPADA DE FREIO</t>
  </si>
  <si>
    <t>22-99</t>
  </si>
  <si>
    <t>TROCA DAS PALHETAS DIANTEIRA E TRASEIRA E BATERIA/ REVISÃO ELÉTRICA</t>
  </si>
  <si>
    <t>BYY8E41</t>
  </si>
  <si>
    <t>1-46</t>
  </si>
  <si>
    <t>REPARO MOTOR DE PARTIDA</t>
  </si>
  <si>
    <t>REVISAO GERAL (TROCA DE ÓLEO E FILTROS)</t>
  </si>
  <si>
    <t>PANE NO MOTOR</t>
  </si>
  <si>
    <t>MUSEU/DEC</t>
  </si>
  <si>
    <t>TROCA DOS PRISIONEIROS DA RODA DIANTEIRA DIREITA, TROCA DA BIELETA DIREITA</t>
  </si>
  <si>
    <t>15-256</t>
  </si>
  <si>
    <t>REVISÃO DE RECOLHA</t>
  </si>
  <si>
    <t xml:space="preserve">COORD OP PM </t>
  </si>
  <si>
    <t>CORD OP-001</t>
  </si>
  <si>
    <t xml:space="preserve">TROCA DE ÓLEO E FILTRO DE ÓLEO </t>
  </si>
  <si>
    <t>DJM8638</t>
  </si>
  <si>
    <t>26-110</t>
  </si>
  <si>
    <t>REPARO VÁLVULA TÉRMOSTATICA E RADIADOR</t>
  </si>
  <si>
    <t>TROCA DE BATERIA E LÂMAPADA</t>
  </si>
  <si>
    <t>TROCA DE BATERIA E LÂMPADA DE PLACA</t>
  </si>
  <si>
    <t>EEF9230</t>
  </si>
  <si>
    <t>22-101</t>
  </si>
  <si>
    <t>PANE ELÉTRICA ( BATERIA ) RECARGA</t>
  </si>
  <si>
    <t>FUGA CORRENTE ( nada constatado, segue teste na os )</t>
  </si>
  <si>
    <t>REVISÃO DE ENTREGA</t>
  </si>
  <si>
    <t>GBW1164</t>
  </si>
  <si>
    <t>REPARO NO MÓDULO DE CARROCERIA (EMERGENCIAL)</t>
  </si>
  <si>
    <t>BATERIA ( RECARGA )</t>
  </si>
  <si>
    <t>TROCA PASTILHAS DE FREIO DIANTEIRAS, LAMPADA FREIO TE.</t>
  </si>
  <si>
    <t>TROCA DAS PASTILHAS DIANTEIRA E TRASEIRA/ LUBRIFICAÇÃO DAS CANELETAS DE VIDRO/ LIMPEZA E SUBSTITUIÇÃO DO FLUIDO DE FREIO</t>
  </si>
  <si>
    <t>CUN3143</t>
  </si>
  <si>
    <t>22-302</t>
  </si>
  <si>
    <t>SUB COMD PM</t>
  </si>
  <si>
    <t>TROCA DOS AMORTECEDORES TRASEIROS, PASTILHAS DE FREIO DIANTEIRO E PNEUS TRASEIROS</t>
  </si>
  <si>
    <t>CMW7369</t>
  </si>
  <si>
    <t>15-135</t>
  </si>
  <si>
    <t>TROCA DO LIQUIDO DE ARREFECIMENTO/ SUBSTITUIÇÃO DO PAINEL/ TROCA DE ÓLEO E FILTROS/ REVISÃO NO SISTEMA ELÉTRICO/ SISTEMA DE INJEÇÃO ELETRÔNICA REPARADO/</t>
  </si>
  <si>
    <t>VAZAMENTO AGUA SIST ARREFECIMENTO</t>
  </si>
  <si>
    <t>15-235</t>
  </si>
  <si>
    <t>DISCOS E PASTILHAS DE FREIO TRASEIRO, LIMPEZA E TROCA DO FLUÍDO DE FREIO</t>
  </si>
  <si>
    <t>EEF986</t>
  </si>
  <si>
    <t>EEF-9608</t>
  </si>
  <si>
    <t>REVISÃO GERAL, TROCA LÂMPADA FAROL DE NEBLINA</t>
  </si>
  <si>
    <t>EEF-9602</t>
  </si>
  <si>
    <t>15-42</t>
  </si>
  <si>
    <t>SUSPENSÃO, INFILTRAÇÃO DE ÁGUA ( POSSIBILIDADE DE HISTÓRICA )</t>
  </si>
  <si>
    <t>SUSP. DIANTEIRA  E TRASEIRA COMPLETA, LIMPEZA E TROCA DO FLUÍDO DE FREIO, REVISÃO ELÉTRICA E TROCA DO ÓLEO DO MOTOR E FILTROS</t>
  </si>
  <si>
    <t>CM-SAF</t>
  </si>
  <si>
    <t>MOTOR DE ARRANQUE, DIREÇÃO DURA</t>
  </si>
  <si>
    <t>ARREFECIMENTO (VAZAMENTO), LUZES QUEIMADAS</t>
  </si>
  <si>
    <t>REAPERTO NA SUSPENSÃO, TOCA TOTAL DO FLUÍDO DE FREIO</t>
  </si>
  <si>
    <t>RECARGA BATERIA PRINCIPAL E AUXILIAR, REPARO NO RELÊ.</t>
  </si>
  <si>
    <t>CAMBIO DANDO "TRANCO" BARULHO NA SUSPENSÃO</t>
  </si>
  <si>
    <t xml:space="preserve">TROCA DA BATERIA - REMANEJADA </t>
  </si>
  <si>
    <t>EEF4145</t>
  </si>
  <si>
    <t>22-221</t>
  </si>
  <si>
    <t>GFG6I32</t>
  </si>
  <si>
    <t>BA-035</t>
  </si>
  <si>
    <t>TROCA DAS PASTILHAS DE FREIO DIANT. E TRAZ, FILTRO DE AR, FILTRO DE COMBUSTIVEL, PALHETAS LIMPADOR DE PARABRISA, BALANCEAMENTO E ALINHAMENTO.</t>
  </si>
  <si>
    <t>15-311</t>
  </si>
  <si>
    <t>SUSPENSÃO DIANTEIRA  (REPARADO )</t>
  </si>
  <si>
    <t>FTD6945</t>
  </si>
  <si>
    <t>22-1307</t>
  </si>
  <si>
    <t>ARRANQUE/ FREIOS/ BORRACHARIA</t>
  </si>
  <si>
    <t>REVISÃO DOS FREIOS</t>
  </si>
  <si>
    <t>BATERIA, PNEUS</t>
  </si>
  <si>
    <t>CUN-3143</t>
  </si>
  <si>
    <t>REVISÃO FUSIVEIS</t>
  </si>
  <si>
    <t>REVISÃO DE EMPRESTIMO</t>
  </si>
  <si>
    <t>TROCADO BANDEJA SUP. LADO DIR. (NOVA) ENC. ALINHAMENTO</t>
  </si>
  <si>
    <t>EDI8607</t>
  </si>
  <si>
    <t>ESSD-064</t>
  </si>
  <si>
    <t>DJL6022</t>
  </si>
  <si>
    <t>15-67</t>
  </si>
  <si>
    <t>REVISÃO DE DEVOLUÇÃO, REMANEJAMENTO PARA SAT</t>
  </si>
  <si>
    <t>TROCA DA LÂMPADA DO FAROL DE MILHA LADO DIREITO, LÂMPADAS DA LUZ DE PLACA, REPARO NA LANTERNA DE RÉ LADO DIREITO, LÂMPADA DA LANTERNA DIANTEIRA LADO ESQUERDO</t>
  </si>
  <si>
    <t>TROCA DOS AMORTECEDORES DIANTEIRO E TRASEIRO/ PASTILHAS DE FREI DIANTEIRA E TRASEIRA/ TROCA DO FLUIDO DE FREIO E LIMPEZA DO SISTEMA/ TROCA DE ÓLEO E TODOS OS FILTROS</t>
  </si>
  <si>
    <t>EMBREAGEM, CAMBIO, SUSPENSÃO</t>
  </si>
  <si>
    <t>REPARO NA BOBINA DO 3º CILINDRO, LIMPEZA DO TBI, ADAPTAÇÃO DO ACELERADOR, ADAPTAÇÃO DA PRESSÃO DO FLUÍDO DA TRANSMISSÃO</t>
  </si>
  <si>
    <t>AJUSTE NAS MOLAS TRASEIRAS</t>
  </si>
  <si>
    <t>DLF6641</t>
  </si>
  <si>
    <t>22-179</t>
  </si>
  <si>
    <t>VTR REMANEJADA PARA O CPA/M-7</t>
  </si>
  <si>
    <t>VTR NÃO LIGA</t>
  </si>
  <si>
    <t>REPARO NA SONDA LAMBDA BANCO 2, TROCA DAS LÂMPADAS DOS FARÓIS DE MILHA</t>
  </si>
  <si>
    <t>TROCA DAS PASTILHAS DE FREIO DIANTEIRO E TRASEIRO, TROCA DO ÓLEO DO MOTOR E FILTROS</t>
  </si>
  <si>
    <t>SUSPENSÃO/ FREIOS/ LUZ DA INJEÇÃO/ TROCA PNEUS DIANTEIROS/ ALIN E BAL</t>
  </si>
  <si>
    <t>REPARO NO CABO DO TRAMBULADOR</t>
  </si>
  <si>
    <t>RECARGA DA BATERIA PRINCIPAL, SUBSTITUIÇÃO DO RELÉ AUXILIAR</t>
  </si>
  <si>
    <t>ETT0895</t>
  </si>
  <si>
    <t>22-516</t>
  </si>
  <si>
    <t>JOGO DE VELAS E CABOS DE VELAS</t>
  </si>
  <si>
    <t>TROCA DE BATERIA (NOVA) VEIO S/ ALÇA DE FIXAÇÃO DA BATERIA</t>
  </si>
  <si>
    <t>08-1025</t>
  </si>
  <si>
    <t>TROCA DA BIELETA TRASEIRA LADO DIREITO E LÂMPADA H27</t>
  </si>
  <si>
    <t>SUB CMT G</t>
  </si>
  <si>
    <t>TROCA DAS PASTILHAS DE FREIO DIANT. E TRAS., FILTRO DE CABINE, DESODORIZAÇÃO</t>
  </si>
  <si>
    <t>REPARO NO ARREFECIMENTO, TROCA BATERIA</t>
  </si>
  <si>
    <t>GAK5917</t>
  </si>
  <si>
    <t>22-350</t>
  </si>
  <si>
    <t>ELÉTRICO</t>
  </si>
  <si>
    <t>ELG3100</t>
  </si>
  <si>
    <t>3-784</t>
  </si>
  <si>
    <t>TROCA DAS LÂMPADAS DOS FARÓIS DE MILHA, LUZ DE PLACA, LANTERNA TRASEIRA DIREITA, LANTERNA DIANTEIRA ESQUERDA</t>
  </si>
  <si>
    <t xml:space="preserve">ELÉTRICO </t>
  </si>
  <si>
    <t xml:space="preserve">UNO </t>
  </si>
  <si>
    <t>TROCA DO CILINDRO MESTRE, LIMPEZA DO SISTEMA E TROCA DO FLUIDO DE FREIO</t>
  </si>
  <si>
    <t>EMBREAGEM, LUMINOSOS.</t>
  </si>
  <si>
    <t>REPARO NO MOTOR DE PARTIDA, CATALISADOR REMANEJADO E RREPARO NO SISTEMA ELÉTRICO</t>
  </si>
  <si>
    <t>TROCA DISCOS E PASTILHAS DE FREIO</t>
  </si>
  <si>
    <t>REPARO NO FILTRO DE ÓLEO E TROCA DE ÓLEO DO  MOTOR</t>
  </si>
  <si>
    <t>RESET NO SISTEMA DE INJEÇÃO ( PERCA DE POTENCIA )</t>
  </si>
  <si>
    <t>PALIO WEEEKEND</t>
  </si>
  <si>
    <t>TROCA DE ÓLEO E FILTRO/ VIATURA NECESSITA DE BATERIA</t>
  </si>
  <si>
    <t>SANDERO</t>
  </si>
  <si>
    <t>TROCA DE LÂMPADAS H27 E 1 POLO</t>
  </si>
  <si>
    <t xml:space="preserve">COORDOP PM </t>
  </si>
  <si>
    <t>TROCA DAS PALHETAS DO LIMPADOR DIANTEIRO, TROCA DA LÂMPADA DA LANTERNA TRASEIRA DIREITA, LUBRIFICAÇÃO DAS CANALETAS DOS VIDROS</t>
  </si>
  <si>
    <t>TROCA DE ÓLEO, FILTRO DE ÓLEO, FILTRO COMBUSTÍVEL, FILTRO DE AR, PASTILHAS DE FREIO DIANTEIRAS, TROCA FLUIDO DE FREIO</t>
  </si>
  <si>
    <t>TROCA DA BATERIA, MANGUEIRA DO AR QUENTE</t>
  </si>
  <si>
    <t>CJJ7J93</t>
  </si>
  <si>
    <t>TROCADO LAMPÁDAS H7 E H27W, LUBRIFICAÇÃO DAS CANALETAS DOS VIDROS</t>
  </si>
  <si>
    <t>TROCA DE ÓLEO E FILTROS, PASTILHAS DE FREIO TRASEIRO, AMORTECEDORES TRASEIROS</t>
  </si>
  <si>
    <t>ERX9F93</t>
  </si>
  <si>
    <t>22-128</t>
  </si>
  <si>
    <t>VAZAMENTO DE ÓLEO MOTOR</t>
  </si>
  <si>
    <t>FYK5686</t>
  </si>
  <si>
    <t>ESSD-065</t>
  </si>
  <si>
    <t>TROCA DO KIT DE EMBREAGEM E LÂMPADAS PINGO</t>
  </si>
  <si>
    <t>DWK9539</t>
  </si>
  <si>
    <t>22-779</t>
  </si>
  <si>
    <t>EMBREAGEM, 04 PNEUS, ALINHAMENTO E BALANCEAMENTO.</t>
  </si>
  <si>
    <t>TROCA AMORTECEDORES DIANTEIROS COM KITS, ÓLEO MOTOR, FILTRO DE ÓLEO, FILTRO DE COMBUSTIVEL, FILTRO DE AR, FILTRO DE CABINE.</t>
  </si>
  <si>
    <t>TROCA CILINDRO MESTRE, TROCA DO SERVOFREIO, TROCA FLUIDO DE FREIO, TROCA AMORTECEDORES DIANTEIROS COM KITS, TROCA DA GUARNIÇÃO DE BORRACHA DO PARABRISA DIANTEIRO, REVISÃO NO SISTEMA DE TRAVAS ELÉTRICAS DAS PORTAS, ALINHAMENTO DE DIREÇÃO, BALANCEAMENTO DE RODAS.</t>
  </si>
  <si>
    <t>CMW8067</t>
  </si>
  <si>
    <t>8-49</t>
  </si>
  <si>
    <t>FREIO, SUSPENSÃO, BARULHO NO MOTOR,CONTRATADO SOMENTE QRU DA O.S.</t>
  </si>
  <si>
    <t>REPARO NO ELETROVENTILADOR</t>
  </si>
  <si>
    <t>CABOS DE VELAS E VELAS/ RESET NO SISTEMA DE INJEÇÃO</t>
  </si>
  <si>
    <t>EEF8707</t>
  </si>
  <si>
    <t>15-251</t>
  </si>
  <si>
    <t>NÃO FOI POSSÍVEL SANAR AS IRREGULARIDADES POR FALTA DE PEÇÃS; (COXIM FRONTAL-MOTOR, COXIM TRASEIRO-CÂMBIO, BUCHA DA BANDEJA E COIFA JUNTA HOMOCINÉTICA LADO DIREITO RASGADA)</t>
  </si>
  <si>
    <t>MOTOR/ FREIO</t>
  </si>
  <si>
    <t>AVALIAÇÃO DA SUSPENSÃO, TROCA DAS LÂMPADAS DE FREIO E LUZ DA PLACA</t>
  </si>
  <si>
    <t>TROCA LAMPADA PINGÃO</t>
  </si>
  <si>
    <t>FQO-5992</t>
  </si>
  <si>
    <t>15-334</t>
  </si>
  <si>
    <t>BOMBA DE COMBUSTÍVEL TRINCADA</t>
  </si>
  <si>
    <t>REPARO NA VÁLVULA TERMOSTÁTICA</t>
  </si>
  <si>
    <t>VTR NÃO LIGA - TROCA DA BATERIA</t>
  </si>
  <si>
    <t>FVR9C16</t>
  </si>
  <si>
    <t>E-08202</t>
  </si>
  <si>
    <t>REPARO EMERGENCIAL NO ALTERNADOR</t>
  </si>
  <si>
    <t>VTR NÃO FUNCIONA - DEFEITO INTERMITENTE</t>
  </si>
  <si>
    <t>LIMPEZA E REPARO NO SISTEMA DE FREIO DIANTEIRO</t>
  </si>
  <si>
    <t>TROCA DAS VELAS DE IGNIÇÃO</t>
  </si>
  <si>
    <t>TROCA DE ÓLEO E FILTROS, DESODORIZAÇÃO, TROCA DA LÂMPADA DA LUZ DE PLACA, REVISÃO ELÉTRICA</t>
  </si>
  <si>
    <t>TROCA DA LÂMPADA FAROL BAIXO (H7)</t>
  </si>
  <si>
    <t>DJ7832</t>
  </si>
  <si>
    <t>REAPERTO DA MANGUEIRA DA TURBINA E RESET NO SISTEMA VIA SCANNER</t>
  </si>
  <si>
    <t>ARREFECIMENTO/ TROCA DA HÉLICE DO VENTILADOR</t>
  </si>
  <si>
    <t>TROCA CX DE DIREÇÃO, BRAÇOS AXIAIS, TERMINAIS DE DIREÇÃO, BANDEJAS, PIVÔS, COXIM MOTOR, AMORTECEDORES DIANTEIROS COM KITS COMPLETOS, BIELETAS, 2 PNEUS, ALINHAMENTO E BALANCEAMENTO, TROCA FILTRO DE CABINE.</t>
  </si>
  <si>
    <t xml:space="preserve">TRACA DA BATERIA, DISCO DE FRIEO DIANTEIRO, DISCO DE FREIO TRASEIRO E PASTILHAS DE FREIO, E REVISÃO </t>
  </si>
  <si>
    <t>COORD OP</t>
  </si>
  <si>
    <t>TROCA DA LÂMPADA DO FAROL ESQUERDO</t>
  </si>
  <si>
    <t>ELÉTRICA (INJEÇÃO ELETRÔNICA)</t>
  </si>
  <si>
    <t>CÂMBIO, FREIOS, VAZAMENTO DE ÓLEO, AVALIAR PNEUS</t>
  </si>
  <si>
    <t>TROCA DAS PALHETAS E REPARO NO ENCAIXE DA LÂMPADA</t>
  </si>
  <si>
    <t>FREIOS- TROCA DAS PASTILHAS DE FREIO DIANTEIRA</t>
  </si>
  <si>
    <t>CPA-M/12</t>
  </si>
  <si>
    <t>TROCA DE ÓLEO E FILTROS, DESODORIZAÇÃO, LÂMPADA DE LUZ DA PLACA</t>
  </si>
  <si>
    <t>EEF9583</t>
  </si>
  <si>
    <t>1-150</t>
  </si>
  <si>
    <t>REVISÃO GERAL, SINALIZADOR (NÃO FUNCIONA)</t>
  </si>
  <si>
    <t>DYH7J51</t>
  </si>
  <si>
    <t>1-37</t>
  </si>
  <si>
    <t>AR CONDICIONADO, BUZINA, FREIO DE MÃO, CORREIA DE SERV.</t>
  </si>
  <si>
    <t>ELÉTRICO ( Recarga de Bateria)</t>
  </si>
  <si>
    <t>TROCA DA BATERIA E PAINEL DE INSTRUMENTOS REMANEJADO DA VTR 15-124 (PROC. DE DESCARGA)</t>
  </si>
  <si>
    <t>ARREFECIMENTO (VAZAMENTO MANGUEIRA PRÓX. PAINEL CORTA FOGO)</t>
  </si>
  <si>
    <t>EEF-8711</t>
  </si>
  <si>
    <t>TROCA BOBINA 4º CILINDRO</t>
  </si>
  <si>
    <t>GAD4A55</t>
  </si>
  <si>
    <t>LIMPEZA DOS BICOS INJETORES, LIMPEZA DO TBI, TROCA DAS VELAS E CABOS DE VELAS DE IGNIÇÃO</t>
  </si>
  <si>
    <t>LIMPEZA E SUBSTITUIÇÃO DO FLUÍDO DE FREIO, LÂMPADA DE 1 PÓLO E LÂMPADA H7</t>
  </si>
  <si>
    <t>ELETRICO (SEM PARTIDA)</t>
  </si>
  <si>
    <t>LÂMPADA 01 PÓLO E LÂMPADA PINGO</t>
  </si>
  <si>
    <t>1+61</t>
  </si>
  <si>
    <t>TROCA LÂMPADA FOROL BAIXO L.E.</t>
  </si>
  <si>
    <t>TROCA DAS LÂMPADAS DA LUZ DE PLACA, AVALIAÇÃO DA SUSPENSÃO</t>
  </si>
  <si>
    <t>PARA CHOQUE DIANTEIRO E TRASEIRO</t>
  </si>
  <si>
    <t>BARULHO NA SUSPENSÃO DD</t>
  </si>
  <si>
    <t>TROCA DAS PASTILHAS E DISCOS DE FREIO TRASEIRO, TROCA DAS PASTILHAS DE FREIO DIANTEIRO, REGULAGEM NA CORREIA DE SERVIÇO</t>
  </si>
  <si>
    <t>TROCA DA LÂMAPADA DO FAROL BAIXO L.D., TROCA DE LÂMPADA DA LUZ DE PLACA, LIMPEZA DOS CONTATOS DAS LANTERNAS TRASEIRAS</t>
  </si>
  <si>
    <t>TROCA PNEUS, LAMPADA DE FREIO, ALINHAM E BALANC</t>
  </si>
  <si>
    <t>TROCA DE PASTILHAS DE FREIOS TRAS E DISCOS TRAS</t>
  </si>
  <si>
    <t>GDP6G83</t>
  </si>
  <si>
    <t>3-173</t>
  </si>
  <si>
    <t>EFJ9I95</t>
  </si>
  <si>
    <t>17-68</t>
  </si>
  <si>
    <t>BARULHO SUSPENSÃO, VTR FALHANDO SEM MARCHA LENTA, SINALIZADORES</t>
  </si>
  <si>
    <t>EVU0665</t>
  </si>
  <si>
    <t>22-592</t>
  </si>
  <si>
    <t>TROCA DE ÓLEO, BATERIA, FREIO, GRAFISMO</t>
  </si>
  <si>
    <t>FZC6I36</t>
  </si>
  <si>
    <t>1-53</t>
  </si>
  <si>
    <t>TROCA DE ÓLEO + FILTRO, FILTRO DE COMBUSTIVEL, FILTRO DE AR, FILTRO DE CABINE, ROD´ZIO DE PNEUS.</t>
  </si>
  <si>
    <t>EEF9057</t>
  </si>
  <si>
    <t>RENAULT MASTER</t>
  </si>
  <si>
    <t>15-106</t>
  </si>
  <si>
    <t>PLANILHA DE CONTRATAÇÃO ELABORADA PELA SAT</t>
  </si>
  <si>
    <t>BZF1A37</t>
  </si>
  <si>
    <t>1-78</t>
  </si>
  <si>
    <t>TROCA 4 AMORTECEDORES COM KITS, ÓLEO MOTOR, FILTRO DE ÓLEO, FILTRO DE AR, FILTRO DE COMBUSTIVEL, FILTRO DE CABINE</t>
  </si>
  <si>
    <t>TROCA DA LÂMPADA DO FAROL BAIXO DIREITO</t>
  </si>
  <si>
    <t>REPARO NA PINÇA DE FREIO LADO ESQUERDO</t>
  </si>
  <si>
    <t>CPA-M5</t>
  </si>
  <si>
    <t>VIATURA PLANILHADA E DEVOLVIDA AO CPA/M-5</t>
  </si>
  <si>
    <t>REVISÃO FREIO</t>
  </si>
  <si>
    <t>TROCA DE ÓLEO E TROCA DA LONA DE FREIO TRASEIRO</t>
  </si>
  <si>
    <t>TROCA DAS PASTILHAS DE FREIO DIANTEIRO, TROCA DAS VELAS DE IGNIÇÃO E CABOS, TROCA DA BATERIA, REVISÃO ELÉTRICA</t>
  </si>
  <si>
    <t>FOV1426</t>
  </si>
  <si>
    <t>3-657</t>
  </si>
  <si>
    <t>SOCORRO EMERGENCIAL (PROBLEMAS APRESENTADOS: PRISIONEIROS DAS RODAS DIANTEIRAS, DISCOS E PASTILHAS DE FREIO DIANTEIRO COM DESGASTE EXCESSIVO, PISTA DO ROLAMENTO DA RODA DIANTEIRA DIREITA SOLTO, VAZAMENTO DE FLUÍDO NA PINÇA DE FREIO DIANTEIRO DIREITO, PISTA DO SENSOR ABS DO FREIO DIANTEIRO LADO DIREITO COM DESGASTE)</t>
  </si>
  <si>
    <t>TROCA DE CABOS E VELAS (NOVOS)</t>
  </si>
  <si>
    <t>DJM8685</t>
  </si>
  <si>
    <t>15-115</t>
  </si>
  <si>
    <t>REALIZADA AVALIAÇÃO, PORÉM VEÍCULO NÃO APRESENTOU O PROBLEMA REALATADO (*LUZ DO ''EPC'' ACESA NO PAINEL*)</t>
  </si>
  <si>
    <t>AJUSTE DAS PASTILHAS DE FREIO</t>
  </si>
  <si>
    <t>TRIZETA QUEBRADA</t>
  </si>
  <si>
    <t xml:space="preserve">PERDA DE POTÊNCIA </t>
  </si>
  <si>
    <t>TROCA DAS PASTILHAS DE FREIO DIANTEIRA E TRAZEIRA, TROCA DO FLUIDO DE FREIO, TROCA DAS LAMPADAS MILHA FREIO E PLACA, TROCA DE DOIS PNEUS, ALINHAMENTO E BALANCEAMENTO.</t>
  </si>
  <si>
    <t>1-103</t>
  </si>
  <si>
    <t>TROCA DA BATERIA - REMANEJADA DA VTR 15-191</t>
  </si>
  <si>
    <t>REVISÃO DE DEVOLUÇÃO, TROCA DO PARA-BRISA</t>
  </si>
  <si>
    <t xml:space="preserve">PANE ELÉTRICA </t>
  </si>
  <si>
    <t>EEF8816</t>
  </si>
  <si>
    <t>15-286</t>
  </si>
  <si>
    <t>AR CONDICIONADO, BARULHO NA SUSPENSÃO, ROLAMENTO, PALHETAS.</t>
  </si>
  <si>
    <t>CPA-M/5</t>
  </si>
  <si>
    <t>REAPERTO DOS CABOS DA BATERIA, TROCA DE LÂMPADA TRASEIRA, TROCA DAS LÂMPADAS DOS FRÓIS</t>
  </si>
  <si>
    <t>DTIC-DAS</t>
  </si>
  <si>
    <t>ARREFECIMENTO.</t>
  </si>
  <si>
    <t>GJM-3D84</t>
  </si>
  <si>
    <t>TROCA DE LÂMPADA FAROL DIANTEIRO L. D.</t>
  </si>
  <si>
    <t>FPT4252</t>
  </si>
  <si>
    <t>8-1174</t>
  </si>
  <si>
    <t>TROCA 04 PNEUS, PASTILHAS DE FREIO, ALINHAMENTO E BALANCEAMENTO</t>
  </si>
  <si>
    <t>TROCA DA LÂMAPADA DO FAROL BAIXO E FAROL DE MILHA</t>
  </si>
  <si>
    <t>ARREFECIMENTO, MOTOR FALHANDO.</t>
  </si>
  <si>
    <t>EEF8679</t>
  </si>
  <si>
    <t>3 EM/PM</t>
  </si>
  <si>
    <t>15-297</t>
  </si>
  <si>
    <t>GTJ3D63</t>
  </si>
  <si>
    <t>VAZAMENTO LIQUIDO ARREFECIMENTO.</t>
  </si>
  <si>
    <t>EEF9546</t>
  </si>
  <si>
    <t>3-303</t>
  </si>
  <si>
    <t xml:space="preserve">BATERIA, FREIOS, MOTOR FALHANDO, </t>
  </si>
  <si>
    <t>FTE6368</t>
  </si>
  <si>
    <t>15-302</t>
  </si>
  <si>
    <t>TROCA DA MANGUEIRA 3 VIAS, FLAUTA/CANO D'ÁGUA, 2 ADITIVOS P/ RADIADOR E 4 ÁGUAS DESMINERALIZADAS</t>
  </si>
  <si>
    <t>PERDA DE POTÊNCIA, LUZ DA INJEÇÃO ACESSA.</t>
  </si>
  <si>
    <t>FHN-0C67</t>
  </si>
  <si>
    <t>TROCA LÂMPADA LANTERNA TRASEIRA L.E. L.D.</t>
  </si>
  <si>
    <t>DRJ-8F94</t>
  </si>
  <si>
    <t>TROCA LÂMPADA LANTERNA TRASEIRA L.D.</t>
  </si>
  <si>
    <t>GARANTIA - SISTEMA DE FREIO</t>
  </si>
  <si>
    <t>TROCA DA LAMPADA H7</t>
  </si>
  <si>
    <t>TROCA LAMPADA  H27 (NEBLINA LE)</t>
  </si>
  <si>
    <t>TROCA ÓLEO MOTOR, FILTRO DE ÓLEO, ILTRO DE AR, FILTROS DE COMBUSTÍVEL, FILTRO DE CABINE</t>
  </si>
  <si>
    <t>AVALIAÇÃO DE FREIOS, SUSPENSÃO E AR CONDICIONADO</t>
  </si>
  <si>
    <t>GBO2456</t>
  </si>
  <si>
    <t>8-60</t>
  </si>
  <si>
    <t>TROCA LAMPADAS LANTERNA TRAZEIRA E MANOPLA DE CAMBIO</t>
  </si>
  <si>
    <t>ARREFECIMENTO, PNEU, SUSPENSÃO</t>
  </si>
  <si>
    <t>LAMPADAS H27</t>
  </si>
  <si>
    <t>TROCA DAS PASTILHAS E DISCOS DE FREIO/ SUBSTITUIÇÃO DO LÍQUIDO DE ARREFECIMENTO E LIMPEZA</t>
  </si>
  <si>
    <t>FECHADURA PORTA MOTORISTA</t>
  </si>
  <si>
    <t>PASTILHAS DE FREIO</t>
  </si>
  <si>
    <t>TROCA DE LAMPADA DE FAROL</t>
  </si>
  <si>
    <t>FRU1B26</t>
  </si>
  <si>
    <t>8-30</t>
  </si>
  <si>
    <t>TROCA PARABRISA</t>
  </si>
  <si>
    <t>REPARO NO PARACHOQUE TRASEIRO</t>
  </si>
  <si>
    <t xml:space="preserve">TROCA DAS PASTILHAS DE FREIO DIANTEIRAS E TRASEIRAS, TROCA DAS PALHETAS DO LIMPADOR DE PARA-BRISA, TROCA DO FILTRO DE CABINE E DESODORIZAÇÃO </t>
  </si>
  <si>
    <t>6ª EMPM</t>
  </si>
  <si>
    <t>TROCA BATERIA AUXILIAR (REMANEJADA)</t>
  </si>
  <si>
    <t>PERDA DE POTENCIA DO MOTOR QUANDO LIGA AR CONDICIONADO.</t>
  </si>
  <si>
    <t>ENCAIXE DA BORRACHA DA PORTA MOTORISTA</t>
  </si>
  <si>
    <t>TROCADO MANGUEIRA ¨ T ¨ COMPLETADO NIVEL ADITIVO DO RADIODOR</t>
  </si>
  <si>
    <t>TROCA DE LAMPADAS FAROL BAIXO H-7</t>
  </si>
  <si>
    <t>TROCA DE ÓLEO E REVISÃO ELÉTRICA</t>
  </si>
  <si>
    <t>FREIO, DIREÇÃO, EMBREAGEM</t>
  </si>
  <si>
    <t>BRAÇO DO LIMPADOR, REGULADOR DO BANCO, COLAGEM DO ACABAMENTO INTERNO</t>
  </si>
  <si>
    <t>TROCA DE ÓLEO, FILTRO ÓLEO, FILTRO COMB, FLTRO AR, FILTRO CABINE</t>
  </si>
  <si>
    <t>RECARGA NA BATERIA</t>
  </si>
  <si>
    <t>TROCA DE PNEUS, REV FREIOS, REV SUSPENSÃO.</t>
  </si>
  <si>
    <t>REGULAGEM NO FREIO DE ESTACIONAMENTO</t>
  </si>
  <si>
    <t>15-133</t>
  </si>
  <si>
    <t>TROCA DO PAR DE BIELETAS DIANTEIRA E LIQUIDO DE ARREFECIMENTO</t>
  </si>
  <si>
    <t>FREIO, EMBREAGEM, SUSPENSÃO,PALHETA</t>
  </si>
  <si>
    <t>PNEUS, VIDROS ELÉTRICOS,  REAPERTO SUSPENSÃO</t>
  </si>
  <si>
    <t>TROCA DE PASTILHAS E DISCOS DE FREIO TRASEIRO E DIANTEIRO</t>
  </si>
  <si>
    <t>COORD. OP</t>
  </si>
  <si>
    <t>TROCA DAS PASTILHAS DE FREIO DIANTEIRAS E TRASEIRAS</t>
  </si>
  <si>
    <t>REPARO NA SUSPENSÃO DIANTEIRA/ PNEUS</t>
  </si>
  <si>
    <t>REPARO NA LANTERNA TRAS ESQ</t>
  </si>
  <si>
    <t>FZR5H96</t>
  </si>
  <si>
    <t>15-103</t>
  </si>
  <si>
    <t>TTROCA DOS DISCOS DE FREIO DIANTEIRO E PASTILHAS DE FREIO DIANTEIRO E TRASEIRO</t>
  </si>
  <si>
    <t>GAA-8H54</t>
  </si>
  <si>
    <t>TROCA DE PASTILHAS DE FREIO TARSEIRA E DIANTEIRA</t>
  </si>
  <si>
    <t>TROCA PALHETAS</t>
  </si>
  <si>
    <t xml:space="preserve">TROCA DOS AMORTECEDORES TRASEIROS, BIELETAS TRASEIRAS, BUCHAS DA BARRA ESTABILIZADORA TRASEIRA, AVALIAÇÃO PARA CONTRATAÇÃO COM VEÍCULO RODANDO DE TROCA DE ÓLEO DE TRANSMISSÃO, CAIXA DE TRANSFERÊNCIA, DIFERENCIAL E CORREIA DENTADA </t>
  </si>
  <si>
    <t>FIXAR CALOTAS</t>
  </si>
  <si>
    <t>EEF5732</t>
  </si>
  <si>
    <t>22-860</t>
  </si>
  <si>
    <t>TROCA DE BATERIA REMANEJADA</t>
  </si>
  <si>
    <t>DF/CIAF</t>
  </si>
  <si>
    <t>SISTEMA ELÉTRICO, AVALIAR PNEUS, REVISÃO GERAL.</t>
  </si>
  <si>
    <t>BATERIA NÃO CARREGA.</t>
  </si>
  <si>
    <t>AR CONDICIONADO, TROCA DA ANTENA AM/FM, LAMPADAS, CORREIA DENTADA, ÓLEO CAMBIO E DIFERENCIAL</t>
  </si>
  <si>
    <t>EDJ8295</t>
  </si>
  <si>
    <t>SUBCMT GERAL</t>
  </si>
  <si>
    <t>15-184</t>
  </si>
  <si>
    <t>FIXAÇÃO DO DEFLETOR DO ESCAPAMENTO</t>
  </si>
  <si>
    <t>SAPATA E AR CONDICIONADO</t>
  </si>
  <si>
    <t>TROCA LAMPADA DE PLACA E LAMPADA FAROL NEBLINA</t>
  </si>
  <si>
    <t>ESSGT024</t>
  </si>
  <si>
    <t>ELÉTRICO ( APOIO CRIAÇÃO DE SUBFROTA)</t>
  </si>
  <si>
    <t>BATERIA ( REVISÃO ELÉTRICA)</t>
  </si>
  <si>
    <t>TROCA DAS PASTILHAS</t>
  </si>
  <si>
    <t>FIP-0I47</t>
  </si>
  <si>
    <t>TROCA DE OLEO E FILTRO; TROCA LÂMPADAS DEFAROL BAIXO, MILHA E LANTERNA TRASEIRA</t>
  </si>
  <si>
    <t>INSTALAÇÃO DE SUPORTE E COXIM DO ESCAPAMENTO, TROCA DE INSULFILM, TROCA DOS TAPETES DE BORRACHA</t>
  </si>
  <si>
    <t>REVISÃO DO SISTEMA DE AR CONDICIONADO</t>
  </si>
  <si>
    <t>TROCA ENVOLVENTE DIANTEIRO</t>
  </si>
  <si>
    <t>TROCA DA LÂMPADA PINGÃO</t>
  </si>
  <si>
    <t>TROCA DE ÓLEO MOTOR + FILTRO</t>
  </si>
  <si>
    <t>ELG3F61</t>
  </si>
  <si>
    <t>3-176</t>
  </si>
  <si>
    <t xml:space="preserve"> BATERIA</t>
  </si>
  <si>
    <t>BORRACHARIA/ SUSPENSÃO</t>
  </si>
  <si>
    <t>TROCADO DISCOS DE FREIOS TRAS. PAST. E TROCA DO OLEO FREIO</t>
  </si>
  <si>
    <t>TROCA DAS VELAS E CABOS/ LIMPEZA NO SISTEMA DE ARREFECIMENTO</t>
  </si>
  <si>
    <t>TROCA DE OLEO E FILTRO DE ÓLEO</t>
  </si>
  <si>
    <t>MOTOR SEM COMPRESÃO</t>
  </si>
  <si>
    <t>DJL7422</t>
  </si>
  <si>
    <t>15-96</t>
  </si>
  <si>
    <t>REPARO LANT. TRAS.DIR; LUZ DE PLACA; PORTA-LUVAS</t>
  </si>
  <si>
    <t>GGQ9127</t>
  </si>
  <si>
    <t>UNO WAY</t>
  </si>
  <si>
    <t>15-35</t>
  </si>
  <si>
    <t>TROCA DA PASTILHA DE FREIO / MÁQUINA DO VIDRO TRASEIRO ESQ.</t>
  </si>
  <si>
    <t>SUSPENSÃO DIANTEIRA COM RUÍDO / PARABRISA TRINCADO</t>
  </si>
  <si>
    <t>BZG5H85</t>
  </si>
  <si>
    <t>CAVPM / SOROCABA</t>
  </si>
  <si>
    <t>3-288</t>
  </si>
  <si>
    <t>TROCA DOS 4 PNEUS, ALINHAMENTO E BALANCEAMENTO</t>
  </si>
  <si>
    <t>TROCA DA LÂMPADA FAROL (H7)</t>
  </si>
  <si>
    <t>REVISÃO DE DEVOLUÇÃO, AVALIAÇÃO DA SUSPENSÃO</t>
  </si>
  <si>
    <t>1-108</t>
  </si>
  <si>
    <t>REPARO NA BOBINA 1</t>
  </si>
  <si>
    <t>eef9f34</t>
  </si>
  <si>
    <t>TROCA DO RELÊ, BATERIA AUXILIAR/ REAPERTO NA SUSPENSÃO</t>
  </si>
  <si>
    <t>011/25</t>
  </si>
  <si>
    <t>REAPARO NAS PINÇAS E PASTILHAS DE FREIO DIANTEIRAS, REAPERTO NA SUSPENSÃO</t>
  </si>
  <si>
    <t>040/25</t>
  </si>
  <si>
    <t>STF4G15</t>
  </si>
  <si>
    <t>22-109</t>
  </si>
  <si>
    <t>NADA CONSTATADO</t>
  </si>
  <si>
    <t>041/25</t>
  </si>
  <si>
    <t>EFC8B30</t>
  </si>
  <si>
    <t>REPARO CORPO DE BORBOLETA</t>
  </si>
  <si>
    <t>050/25</t>
  </si>
  <si>
    <t>TROCA DA LÂMPADA DO FAROL BAIXO DIREITO, LÂMPADA DO FREIO ESQUERDO</t>
  </si>
  <si>
    <t>051/25</t>
  </si>
  <si>
    <t>AMORTECEDORES DIANT./ COXIM CAMBIO E MOTOR/ EMBREAGEM/CX DE DIREÇÃO/ ALINHAMENTO E BAL.</t>
  </si>
  <si>
    <t>062/25</t>
  </si>
  <si>
    <t>BOBINA REMANEJADA</t>
  </si>
  <si>
    <t>067-25</t>
  </si>
  <si>
    <t>VAZAMENTO DE ÓLEO MOTOR, VIDRO ENCARREGADO DEFEITO</t>
  </si>
  <si>
    <t>069/25</t>
  </si>
  <si>
    <t>103/25</t>
  </si>
  <si>
    <t>GDO0H52</t>
  </si>
  <si>
    <t>FIAT MOBI</t>
  </si>
  <si>
    <t>43º BPM/M</t>
  </si>
  <si>
    <t>8-38</t>
  </si>
  <si>
    <t>ALINHAMENTO ( NÃO REALIZADO, SEM PARAMETROS NA MAQUINA)</t>
  </si>
  <si>
    <t>104/25</t>
  </si>
  <si>
    <t>SVG6C48</t>
  </si>
  <si>
    <t>TROCA DE PREFIXO / TROCA DOS PNEUS / REVISÃO GERAL</t>
  </si>
  <si>
    <t>188/24</t>
  </si>
  <si>
    <t>201/24</t>
  </si>
  <si>
    <t>SSI2E35</t>
  </si>
  <si>
    <t>L200</t>
  </si>
  <si>
    <t>CARGA LENTA NA BATERIA</t>
  </si>
  <si>
    <t>234/24</t>
  </si>
  <si>
    <t>236/24</t>
  </si>
  <si>
    <t>DMT9D42</t>
  </si>
  <si>
    <t>15-181</t>
  </si>
  <si>
    <t>VULCANIZAÇÃO A FRIO PNEU DIANTEIRO</t>
  </si>
  <si>
    <t>247/24</t>
  </si>
  <si>
    <t xml:space="preserve">MUSEU </t>
  </si>
  <si>
    <t>SCANEADO O SISTEMA DE INJEÇÃO ELETRÔNICA</t>
  </si>
  <si>
    <t>17/10/2024</t>
  </si>
  <si>
    <t>251/24</t>
  </si>
  <si>
    <t>CMW-8067</t>
  </si>
  <si>
    <t>TROCA DA MANGUEIRA DO TANQUE DE COMBUSTIVEL( CARTÃO DE ADIANTAMENTO)</t>
  </si>
  <si>
    <t>260/24</t>
  </si>
  <si>
    <t>ALTERNADOR/ ARREFECIMENTO</t>
  </si>
  <si>
    <t>284/24</t>
  </si>
  <si>
    <t>TROCA DA LÂMPAA DA LANTERNA TRASEIRA ESQUERDA, TROCA DA LÂMPADA DA LANTERNA DIANTEIRA DIREITA</t>
  </si>
  <si>
    <t>454/23</t>
  </si>
  <si>
    <t>EEF-8705</t>
  </si>
  <si>
    <t>RETORNO DE OFICINA, NECESSITA REPARAR  O CHICOTE, TROCA DE BATERIA</t>
  </si>
  <si>
    <t>62/25</t>
  </si>
  <si>
    <t>DJM-8639</t>
  </si>
  <si>
    <t>PINTURA GERAL / REPAROS MOTOR E SUSPENSÃO</t>
  </si>
  <si>
    <t>AJUSTE</t>
  </si>
  <si>
    <t>EMH7J01</t>
  </si>
  <si>
    <t xml:space="preserve">12° BPMM </t>
  </si>
  <si>
    <t>M-12105</t>
  </si>
  <si>
    <t>APROVADA- AJUSTE DE FROTA</t>
  </si>
  <si>
    <t>M-12119</t>
  </si>
  <si>
    <t>APROVADA - AJUSTE DE FROTA</t>
  </si>
  <si>
    <t>12°BPMM</t>
  </si>
  <si>
    <t>M-12104</t>
  </si>
  <si>
    <t>APROVADA PARTE MECÂNICA - AJUSTE DE FROTA</t>
  </si>
  <si>
    <t>M-12102</t>
  </si>
  <si>
    <t>M-12107</t>
  </si>
  <si>
    <t xml:space="preserve">AJUSTE </t>
  </si>
  <si>
    <t>M-12106</t>
  </si>
  <si>
    <t>DWZ8F72</t>
  </si>
  <si>
    <t xml:space="preserve">12°BPMM </t>
  </si>
  <si>
    <t>M-12101</t>
  </si>
  <si>
    <t>AJUSTE DE FROTA</t>
  </si>
  <si>
    <t>12°BPM/M</t>
  </si>
  <si>
    <t>M-12304</t>
  </si>
  <si>
    <t>AJUSTE DE FROTA - REAVALIAÇÃO APROVADA - SAF</t>
  </si>
  <si>
    <t>12ºBPM/M</t>
  </si>
  <si>
    <t>M-12208</t>
  </si>
  <si>
    <t>GIW4H52</t>
  </si>
  <si>
    <t>M-12306</t>
  </si>
  <si>
    <t>PRIMEIRA AVALIAÇÃO - REPROVADA (SUSPENSÃO)</t>
  </si>
  <si>
    <t>GGO9I74</t>
  </si>
  <si>
    <t>M-12032</t>
  </si>
  <si>
    <t>PRIMEIRA AVALIAÇÃO - REPROVADA (SUSPENSÃO/ NÍVEL DO FLUÍDO DE FREIO BAIXO)</t>
  </si>
  <si>
    <t>DWK6B24</t>
  </si>
  <si>
    <t>M-12030</t>
  </si>
  <si>
    <t>REAVALIAÇÃO APROVADA - SAF</t>
  </si>
  <si>
    <t>EKJ1230</t>
  </si>
  <si>
    <t>M-12349</t>
  </si>
  <si>
    <t>PRIMEIRA AVALIAÇÃO - REPROVADA (VAZAMENTO DE ÓLEO/ INJEÇÃO ELETRÔNICA/ VARETA DE ÓLEO AVARIADA/)</t>
  </si>
  <si>
    <t>ENE4021</t>
  </si>
  <si>
    <t>12ºBM/M</t>
  </si>
  <si>
    <t>M-12218</t>
  </si>
  <si>
    <t>AJUSTE DE FROTA - REAVALIAÇÃO REPROVADA (FALTA DE ADITIVO NO RADIADOR)</t>
  </si>
  <si>
    <t>GGN0H06</t>
  </si>
  <si>
    <t>M-12204</t>
  </si>
  <si>
    <t>AJUSTE DE FROTA - REPROAVADA ( TREPIDAÇÃO CONJUNTO MOTOR E CÂMBIO) COXINS</t>
  </si>
  <si>
    <t>AV. RECOLHA</t>
  </si>
  <si>
    <t>EZP7J43</t>
  </si>
  <si>
    <t>16ºBPM/M</t>
  </si>
  <si>
    <t>M-16321</t>
  </si>
  <si>
    <t>REAVALIAÇÃO DE RECOLHA- REPROVADA</t>
  </si>
  <si>
    <t>OP VERÃO</t>
  </si>
  <si>
    <t>FJQ5G24</t>
  </si>
  <si>
    <t>E-06217</t>
  </si>
  <si>
    <t>OPERAÇÃO VERÃO - APROVADA</t>
  </si>
  <si>
    <t>DIH7A69</t>
  </si>
  <si>
    <t>E-15208</t>
  </si>
  <si>
    <t xml:space="preserve">AVALIAÇÃO OPERAÇÃO VERÃO REPROVADA ( FREIOS/ BANDEJAS) - FOI REALIZADO A TROCA DAS PASTILHAS </t>
  </si>
  <si>
    <t>APROVADA</t>
  </si>
  <si>
    <r>
      <rPr>
        <color rgb="FF1155CC"/>
        <u/>
      </rPr>
      <t>OP. VE</t>
    </r>
    <r>
      <rPr/>
      <t>RÃO</t>
    </r>
  </si>
  <si>
    <t>FHE7J52</t>
  </si>
  <si>
    <t>E-04111</t>
  </si>
  <si>
    <t>OP. VERÃO</t>
  </si>
  <si>
    <t>EFB5820</t>
  </si>
  <si>
    <t>E-07209</t>
  </si>
  <si>
    <t>OPERAÇÃO VERÃO - REPROVADA DISCO DE FREIO DIANTEIRO E PASTILHAS</t>
  </si>
  <si>
    <t>EFETUADO A TROCA DE DISCOS E PASTILHAS DIANT PELO BAEP</t>
  </si>
  <si>
    <r>
      <rPr>
        <color rgb="FF1155CC"/>
        <u/>
      </rPr>
      <t>OP.VE</t>
    </r>
    <r>
      <rPr/>
      <t>RÃO</t>
    </r>
  </si>
  <si>
    <t>EZT1E83</t>
  </si>
  <si>
    <t>E-04218</t>
  </si>
  <si>
    <t>REMANEJ</t>
  </si>
  <si>
    <t>EEF-9H27</t>
  </si>
  <si>
    <t>HIULUX</t>
  </si>
  <si>
    <t>3-58</t>
  </si>
  <si>
    <t>REAVALIAÇÃO REMANEJAMENTO</t>
  </si>
  <si>
    <t>S/Nº</t>
  </si>
  <si>
    <t>DJL78765</t>
  </si>
  <si>
    <t>REPARO NA FECHADURA DO PORTA MALAS E DA PORTA TRASEIRA ESQUERDA</t>
  </si>
  <si>
    <t>XXX</t>
  </si>
  <si>
    <t>REPARO NO CHICOTE DO SENSOR DO CINTO DE SEGURANÇA, REPARO NO CONECTOR DO AIRBAG E AVARIA NA LUZ DE BATERIA</t>
  </si>
  <si>
    <t>SUL0C38</t>
  </si>
  <si>
    <t>05.BPM/M</t>
  </si>
  <si>
    <t>M-05026</t>
  </si>
  <si>
    <t>REVISÃO GERAL  OP. VERÃO 23/24 APROVADA</t>
  </si>
  <si>
    <t>CFY 5F18</t>
  </si>
  <si>
    <t>VISTORIA DE APOIO A EXECUÇÃO CONTRATUAL, APROVADA</t>
  </si>
  <si>
    <t>GDC 5G41</t>
  </si>
  <si>
    <t>31.BPM/M</t>
  </si>
  <si>
    <r>
      <rPr>
        <rFont val="Arial"/>
        <color theme="1"/>
      </rPr>
      <t>VISTORIA  AJUSTE DE FROTA</t>
    </r>
    <r>
      <rPr>
        <rFont val="Lobster"/>
        <color theme="1"/>
      </rPr>
      <t xml:space="preserve"> REPROVADA</t>
    </r>
    <r>
      <rPr>
        <rFont val="Arial"/>
        <color theme="1"/>
      </rPr>
      <t xml:space="preserve"> OLEO DE MOTOR VENCIDO, TROCAR BUCHAS DAS BANDEJAS SUP. E INF.</t>
    </r>
  </si>
  <si>
    <t>BPO 4A01</t>
  </si>
  <si>
    <t>6.BPM/M</t>
  </si>
  <si>
    <t>M-06376</t>
  </si>
  <si>
    <t>VISTORIA  AJUSTE DE FROTA  APROVADA</t>
  </si>
  <si>
    <t>GFH 7G64</t>
  </si>
  <si>
    <t>M-17015</t>
  </si>
  <si>
    <t>17.BPM/M</t>
  </si>
  <si>
    <r>
      <rPr>
        <rFont val="Arial"/>
        <color theme="1"/>
      </rPr>
      <t>VISTORIA  AJUSTE DE FROTA</t>
    </r>
    <r>
      <rPr>
        <rFont val="Lobster"/>
        <color theme="1"/>
      </rPr>
      <t xml:space="preserve">  REPROVADA  </t>
    </r>
    <r>
      <rPr>
        <rFont val="Arial"/>
        <color theme="1"/>
      </rPr>
      <t xml:space="preserve">TROCAR AMORTECEDORES DIANT. E TRAS. COM BUCHAS, TROCAR BUCHAS DAS BANDEJAS SUP. E INF. TROCAR 4 PIVOS DA SUSP. DIANT. TROCAR KIT DOS AMORTECEDORES </t>
    </r>
  </si>
  <si>
    <t>ECT 2I17</t>
  </si>
  <si>
    <t>M-36017</t>
  </si>
  <si>
    <t>36.BPM/M</t>
  </si>
  <si>
    <t>VISTORIA  AJUSTE DE FROTA REPROVADA  TROCAR 4 PIVOS DAS BANDEJAS SUP. E INF. TROCAR 2 BRAÇOS AXIAIS DA CX. DIR. TROCAR 2 TERM. DIR. TROCAR BUCHAS DAS BANDEJA(8) VER. BARULHO FREIOS DIANT.</t>
  </si>
  <si>
    <t>REAVALIAÇÃO RECOLHA - APROVADA</t>
  </si>
  <si>
    <t>GHJ 3E32</t>
  </si>
  <si>
    <t>M-05305</t>
  </si>
  <si>
    <r>
      <rPr>
        <rFont val="Arial"/>
        <color theme="1"/>
      </rPr>
      <t>AVALIAÇÃO DE RECOLHA -</t>
    </r>
    <r>
      <rPr>
        <rFont val="Arial"/>
        <b/>
        <i/>
        <color theme="1"/>
      </rPr>
      <t xml:space="preserve"> REPROVADA</t>
    </r>
  </si>
  <si>
    <t>BOV5065</t>
  </si>
  <si>
    <t>M-05349</t>
  </si>
  <si>
    <r>
      <rPr>
        <rFont val="Arial"/>
        <color theme="1"/>
      </rPr>
      <t>AVALIAÇÃO DE RECOLHA -</t>
    </r>
    <r>
      <rPr>
        <rFont val="Arial"/>
        <b/>
        <i/>
        <color theme="1"/>
      </rPr>
      <t xml:space="preserve"> REPROVADA</t>
    </r>
  </si>
  <si>
    <t>T-02203</t>
  </si>
  <si>
    <t>REAVALIAÇÃO APROVADA</t>
  </si>
  <si>
    <t>XXXXX</t>
  </si>
  <si>
    <t>EVW5I67</t>
  </si>
  <si>
    <t>5 BPM/M</t>
  </si>
  <si>
    <t>M-05303</t>
  </si>
  <si>
    <r>
      <rPr>
        <rFont val="Arial"/>
        <color theme="1"/>
      </rPr>
      <t>AVALIAÇÃO DE RECOLHA-</t>
    </r>
    <r>
      <rPr>
        <rFont val="Arial"/>
        <b/>
        <i/>
        <color theme="1"/>
      </rPr>
      <t xml:space="preserve"> REPROVADA</t>
    </r>
  </si>
  <si>
    <t>DEU8445</t>
  </si>
  <si>
    <t>T-02312</t>
  </si>
  <si>
    <t>REAVALIAÇÃO - REPROVADA</t>
  </si>
  <si>
    <t>EEF9F33</t>
  </si>
  <si>
    <t>T-00063</t>
  </si>
  <si>
    <t xml:space="preserve">REAVALIAÇÃO - APROVADA </t>
  </si>
  <si>
    <t>FIP0G24</t>
  </si>
  <si>
    <t>REPARO NO FILTRO DE COMBUSTIVEL</t>
  </si>
  <si>
    <t>CPA-M11</t>
  </si>
  <si>
    <t>M-21029</t>
  </si>
  <si>
    <t>AVALIAÇÃO DE RECOLHA "REPROVADA"</t>
  </si>
  <si>
    <t>DMA6870</t>
  </si>
  <si>
    <t>46 BPM/M</t>
  </si>
  <si>
    <t>M-46311</t>
  </si>
  <si>
    <t>REAVALIAÇÃO DE RECOLHA - REPROVADA</t>
  </si>
  <si>
    <t>DZF1849</t>
  </si>
  <si>
    <t>M-46222</t>
  </si>
  <si>
    <t>AVALIAÇÃO DE RECOLHA- REPROVADA</t>
  </si>
  <si>
    <t>MONTAGEM DA MANGUEIRA DA TURBINA E FIXAÇÃO DA CAIXA DO FILTRO DE AR</t>
  </si>
  <si>
    <t>VISTORIA RAZI</t>
  </si>
  <si>
    <t>BZK6778</t>
  </si>
  <si>
    <t>05° BPM/M</t>
  </si>
  <si>
    <t>M-05352</t>
  </si>
  <si>
    <t>AVALIAÇÃO DE RECOLHA - REPROVADA</t>
  </si>
  <si>
    <t xml:space="preserve">    REPROVADA E LIBERADA</t>
  </si>
  <si>
    <t>05º BPM/M</t>
  </si>
  <si>
    <t>M-05337</t>
  </si>
  <si>
    <t>DLF7064</t>
  </si>
  <si>
    <t>43M</t>
  </si>
  <si>
    <t>AVALIAÇÃO DE RECOLHA (APROVADA)</t>
  </si>
  <si>
    <t>XXXXXX</t>
  </si>
  <si>
    <t>DJM1I45</t>
  </si>
  <si>
    <t>M-18011</t>
  </si>
  <si>
    <t>AVALIAÇÃO DE RECOLHA- APROVADA</t>
  </si>
  <si>
    <t>16BPMM</t>
  </si>
  <si>
    <t>M-16012</t>
  </si>
  <si>
    <t>REAVALIAÇÃO DE RECOLHA- APROVADA</t>
  </si>
  <si>
    <t>XXXXXXX</t>
  </si>
  <si>
    <t>M-31025</t>
  </si>
  <si>
    <t>REAVALIAÇÃO DE RECOLHA - APROVADA</t>
  </si>
  <si>
    <t>11BPM/M</t>
  </si>
  <si>
    <t>M-11110</t>
  </si>
  <si>
    <t>AVALIAÇÃO DE RECOLHA - APROVADA</t>
  </si>
  <si>
    <t>12BPM/M</t>
  </si>
  <si>
    <t>M-12</t>
  </si>
  <si>
    <t>REAVALIAÇÃO - APROVADA</t>
  </si>
  <si>
    <t>IPANEMA</t>
  </si>
  <si>
    <t>CMM/ HIST</t>
  </si>
  <si>
    <t>REVISÃO MECÂNICA E PARTE ELÉTRICA</t>
  </si>
  <si>
    <t>BRZ0752</t>
  </si>
  <si>
    <t>SANTANA</t>
  </si>
  <si>
    <t>REVISÃO ELÉTRICA E MECÂNICA</t>
  </si>
  <si>
    <t>DJP0578</t>
  </si>
  <si>
    <t>CLASSIC</t>
  </si>
  <si>
    <t>EXK4J24</t>
  </si>
  <si>
    <t>8°BAEP</t>
  </si>
  <si>
    <t>15-270</t>
  </si>
  <si>
    <t>COM DEVIDA AUTORIZAÇÃO DA MAJ. JULIANA E CAP. ANDRADE, FOI REALIZADO A TROCA DAS PASITILHAS DE FREIO DIANTEIRA POR "USADAS" E PASTILHAS TRASEIRA POR NOVAS</t>
  </si>
  <si>
    <t xml:space="preserve">AVALIAÇÃO EM OFICINA </t>
  </si>
  <si>
    <t xml:space="preserve">REMANEJAMENTO DE BATERIA </t>
  </si>
  <si>
    <t>T 02201</t>
  </si>
  <si>
    <t>EEF9F29</t>
  </si>
  <si>
    <t>T 00062</t>
  </si>
  <si>
    <t>T 00057</t>
  </si>
  <si>
    <t>EEF9H27</t>
  </si>
  <si>
    <t>T 00058</t>
  </si>
  <si>
    <t>EQV-8A52</t>
  </si>
  <si>
    <t>TROCA LÂMPADA FAROL NEBLINA L.E.</t>
  </si>
  <si>
    <t>BATERIA REALOCADA</t>
  </si>
  <si>
    <t>AVALIAÇÃO PARA CONTRATAÇÃO (VTR PERMANECE RODANDO)</t>
  </si>
  <si>
    <t>TROCA DOS FILTROS DE COMBUSTÍVEL</t>
  </si>
  <si>
    <t>GHC5I26</t>
  </si>
  <si>
    <t>CPI-4</t>
  </si>
  <si>
    <t>15-57</t>
  </si>
  <si>
    <t>TROCA DA TAMPA DO RESERVATÓRIO, SANGRIA DO SISTEMA DE ARREFECIMENTO, APOIO À UNIDADE EXTERNA</t>
  </si>
  <si>
    <t>SUBSTITUIÇÃO DE LÂMPADAS H7, REAPERTO GERAL DE PARAFUSOS (MOTOR/ACESSÓRIOS/PROTETOR CÁRTER ETC...)</t>
  </si>
  <si>
    <t>REAPERTO SUSPENSÃO DIANTEIRA / RODÍZIO DAS 04 RODAS. AUTORIZADO PELO TEN MESNARIC (SOCORRO EMERGENCIAL)</t>
  </si>
  <si>
    <t>EEF8682</t>
  </si>
  <si>
    <t>CPA-M/3</t>
  </si>
  <si>
    <t>15-213</t>
  </si>
  <si>
    <t>FALHA DE IGNIÇÃO- APOIO À OUTRA SUBFROTA</t>
  </si>
  <si>
    <t>PASTILHAS DE FREIO DIANTEIRO, LÂMPADAS DA LUZ DE PLACA, LÂMPADA DA LANTERNA TRASEIRA DIREITA</t>
  </si>
  <si>
    <t>REGULAGEM DA EMBREAGEM, REVISÃO ELÉTRICA</t>
  </si>
  <si>
    <t>REPARO NO CHICOTE DA PORTA TRASEIRA ESQUERDA, LÂMPADAS DOS FARÓIS, LÂMPADA DA LUZ DE PLACA, RECARGA NA BATERIA</t>
  </si>
  <si>
    <t>TROCA PNEU STEP, TROCA DISCOS E PASTILHAS FREIO TRAZ., TROCA LAMPADAS (PARA-BRISA CONTRATAÇÃO)</t>
  </si>
  <si>
    <t>TROCA DA BATERIA 75AMP</t>
  </si>
  <si>
    <t>TROCA DOS DISCOS E PASTILHAS DE FREIO DIANTEIRO + FLUIDO DE FREIO TROCA TOTAL</t>
  </si>
  <si>
    <t>112/25</t>
  </si>
  <si>
    <t>REAPERTO NO PARAFUSO DA POLIA DO CMDO DE VÁLVULAS, LIMPEZA PARCIAL DO MOTOR, REMOÇÃO DE VAZAMENTO DE ÓLEO</t>
  </si>
  <si>
    <t xml:space="preserve">TROCA DAS PALHETAS DO LIMPADOR </t>
  </si>
  <si>
    <t>BPQ-0C41</t>
  </si>
  <si>
    <t>TROCA DE PASTILHAS DE FREIOE DISCO DIANTEIRA E TRASEIRA ELIMPEZA DE SISTRMA DE FREDIO</t>
  </si>
  <si>
    <t>TROCA CALOTAS (REMANEJADA)</t>
  </si>
  <si>
    <t>FRH1B26</t>
  </si>
  <si>
    <t>TROCA DE BATERIA E PASTILHAS DE FREIO DIANTEIRO</t>
  </si>
  <si>
    <t>DJL1490</t>
  </si>
  <si>
    <t>POLO</t>
  </si>
  <si>
    <t>15-145</t>
  </si>
  <si>
    <t>MANUTENÇÃO GERAL</t>
  </si>
  <si>
    <t>113/25 OM</t>
  </si>
  <si>
    <t>TESTE BATERIA</t>
  </si>
  <si>
    <t>BARULHO NO CÂMBIO</t>
  </si>
  <si>
    <t>PEDAL DE FREIO BAIXANDO</t>
  </si>
  <si>
    <t>FZL3J67</t>
  </si>
  <si>
    <t>16° BPM/M</t>
  </si>
  <si>
    <t>M-16000</t>
  </si>
  <si>
    <t>TROCA DOS AMORTECEDORES DIANTEIRO E TRASEIRO/ DISCOS E PASTILHAS DE FREIO DIANTEIRO</t>
  </si>
  <si>
    <t>crpm</t>
  </si>
  <si>
    <t>TROCA DE ÓLEO E FILTROS DE ÓLEO E AR</t>
  </si>
  <si>
    <t>TROCA DAS LÂMPADAS H7/ RESET VIA SCANNER</t>
  </si>
  <si>
    <t>FILTRO DE COMB, FILTRO DE AR, FILTRO DE CABINE, PASTILHAS DIANT., DISCOS E PASTILHAS TRAZ.</t>
  </si>
  <si>
    <t>INSTALAÇÃO DE ESTRIBOS, CALOTA DA RODA TRASEIRA DIREITA REMANEJADA, LÃMPADA DO FAROL BAIXO DIREITO</t>
  </si>
  <si>
    <t>REAPERTO NA SUSPENSÃO</t>
  </si>
  <si>
    <t>AVALIAÇÃO DO CÂMBIO, NÃO FOI CONSTATADO AVARIAS</t>
  </si>
  <si>
    <t>CONTRATAÇÃO DA TROCA DA CORREIA DENTADA E DE SERVIÇO, VTR OPERANDO</t>
  </si>
  <si>
    <t>AVALIAÇÃO DE FREIO, AVALIAÇÃO DE SUSPENSÃO</t>
  </si>
  <si>
    <t>AVALIAÇÃO DO ESTADO DA BATERIA, VTR DE EMPRÉSTIMO SAF</t>
  </si>
  <si>
    <t>LAMPADA FAROL MILHA</t>
  </si>
  <si>
    <t>BARULHO NA RODA LADO ESQUERDO</t>
  </si>
  <si>
    <t>TROCA DE ÓLEO E FILTRO DO MOTOR, FILTROS DE AR E COMBUSTÍVEL</t>
  </si>
  <si>
    <t>TROCA PASTLHAS DE FREIO DIANT., REGULAGEM FREIO TRAZ, TROCA DE ÓLEO DO MOTOR E FILTROS</t>
  </si>
  <si>
    <t>TROCA LAMPADAS DE LUZ BAIXA E NEBLINA LE</t>
  </si>
  <si>
    <t>TROCA LAMPADA LUZ BAIXA LE</t>
  </si>
  <si>
    <t>SUSPENSÃO DIANTEIRA / SISTEMA DE FREIO</t>
  </si>
  <si>
    <t>SISTEM DE ARREFECIMENTO</t>
  </si>
  <si>
    <t>MANGUEIRA DO INTERCOOLER / PNEUS</t>
  </si>
  <si>
    <t>FGL2D76</t>
  </si>
  <si>
    <t>19° BPM/I</t>
  </si>
  <si>
    <t>I-17001</t>
  </si>
  <si>
    <t>SUBSTITUIÇÃO DO RADIADOR; FUSÍVEL E LIQUIDO DE ARREFECIMENTO (VIATURA APRESENTOU POSSÍVEL FALHA DE CONEXÃO COM O CHICOTE DO ELETROVENTILADOR</t>
  </si>
  <si>
    <t>EOE0117</t>
  </si>
  <si>
    <t>TROCA PASTILHAS DE FREIO DIANT E TRAZ, DISCOS DE FREIO DIANTEIRO, FLUIDO DE FREIO, FILTRO DE AR, FILTRO DE COMBUSTIVEL E FILTRO DE CABINE.</t>
  </si>
  <si>
    <t>BATERIA, SINAIS LUMINOSOS.</t>
  </si>
  <si>
    <t>PASTILHAS DIANT E TRAZ, FLUIDO DE FREIO, ÓLEO MOTOR, FILTRO DE ÓLEO, FILTRO DE AR, FILTRO DE COMBUST., FILTRO DE CABINE.</t>
  </si>
  <si>
    <t>REPARO NA PINÇA DE FREIO TARSEIRO DIREITO</t>
  </si>
  <si>
    <t>RED6G60</t>
  </si>
  <si>
    <t>RENEGADE</t>
  </si>
  <si>
    <t>15-79</t>
  </si>
  <si>
    <t>TROCA DE 2 PNEUS, ALINHAMENTO, BALANCEAMENTO, TROCA DE ÓLEO E FILTRO DE ÓLEO.</t>
  </si>
  <si>
    <t>TROCA DISCO E PASTILHAS DIANT, LONAS E CAMPANA TRAZ.</t>
  </si>
  <si>
    <t>SENSOR ABS RODA TRAZ. ESQUERDA</t>
  </si>
  <si>
    <t>SUSPENSÃO, BORRACHARIA</t>
  </si>
  <si>
    <t>FDR-1B54</t>
  </si>
  <si>
    <t>8-407</t>
  </si>
  <si>
    <t>TROCA DE PASTILHAS DE FREIO DIANTEIRA E TRASEIRA</t>
  </si>
  <si>
    <t>TROCA DE PASTILHAS DE FREIO TRAZEIRAS</t>
  </si>
  <si>
    <t>VIATURA TESTADA POR DIVERSAS VEZES, INCLUSIVE COM SCANER AUTOMOTIVO, E NÃO APRESENTOU O PROBLEMA RELATADO.</t>
  </si>
  <si>
    <t>TROCA DAS PALHETAS LIMPADORAS DO PARABRISA.</t>
  </si>
  <si>
    <t>114/25</t>
  </si>
  <si>
    <t>BARULHO NA SUSPENSÃO, AR CONDICIONADO, PNEU ESTOURADO, LÂMPADAS</t>
  </si>
  <si>
    <t>TROCA PASTILHAS DE FREIO DIANTEIRAS E TRAZEIRAS, TROCA DO FLUIDO DE FREIO</t>
  </si>
  <si>
    <t>TROCA DAS PASTILHAS E DISCOS DE FREIO TRASEIRO (PASTILHAS FORNECIDAS PELA UNIDADE)</t>
  </si>
  <si>
    <t>TROCA LAMPADA H7 LE E LAMPADA PINGÃO LD</t>
  </si>
  <si>
    <t>TROCA LAMPADA FAROL DE NEBLINA LD</t>
  </si>
  <si>
    <t>TROCA DA MANGUEIRA 'T"</t>
  </si>
  <si>
    <t>REVISÃO GERAL, VIDROS NÃO FUNCIONAM, TROCA DE LÂMPADAS</t>
  </si>
  <si>
    <t>TROCA LAMPADAS H7 E H27 LD, H27 LE REVISÃO CONETOR CHICOTE</t>
  </si>
  <si>
    <t>VAZAMENTO LÍQUIDO ARREFECIMENTO</t>
  </si>
  <si>
    <t>EMBREAGEM COMPLETA</t>
  </si>
  <si>
    <t>FCH0975</t>
  </si>
  <si>
    <t>8-886</t>
  </si>
  <si>
    <t>EMBREAGEM COMPLETA, JUNTA HOMOCINÉTICA COM COIFA LE, 08 PRISIONEIROS DE RODA COM PORCAS (DIANT.)</t>
  </si>
  <si>
    <t>TROCA DE DISCOS E PASTILHAS DE FREIO DIANTEIRAS</t>
  </si>
  <si>
    <t>TROCA DOS 04 PNEUS, TROCA DOS BRAÇOS AXIAIS LD E LE, ALINHAMENTO DE DIREÇÃO, BALANCEAMENTO DAS 04 RODAS</t>
  </si>
  <si>
    <t>TROCA DOS CABOS E VELAS</t>
  </si>
  <si>
    <t>SUSPENSÃO, PNEUS E MOTOR</t>
  </si>
  <si>
    <t>FTE6268</t>
  </si>
  <si>
    <t>BATERIA, SUSPENSÃO, VAZAMENTO NO SISTEMA DE ARREFECIMENTO, REVISÃO</t>
  </si>
  <si>
    <t>REVISÃO GERAL SISTEMA DE FREIOS</t>
  </si>
  <si>
    <t>FDV-9G46</t>
  </si>
  <si>
    <t>CORD OP PM</t>
  </si>
  <si>
    <t>1-192</t>
  </si>
  <si>
    <t>TROCA DE ÓLEO E FILTROS DE ÓLEO, AR E COMBUSTIVEL. TROCA DAS PASTILHAS DE FREIO, DIANTEIRA E TRASEIRA</t>
  </si>
  <si>
    <t>SUSPENSÃO, TROCA DAS PALHETAS DOS LIMPADORES DOS VIDROS</t>
  </si>
  <si>
    <t>PANE GERAL</t>
  </si>
  <si>
    <t>RECARGA BATERIA</t>
  </si>
  <si>
    <t>GAZ3E94</t>
  </si>
  <si>
    <t>22-1183</t>
  </si>
  <si>
    <t>TROCA DOS AMORTECEDORES DIANTEIROS (+ COIFA + BATENTE+ ROLAMENTO), TROCA DOS 04 PNEUS, ALINHAMENTO DE DIREÇÃO, BALANCEAMENTO DE RODAS, TROCA DA BATERIA 60 AMP, AVALIAÇÃO E REPARO DO SIST. DE AR COND.</t>
  </si>
  <si>
    <t>130/25</t>
  </si>
  <si>
    <t>TJL8D43</t>
  </si>
  <si>
    <t>FIAT SCUDO</t>
  </si>
  <si>
    <t>26-56</t>
  </si>
  <si>
    <t>BATERIA DESCARREGADA (ACIONADA GARANTIA ATRAVÉS DA UNIDADE)</t>
  </si>
  <si>
    <t xml:space="preserve">TROCA DOS ROLAMENTOS DO AMORTECEDORES </t>
  </si>
  <si>
    <t>ARREFECIMENTO/ SUSPENSÃO BARULHOS/ DIREÇÃO HIDRÁULICA</t>
  </si>
  <si>
    <t>TROCA PNEUS, DFISCOS E PASTILHAS DE FREIO TRAZEIRAS</t>
  </si>
  <si>
    <t>DIREÇÃO, FREIO DE ESTACIONAMENTO, BALANCEAMENTO.</t>
  </si>
  <si>
    <t>REPARO NO TRINCO DO PORTA MALAS</t>
  </si>
  <si>
    <t>INJEÇÃO ELETÔNICA, PALHETAS, CAMBIO, BANCO ENCARREGADO, SUSPENSÃO, LUMINOSOS E SONOROS</t>
  </si>
  <si>
    <t xml:space="preserve">AVALIAÇÃO PNEUS, EMBREAGEM, ROLAMENTO DE RODA TRASEIRA </t>
  </si>
  <si>
    <t>FREIOS, SUSPENSÃO (BARULHO DIANTEIRA LE)</t>
  </si>
  <si>
    <t>135/25</t>
  </si>
  <si>
    <t>SUSPENSÃO, AR CONDICIONADO, ALINHAMENTO E BALANCEAMENTO</t>
  </si>
  <si>
    <t>COORDOP PM 002</t>
  </si>
  <si>
    <t>REAJUSTE SENSOR DE ESTERÇO</t>
  </si>
  <si>
    <t>137/25</t>
  </si>
  <si>
    <t>REPARO FREIO</t>
  </si>
  <si>
    <t>REPARO ELÉTRICO ILUMINAÇÃO LANTERNA TRASEIRA</t>
  </si>
  <si>
    <t xml:space="preserve">CRUZE </t>
  </si>
  <si>
    <t>TROCA DAS PASTILHAS DO FREIO TRTAS. E DIANT.</t>
  </si>
  <si>
    <t>FREIOS</t>
  </si>
  <si>
    <t>BATERIA (TROCADA POR USADA REMANEJADA)</t>
  </si>
  <si>
    <t>TROCA DA BANDEJA SUSPENSÃO LD (REMANEJADA), TERMINAIS DE DIREÇÃO, ALINHAMENTO DIREÇÃO.</t>
  </si>
  <si>
    <t>139/25</t>
  </si>
  <si>
    <t>FJQ-9E35</t>
  </si>
  <si>
    <t>EEF87807</t>
  </si>
  <si>
    <t>1-121</t>
  </si>
  <si>
    <t>TROCA LAMPADA H11 LE, NEBLINA LD E LAMPADA DE PLACA</t>
  </si>
  <si>
    <t>MOTOR / SUSPENSÃO / MÓDULO / BANCOS DIANTEIROS / CÂMBIO. POSSIVEL DESCARGA</t>
  </si>
  <si>
    <t>ARREFECIMENTO E BORRACHARIA</t>
  </si>
  <si>
    <t>SUB CMT</t>
  </si>
  <si>
    <t>146/25</t>
  </si>
  <si>
    <t>TROCA DE LAMPADA H7 E PINGÃO PLACA</t>
  </si>
  <si>
    <t>TROCA DE BATERIA (USADA)</t>
  </si>
  <si>
    <t>FOH-8D21</t>
  </si>
  <si>
    <t>EEF-8701</t>
  </si>
  <si>
    <t>15-2045</t>
  </si>
  <si>
    <t>TROCA ENVOLVENTE AIRBAG VOLANTE</t>
  </si>
  <si>
    <t>APÓS REALIZADO SERVIÇO EM 11/11/25, SOLICITANTE NÃO RETIROU A VTR POIS ALEGOU OUTROS DEFEITOS</t>
  </si>
  <si>
    <t>TROCA DA MANGUEIRA SUPERIOR DO RAD.,TROCA DO COXIM DO MOTOR, TROCA DO CATALIZADOR,(PEÇAS REMANEJADAS) REVISÃO NO MOTOR DE ARRANQUE, ENCAMINHADA PARA SINALIZADORES.</t>
  </si>
  <si>
    <t>TROCA DA PALHETA DIANTEIRA</t>
  </si>
  <si>
    <t>FZM7H21</t>
  </si>
  <si>
    <t>8-1183</t>
  </si>
  <si>
    <t>LEITURA DO SISTEMA DE INJEÇÃO</t>
  </si>
  <si>
    <t>TRAILBLZER</t>
  </si>
  <si>
    <t>TROVA DE ÓLEO E FILTROS DE ÓLIO, AR, COMBUSTÍVEL E TROCA DE LÂMPADAS</t>
  </si>
  <si>
    <t>LAMPADA</t>
  </si>
  <si>
    <t>136/25</t>
  </si>
  <si>
    <t>SUSPENSÃO DIANTEIRA E TRASEIRA/ CAIXA DE DIREÇÃO/ REPARO NO PARACHOQUE E PARABARRO DIANTEIRO/ TROCA DE ÓLEO DO MOTOR E FILTROS, DESODORIZAÇÃO</t>
  </si>
  <si>
    <t>LIMPEZA DOS BICOS INJETORES, LIMPEZA DO TBI, TROCA DAS VELAS DE IGNIÇÃO, REPARO NA CINTA DO AIR BAG</t>
  </si>
  <si>
    <t>TROCA FLUÍDO DO FREIO</t>
  </si>
  <si>
    <t>EEF8712</t>
  </si>
  <si>
    <t>ECE SAF</t>
  </si>
  <si>
    <t>1-125</t>
  </si>
  <si>
    <t>REVISÃO DE DEVOLUÇÃO, DESODORIZAÇÃO</t>
  </si>
  <si>
    <t>TROCA DOS DISCOS E PASTILHAS TRASEIRA/ FLUIDO DE FREIO E REGULAGEM DO FREIO DE ESTACIONAMENTO</t>
  </si>
  <si>
    <t>REPARO NAS TAMPAS DOS FILTROS DE DIESEL</t>
  </si>
  <si>
    <t>REPARO NO RELÉ E BATERIA AUXILIAR</t>
  </si>
  <si>
    <t>REPARO NA BOBINA DO 1º CILINDRO, LIMPEZA DO TBI</t>
  </si>
  <si>
    <t>BATERIA (REMANEJADA - ACDELCO</t>
  </si>
  <si>
    <t>CORREIA DENTADA, TENSOR DA CORREIA DENTADA, BOMBA D'AGUA, LÂMPADAS</t>
  </si>
  <si>
    <t>TROCA DAS PASTILHAS E DISCOS DE FREIO DIANTEIRO, LÂMPADA DA LUZ DE PLACA, REGULAGEM DO FREIO DE ESTACIONAMENTO</t>
  </si>
  <si>
    <t>GJW4402</t>
  </si>
  <si>
    <t>CPI-08/001</t>
  </si>
  <si>
    <t>FALHA NO MOTOR ( APOIO A OUTRA SUBFROTA)</t>
  </si>
  <si>
    <t>TROCA DA LÂMPADA DA LANTERNA TRASEIRA, COMPLETADO ÓLEO DO MOTOR</t>
  </si>
  <si>
    <t>TROCA LÂMPADA FAROL NEBLINA L.D.</t>
  </si>
  <si>
    <t>LUZ DE FREIO</t>
  </si>
  <si>
    <t>FXA4A64</t>
  </si>
  <si>
    <t>CPI-8 ESCOLTA</t>
  </si>
  <si>
    <t>15-272</t>
  </si>
  <si>
    <t>TROCA DOS DISCOS E PASTILHAS DIANTEIRO E PNEUS TRASEIRO REMANEJADOS</t>
  </si>
  <si>
    <t>FKJ6H52</t>
  </si>
  <si>
    <t>15-112</t>
  </si>
  <si>
    <t>DTIC'</t>
  </si>
  <si>
    <t>FALTA DE COMBUSTÍVEL E BATERIA</t>
  </si>
  <si>
    <t>TROCA DOS 04 PNEUS</t>
  </si>
  <si>
    <t>LÂMPADA PINGÃO</t>
  </si>
  <si>
    <t>TROCA DAS 3 PALHETAS PARABRISA E LAMPADAS H27 E W5W</t>
  </si>
  <si>
    <t>REPARO NAS MANGUEIRAS DE PRESSÃO DA TURBINA</t>
  </si>
  <si>
    <t>REMANEJAMENTO ALTERNADOR</t>
  </si>
  <si>
    <t>TROCADA AS PASTILHAS DE FREIO DIANTEIRA E TRASEIRA</t>
  </si>
  <si>
    <t>EQD9J34</t>
  </si>
  <si>
    <t>15-180</t>
  </si>
  <si>
    <t>TTROCA DOS DISCOS E PASTILHAS DIANTEIRO E TRASEIRO</t>
  </si>
  <si>
    <t>TROCA DAS PALHETAS</t>
  </si>
  <si>
    <t>TROCA DE BATERIA E ALTERNADO REMANJEADO</t>
  </si>
  <si>
    <t>PNEUS ( FORAM COMPRADOS COM CARTÃO, ESTÃO NO ALMOX )</t>
  </si>
  <si>
    <t>TROCA DAS PALHETAS LIMPADOR DE PARA BRISA</t>
  </si>
  <si>
    <t>TROCA DAS BIELETAS, ALINHAMENTO DE DIREÇÃO</t>
  </si>
  <si>
    <t>REAPERTO BIELETAS, TROCA LÂMPADA FREIO LE</t>
  </si>
  <si>
    <t>TROCA DA CANALETA DO VIDRO DA PORTA DIANTEIRA DIREITA, PASTILHAS DE FREIO DIANTEIRA E TRASEIRA (COMPRADOS COM O CARTÃO DE ADIANTAMENTO), DISCOS DE FREIO DIANTEIRO E TRASEIRO</t>
  </si>
  <si>
    <t>AVALIAÇÃO DO COMPRESSOR DO AR CONDICIONADO(CONTRATAÇÃO COM VEÍCULO OPERANDO)</t>
  </si>
  <si>
    <t>TROCA DA BATERIA, TRAOCA DAS LÂMPADAS DA LUZ DE PLACA, FAROL BAIXO L.D., LANTERNAS TRASEIRAS</t>
  </si>
  <si>
    <t>TROCA DA BATERIA (75aH)</t>
  </si>
  <si>
    <t>CDV3429</t>
  </si>
  <si>
    <t>3-1070</t>
  </si>
  <si>
    <t xml:space="preserve">MOTOR </t>
  </si>
  <si>
    <t>8-834</t>
  </si>
  <si>
    <t>SUBSTITUIÇÃO DE BATERIA</t>
  </si>
  <si>
    <t>DEC MUSEU</t>
  </si>
  <si>
    <t>SUBSTITUIÇÃO DE BATERIA / MOTOR ARRANQUE / REV. ELÉTRICA</t>
  </si>
  <si>
    <t>LÃMPA FAROL BAIXO (H7) LADO ESQUERDO</t>
  </si>
  <si>
    <t>REVISÃO SISTEMA DE ARREFECIMENTO</t>
  </si>
  <si>
    <t>FPI-3C61</t>
  </si>
  <si>
    <t>TROCA DE ÓLEO E FILTROS, TROCA LâMPADA FAROL BAIXO L. E.</t>
  </si>
  <si>
    <t>INJEÇÃO</t>
  </si>
  <si>
    <t>COLOCAÇÃO E APERTO DE PARAFUSOA PARACHOQUE E TAMPA</t>
  </si>
  <si>
    <t>CHAVE DANIFICADA</t>
  </si>
  <si>
    <t>BYQ-7C54</t>
  </si>
  <si>
    <t>TROCA DE BATERIA E REGULAGEM DOS FARÓIS</t>
  </si>
  <si>
    <t>TROCA DE PASTILHAS DE FREIOS DIANT. E TRAS.</t>
  </si>
  <si>
    <t>DJM-8143</t>
  </si>
  <si>
    <t>EEF-04</t>
  </si>
  <si>
    <t>TROCA DA VÁLVULA TERMOSTÁTICA, JUNTA DO CARTER, OLEO MOTOR, FILTRO DE ÓLEO, FLUIDO DE ARREFECIMENTO.</t>
  </si>
  <si>
    <t>REVISÃO DE GERAL OK, LIBERADA P/ USO.</t>
  </si>
  <si>
    <t>GAB CMT</t>
  </si>
  <si>
    <t>EFETUADO TESTE DE RODAGEM, NÃO APRESENTOU DEFEITO, SOLICITADO MOT PARA ESCLARECER A RECLAMAÇAO</t>
  </si>
  <si>
    <t>CFY5786</t>
  </si>
  <si>
    <t>04 PNEUS 265/65R17, DUAS BIELETAS, ALINHAMENTO E BALANCEAMENTO</t>
  </si>
  <si>
    <t>3-1045</t>
  </si>
  <si>
    <t xml:space="preserve">REVISÃO GERAL </t>
  </si>
  <si>
    <t>TROCA DO ÓLEO E FILTRO DO CÂMBIO</t>
  </si>
  <si>
    <t>fsk1C14</t>
  </si>
  <si>
    <t>FQB 5482</t>
  </si>
  <si>
    <t>TROCA DAS LONAS DE FREIO E CAMPANAS, TROCA DO FLUIDO DE FREIO, TROCA DA TOMADA 12 VOLTS, CARGA DE GÁS NO SISTEMA DE AR CONDICIONADO.</t>
  </si>
  <si>
    <t>BATERIA, MOTOR DE ARRANQUE</t>
  </si>
  <si>
    <t xml:space="preserve">TROCA DA BATERIA E SENSOR TBI. </t>
  </si>
  <si>
    <t>TROCA DE LÂMPADA FAROL BAIXO L.D., AVALIAÇÃO DO CÂMBIO</t>
  </si>
  <si>
    <t>MUSEU</t>
  </si>
  <si>
    <t>EPA-2765</t>
  </si>
  <si>
    <t>REPARO ASSENTAMENTO PASTILHAS DE FREIO</t>
  </si>
  <si>
    <t>BOMBA DAGUA</t>
  </si>
  <si>
    <t>VTR NÃO LIGA ( SEM CHAVE DE IGNIÇÃO )/ ARREFECIMENTO/ CATALISADOR ENTUPIDO</t>
  </si>
  <si>
    <t>CORREIA DENTADA E TENSOR</t>
  </si>
  <si>
    <t>REPARO RELE DAS BATERIAS, TROCA DAS BATERIAS</t>
  </si>
  <si>
    <t>CMD GERAL</t>
  </si>
  <si>
    <t>004/26 MANUAL</t>
  </si>
  <si>
    <t>REALIZADO RECARGA DA BATERIA E ATUALIZAÇÃO NO SISTEMA DE ABTERIA AUXILIAR</t>
  </si>
  <si>
    <t>DTIC/DAS</t>
  </si>
  <si>
    <t>PNEUS, CAMBIO, GRAFISMO</t>
  </si>
  <si>
    <t>LÂMPADAS</t>
  </si>
  <si>
    <t>DUAS BATERIAS (AUX E PRINCIPAL)</t>
  </si>
  <si>
    <t>S/N</t>
  </si>
  <si>
    <t>005/25</t>
  </si>
  <si>
    <t>L200 TRITON</t>
  </si>
  <si>
    <t>GATE</t>
  </si>
  <si>
    <t>REPARO NO CHICOTE DA LANTERNA DO COMPARTIMENTO TRASEIRO, REPARO NO CHICOTE DA LANTERNA DE POSIÇÃO DIANTEIRA</t>
  </si>
  <si>
    <t>CORREIA DE SERVIÇO ESTOURADA, BATERIA SEM CARGA.</t>
  </si>
  <si>
    <t>TROCA PALHETAS LIMPADOR DE PARA-BRISA.</t>
  </si>
  <si>
    <t>TROCA DAS PASTILHAS DE FREIO DIANT. E TRAS., DISCOS DE FREIO DIANT. E TRAS., TROCA TOTAL DO FLUÍDO DE FREIO, ENCAMINHADO PARA O SETOR DE CONTRATOS PARA COMPLEMENTAÇÃO DE SERVIÇOS</t>
  </si>
  <si>
    <t>T-00058</t>
  </si>
  <si>
    <t>TROCA DA CORREIA DE SERVIÇO. TROCA DA LÂMPADA DE PLACA, LÂMPADA LANTERNA DE FREIO LE, LÂMPADA FAROL LD.</t>
  </si>
  <si>
    <t>GAB CMDO GER</t>
  </si>
  <si>
    <t>TROCA DOS PNEUS TRASEIROS</t>
  </si>
  <si>
    <t>REVISÃO: FREIOS/ SUSPENSÃO/ CORREIA DENTADA/ BOMBA D'ÁGUA/ COXIM DO MOTOR E CÃMBIO/ PNEUS DIANTEIRO</t>
  </si>
  <si>
    <t>FREIO, REVISÃO ELÉTRICA</t>
  </si>
  <si>
    <t>INFILTRAÇÃO DE ÁGUA PORTA MALAS</t>
  </si>
  <si>
    <t>CPA-M/11</t>
  </si>
  <si>
    <t>017/26</t>
  </si>
  <si>
    <t>FUNILARIA E PINTURA DO TETO, LAVAGEM E POLIMENTO GERAL, HIGIENIZAÇÃO INTERNA</t>
  </si>
  <si>
    <t>VAZAMENTO DE COMBUSTÍVEL</t>
  </si>
  <si>
    <t>TRAILBAZER</t>
  </si>
  <si>
    <t>fpf1f67</t>
  </si>
  <si>
    <t>CMM/ SAF</t>
  </si>
  <si>
    <t>LIMPEZA DA VÁLVULA DPF, TROCA DAS PASTILHAS DE FREIO DIANTEIRAS E TRAZEIRAS, TROCA DO FLUIDO DE FREIO, TROCA DOS AMORTECEDORES TRAZEIROS, LÂMPADAS H27 (NEBLINA), LÂMPADA DE FREIO.</t>
  </si>
  <si>
    <t>CPI-2</t>
  </si>
  <si>
    <t>CATALISADOR ENTUPIDO, REALIZADO REMANEJAMENTO DE PEÇA, LIMPEZA DO TBI E REPROGRAMAÇÃO DA INJEÇÃO ELETRÔNICA VIA SCANNER</t>
  </si>
  <si>
    <t>• AVALIAÇÃO DO FREIO E SUSPENSÃO.</t>
  </si>
  <si>
    <t>• TROCA DO LÍQUIDO DE ARREFECIMENTO.
• LIMPEZA NO SISTEMA.</t>
  </si>
  <si>
    <t>QTD EM EXECUÇÃO</t>
  </si>
  <si>
    <t>PRAZO EM EXECUÇÃO (DIAS)</t>
  </si>
  <si>
    <t>QTD FINALIZADOS</t>
  </si>
  <si>
    <t>PRAZO FINALIZADOS (DIAS)</t>
  </si>
  <si>
    <t>QTD DESCARGA EXECUÇÃO</t>
  </si>
  <si>
    <t>PRAZO EXECUÇÃO DESCARGA (DIAS)</t>
  </si>
  <si>
    <t>QTD DESCARGA FINALIZADO</t>
  </si>
  <si>
    <t>PRAZO FINALIZADOS DESCARGA (DIAS)</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</si>
</sst>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MM/yyyy"/>
    <numFmt numFmtId="165" formatCode="dd&quot;/&quot;mm&quot;/&quot;yyyy"/>
    <numFmt numFmtId="166" formatCode="dd/mm/yyyy"/>
    <numFmt numFmtId="167" formatCode="d-m"/>
    <numFmt numFmtId="168" formatCode="m-yyyy"/>
    <numFmt numFmtId="169" formatCode="dd-mm"/>
    <numFmt numFmtId="170" formatCode="d/m/yyyy"/>
    <numFmt numFmtId="171" formatCode="mm-yyyy"/>
    <numFmt numFmtId="172" formatCode="0.0"/>
  </numFmts>
  <fonts count="13">
    <font>
      <sz val="10.0"/>
      <color rgb="FF000000"/>
      <name val="Arial"/>
      <scheme val="minor"/>
    </font>
    <font>
      <b/>
      <sz val="12.0"/>
      <color theme="1"/>
      <name val="Calibri"/>
    </font>
    <font>
      <sz val="10.0"/>
      <color theme="1"/>
      <name val="Arial"/>
    </font>
    <font>
      <sz val="10.0"/>
      <color theme="1"/>
      <name val="Arial"/>
      <scheme val="minor"/>
    </font>
    <font>
      <b/>
      <color theme="1"/>
      <name val="Arial"/>
      <scheme val="minor"/>
    </font>
    <font>
      <color theme="1"/>
      <name val="Arial"/>
      <scheme val="minor"/>
    </font>
    <font>
      <color theme="1"/>
      <name val="Arial"/>
    </font>
    <font>
      <color rgb="FF031D41"/>
      <name val="Cairo"/>
    </font>
    <font>
      <color rgb="FF031D41"/>
      <name val="Arial"/>
      <scheme val="minor"/>
    </font>
    <font>
      <u/>
      <color rgb="FF0000FF"/>
    </font>
    <font>
      <u/>
      <color rgb="FF0000FF"/>
    </font>
    <font>
      <sz val="10.0"/>
      <color rgb="FF000000"/>
      <name val="Ui-monospace"/>
    </font>
    <font>
      <b/>
      <color theme="1"/>
      <name val="Arial"/>
    </font>
  </fonts>
  <fills count="11">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theme="0"/>
        <bgColor theme="0"/>
      </patternFill>
    </fill>
    <fill>
      <patternFill patternType="solid">
        <fgColor rgb="FFFFFF00"/>
        <bgColor rgb="FFFFFF00"/>
      </patternFill>
    </fill>
    <fill>
      <patternFill patternType="solid">
        <fgColor rgb="FFEFEFEF"/>
        <bgColor rgb="FFEFEFEF"/>
      </patternFill>
    </fill>
    <fill>
      <patternFill patternType="solid">
        <fgColor rgb="FFCFE2F3"/>
        <bgColor rgb="FFCFE2F3"/>
      </patternFill>
    </fill>
    <fill>
      <patternFill patternType="solid">
        <fgColor rgb="FF00FF00"/>
        <bgColor rgb="FF00FF00"/>
      </patternFill>
    </fill>
    <fill>
      <patternFill patternType="solid">
        <fgColor rgb="FFFF0000"/>
        <bgColor rgb="FFFF0000"/>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71">
    <xf borderId="0" fillId="0" fontId="0" numFmtId="0" xfId="0" applyAlignment="1" applyFont="1">
      <alignment readingOrder="0" shrinkToFit="0" vertical="bottom" wrapText="0"/>
    </xf>
    <xf borderId="0" fillId="2" fontId="1" numFmtId="0" xfId="0" applyAlignment="1" applyFill="1" applyFont="1">
      <alignment horizontal="center"/>
    </xf>
    <xf borderId="0" fillId="2" fontId="1" numFmtId="0" xfId="0" applyAlignment="1" applyFont="1">
      <alignment horizontal="center"/>
    </xf>
    <xf borderId="0" fillId="2" fontId="1" numFmtId="0" xfId="0" applyAlignment="1" applyFont="1">
      <alignment horizontal="right"/>
    </xf>
    <xf borderId="0" fillId="2" fontId="1" numFmtId="0" xfId="0" applyAlignment="1" applyFont="1">
      <alignment horizontal="center" shrinkToFit="0" wrapText="1"/>
    </xf>
    <xf borderId="0" fillId="2" fontId="1" numFmtId="0" xfId="0" applyAlignment="1" applyFont="1">
      <alignment horizontal="center" shrinkToFit="0" wrapText="1"/>
    </xf>
    <xf borderId="0" fillId="3" fontId="2" numFmtId="49" xfId="0" applyAlignment="1" applyFill="1" applyFont="1" applyNumberFormat="1">
      <alignment horizontal="center" shrinkToFit="0" vertical="bottom" wrapText="1"/>
    </xf>
    <xf borderId="0" fillId="3" fontId="2" numFmtId="0" xfId="0" applyAlignment="1" applyFont="1">
      <alignment horizontal="center" shrinkToFit="0" vertical="bottom" wrapText="1"/>
    </xf>
    <xf borderId="0" fillId="3" fontId="2" numFmtId="0" xfId="0" applyAlignment="1" applyFont="1">
      <alignment vertical="bottom"/>
    </xf>
    <xf borderId="0" fillId="3" fontId="2" numFmtId="164" xfId="0" applyAlignment="1" applyFont="1" applyNumberFormat="1">
      <alignment horizontal="center" shrinkToFit="0" vertical="bottom" wrapText="1"/>
    </xf>
    <xf borderId="0" fillId="3" fontId="2" numFmtId="0" xfId="0" applyAlignment="1" applyFont="1">
      <alignment horizontal="center" vertical="bottom"/>
    </xf>
    <xf borderId="0" fillId="3" fontId="2" numFmtId="165" xfId="0" applyAlignment="1" applyFont="1" applyNumberFormat="1">
      <alignment horizontal="center" shrinkToFit="0" vertical="bottom" wrapText="1"/>
    </xf>
    <xf borderId="0" fillId="0" fontId="2" numFmtId="0" xfId="0" applyAlignment="1" applyFont="1">
      <alignment vertical="bottom"/>
    </xf>
    <xf borderId="0" fillId="4" fontId="2" numFmtId="49" xfId="0" applyAlignment="1" applyFill="1" applyFont="1" applyNumberFormat="1">
      <alignment horizontal="center" readingOrder="0" shrinkToFit="0" vertical="bottom" wrapText="1"/>
    </xf>
    <xf borderId="0" fillId="4" fontId="2" numFmtId="0" xfId="0" applyAlignment="1" applyFont="1">
      <alignment horizontal="center" readingOrder="0" shrinkToFit="0" vertical="bottom" wrapText="1"/>
    </xf>
    <xf borderId="0" fillId="4" fontId="2" numFmtId="0" xfId="0" applyAlignment="1" applyFont="1">
      <alignment horizontal="right" readingOrder="0" vertical="bottom"/>
    </xf>
    <xf borderId="0" fillId="4" fontId="2" numFmtId="164" xfId="0" applyAlignment="1" applyFont="1" applyNumberFormat="1">
      <alignment horizontal="center" readingOrder="0" shrinkToFit="0" vertical="bottom" wrapText="1"/>
    </xf>
    <xf borderId="0" fillId="4" fontId="2" numFmtId="0" xfId="0" applyAlignment="1" applyFont="1">
      <alignment horizontal="center" vertical="bottom"/>
    </xf>
    <xf borderId="0" fillId="4" fontId="2" numFmtId="0" xfId="0" applyAlignment="1" applyFont="1">
      <alignment readingOrder="0" vertical="bottom"/>
    </xf>
    <xf borderId="0" fillId="4" fontId="2" numFmtId="165" xfId="0" applyAlignment="1" applyFont="1" applyNumberFormat="1">
      <alignment horizontal="center" readingOrder="0" shrinkToFit="0" vertical="bottom" wrapText="1"/>
    </xf>
    <xf borderId="0" fillId="3" fontId="2" numFmtId="49" xfId="0" applyAlignment="1" applyFont="1" applyNumberFormat="1">
      <alignment horizontal="center" readingOrder="0" shrinkToFit="0" vertical="bottom" wrapText="1"/>
    </xf>
    <xf borderId="0" fillId="3" fontId="2" numFmtId="0" xfId="0" applyAlignment="1" applyFont="1">
      <alignment horizontal="center" readingOrder="0" shrinkToFit="0" vertical="bottom" wrapText="1"/>
    </xf>
    <xf borderId="0" fillId="3" fontId="2" numFmtId="0" xfId="0" applyAlignment="1" applyFont="1">
      <alignment horizontal="right" readingOrder="0" vertical="bottom"/>
    </xf>
    <xf borderId="0" fillId="3" fontId="2" numFmtId="164" xfId="0" applyAlignment="1" applyFont="1" applyNumberFormat="1">
      <alignment horizontal="center" readingOrder="0" shrinkToFit="0" vertical="bottom" wrapText="1"/>
    </xf>
    <xf borderId="0" fillId="3" fontId="2" numFmtId="0" xfId="0" applyAlignment="1" applyFont="1">
      <alignment readingOrder="0" vertical="bottom"/>
    </xf>
    <xf borderId="0" fillId="3" fontId="2" numFmtId="165" xfId="0" applyAlignment="1" applyFont="1" applyNumberFormat="1">
      <alignment horizontal="center" readingOrder="0" shrinkToFit="0" vertical="bottom" wrapText="1"/>
    </xf>
    <xf borderId="0" fillId="4" fontId="2" numFmtId="49" xfId="0" applyAlignment="1" applyFont="1" applyNumberFormat="1">
      <alignment horizontal="center" shrinkToFit="0" vertical="bottom" wrapText="1"/>
    </xf>
    <xf borderId="0" fillId="4" fontId="2" numFmtId="0" xfId="0" applyAlignment="1" applyFont="1">
      <alignment horizontal="center" shrinkToFit="0" vertical="bottom" wrapText="1"/>
    </xf>
    <xf borderId="0" fillId="4" fontId="2" numFmtId="0" xfId="0" applyAlignment="1" applyFont="1">
      <alignment vertical="bottom"/>
    </xf>
    <xf borderId="0" fillId="4" fontId="2" numFmtId="164" xfId="0" applyAlignment="1" applyFont="1" applyNumberFormat="1">
      <alignment horizontal="center" shrinkToFit="0" vertical="bottom" wrapText="1"/>
    </xf>
    <xf borderId="0" fillId="4" fontId="2" numFmtId="165" xfId="0" applyAlignment="1" applyFont="1" applyNumberFormat="1">
      <alignment horizontal="center" shrinkToFit="0" vertical="bottom" wrapText="1"/>
    </xf>
    <xf borderId="0" fillId="3" fontId="2" numFmtId="0" xfId="0" applyAlignment="1" applyFont="1">
      <alignment horizontal="right" vertical="bottom"/>
    </xf>
    <xf borderId="0" fillId="4" fontId="2" numFmtId="0" xfId="0" applyAlignment="1" applyFont="1">
      <alignment horizontal="right" vertical="bottom"/>
    </xf>
    <xf borderId="0" fillId="3" fontId="2" numFmtId="165" xfId="0" applyAlignment="1" applyFont="1" applyNumberFormat="1">
      <alignment readingOrder="0" vertical="bottom"/>
    </xf>
    <xf borderId="0" fillId="3" fontId="2" numFmtId="165" xfId="0" applyAlignment="1" applyFont="1" applyNumberFormat="1">
      <alignment vertical="bottom"/>
    </xf>
    <xf borderId="0" fillId="4" fontId="2" numFmtId="165" xfId="0" applyAlignment="1" applyFont="1" applyNumberFormat="1">
      <alignment vertical="bottom"/>
    </xf>
    <xf borderId="0" fillId="4" fontId="2" numFmtId="0" xfId="0" applyAlignment="1" applyFont="1">
      <alignment horizontal="center" vertical="bottom"/>
    </xf>
    <xf borderId="0" fillId="4" fontId="2" numFmtId="0" xfId="0" applyAlignment="1" applyFont="1">
      <alignment readingOrder="0" vertical="bottom"/>
    </xf>
    <xf borderId="0" fillId="5" fontId="2" numFmtId="49" xfId="0" applyAlignment="1" applyFill="1" applyFont="1" applyNumberFormat="1">
      <alignment horizontal="center" shrinkToFit="0" vertical="bottom" wrapText="1"/>
    </xf>
    <xf borderId="0" fillId="5" fontId="2" numFmtId="0" xfId="0" applyAlignment="1" applyFont="1">
      <alignment horizontal="center" shrinkToFit="0" vertical="bottom" wrapText="1"/>
    </xf>
    <xf borderId="0" fillId="5" fontId="2" numFmtId="0" xfId="0" applyAlignment="1" applyFont="1">
      <alignment horizontal="right" vertical="bottom"/>
    </xf>
    <xf borderId="0" fillId="5" fontId="2" numFmtId="164" xfId="0" applyAlignment="1" applyFont="1" applyNumberFormat="1">
      <alignment horizontal="center" shrinkToFit="0" vertical="bottom" wrapText="1"/>
    </xf>
    <xf borderId="0" fillId="5" fontId="2" numFmtId="0" xfId="0" applyAlignment="1" applyFont="1">
      <alignment horizontal="center" vertical="bottom"/>
    </xf>
    <xf borderId="0" fillId="5" fontId="2" numFmtId="0" xfId="0" applyAlignment="1" applyFont="1">
      <alignment vertical="bottom"/>
    </xf>
    <xf borderId="0" fillId="5" fontId="2" numFmtId="165" xfId="0" applyAlignment="1" applyFont="1" applyNumberFormat="1">
      <alignment vertical="bottom"/>
    </xf>
    <xf borderId="0" fillId="3" fontId="2" numFmtId="49" xfId="0" applyAlignment="1" applyFont="1" applyNumberFormat="1">
      <alignment horizontal="center" shrinkToFit="0" vertical="bottom" wrapText="1"/>
    </xf>
    <xf borderId="0" fillId="3" fontId="2" numFmtId="0" xfId="0" applyAlignment="1" applyFont="1">
      <alignment horizontal="center" shrinkToFit="0" vertical="bottom" wrapText="1"/>
    </xf>
    <xf borderId="0" fillId="3" fontId="2" numFmtId="0" xfId="0" applyAlignment="1" applyFont="1">
      <alignment horizontal="right" vertical="bottom"/>
    </xf>
    <xf borderId="0" fillId="3" fontId="2" numFmtId="164" xfId="0" applyAlignment="1" applyFont="1" applyNumberFormat="1">
      <alignment horizontal="center" shrinkToFit="0" vertical="bottom" wrapText="1"/>
    </xf>
    <xf borderId="0" fillId="3" fontId="2" numFmtId="0" xfId="0" applyAlignment="1" applyFont="1">
      <alignment horizontal="center" vertical="bottom"/>
    </xf>
    <xf borderId="0" fillId="3" fontId="2" numFmtId="0" xfId="0" applyAlignment="1" applyFont="1">
      <alignment vertical="bottom"/>
    </xf>
    <xf borderId="0" fillId="3" fontId="2" numFmtId="165" xfId="0" applyAlignment="1" applyFont="1" applyNumberFormat="1">
      <alignment vertical="bottom"/>
    </xf>
    <xf borderId="0" fillId="4" fontId="2" numFmtId="49" xfId="0" applyAlignment="1" applyFont="1" applyNumberFormat="1">
      <alignment horizontal="center" readingOrder="0" shrinkToFit="0" vertical="bottom" wrapText="1"/>
    </xf>
    <xf borderId="0" fillId="4" fontId="2" numFmtId="0" xfId="0" applyAlignment="1" applyFont="1">
      <alignment horizontal="center" readingOrder="0" shrinkToFit="0" vertical="bottom" wrapText="1"/>
    </xf>
    <xf borderId="0" fillId="4" fontId="2" numFmtId="0" xfId="0" applyAlignment="1" applyFont="1">
      <alignment readingOrder="0" vertical="bottom"/>
    </xf>
    <xf borderId="0" fillId="4" fontId="2" numFmtId="164" xfId="0" applyAlignment="1" applyFont="1" applyNumberFormat="1">
      <alignment horizontal="center" readingOrder="0" shrinkToFit="0" vertical="bottom" wrapText="1"/>
    </xf>
    <xf borderId="0" fillId="4" fontId="2" numFmtId="0" xfId="0" applyAlignment="1" applyFont="1">
      <alignment horizontal="center" vertical="bottom"/>
    </xf>
    <xf borderId="0" fillId="4" fontId="2" numFmtId="165" xfId="0" applyAlignment="1" applyFont="1" applyNumberFormat="1">
      <alignment readingOrder="0" vertical="bottom"/>
    </xf>
    <xf borderId="0" fillId="4" fontId="2" numFmtId="0" xfId="0" applyAlignment="1" applyFont="1">
      <alignment vertical="bottom"/>
    </xf>
    <xf borderId="0" fillId="4" fontId="2" numFmtId="49" xfId="0" applyAlignment="1" applyFont="1" applyNumberFormat="1">
      <alignment horizontal="center" shrinkToFit="0" vertical="bottom" wrapText="1"/>
    </xf>
    <xf borderId="0" fillId="4" fontId="2" numFmtId="0" xfId="0" applyAlignment="1" applyFont="1">
      <alignment horizontal="center" shrinkToFit="0" vertical="bottom" wrapText="1"/>
    </xf>
    <xf borderId="0" fillId="4" fontId="2" numFmtId="0" xfId="0" applyAlignment="1" applyFont="1">
      <alignment horizontal="right" vertical="bottom"/>
    </xf>
    <xf borderId="0" fillId="4" fontId="2" numFmtId="164" xfId="0" applyAlignment="1" applyFont="1" applyNumberFormat="1">
      <alignment horizontal="center" shrinkToFit="0" vertical="bottom" wrapText="1"/>
    </xf>
    <xf borderId="0" fillId="4" fontId="2" numFmtId="165" xfId="0" applyAlignment="1" applyFont="1" applyNumberFormat="1">
      <alignment horizontal="center" shrinkToFit="0" vertical="bottom" wrapText="1"/>
    </xf>
    <xf borderId="0" fillId="4" fontId="2" numFmtId="165" xfId="0" applyAlignment="1" applyFont="1" applyNumberFormat="1">
      <alignment vertical="bottom"/>
    </xf>
    <xf borderId="0" fillId="3" fontId="2" numFmtId="165" xfId="0" applyAlignment="1" applyFont="1" applyNumberFormat="1">
      <alignment horizontal="center" shrinkToFit="0" vertical="bottom" wrapText="1"/>
    </xf>
    <xf borderId="0" fillId="4" fontId="2" numFmtId="0" xfId="0" applyAlignment="1" applyFont="1">
      <alignment horizontal="right" readingOrder="0" vertical="bottom"/>
    </xf>
    <xf borderId="0" fillId="4" fontId="3" numFmtId="3" xfId="0" applyAlignment="1" applyFont="1" applyNumberFormat="1">
      <alignment horizontal="center" readingOrder="0"/>
    </xf>
    <xf borderId="0" fillId="4" fontId="3" numFmtId="0" xfId="0" applyAlignment="1" applyFont="1">
      <alignment horizontal="left" readingOrder="0"/>
    </xf>
    <xf borderId="0" fillId="4" fontId="3" numFmtId="0" xfId="0" applyAlignment="1" applyFont="1">
      <alignment horizontal="center" readingOrder="0"/>
    </xf>
    <xf borderId="0" fillId="4" fontId="3" numFmtId="0" xfId="0" applyAlignment="1" applyFont="1">
      <alignment horizontal="right" readingOrder="0"/>
    </xf>
    <xf borderId="0" fillId="4" fontId="3" numFmtId="166" xfId="0" applyAlignment="1" applyFont="1" applyNumberFormat="1">
      <alignment horizontal="right" readingOrder="0"/>
    </xf>
    <xf borderId="0" fillId="4" fontId="3" numFmtId="0" xfId="0" applyAlignment="1" applyFont="1">
      <alignment horizontal="center"/>
    </xf>
    <xf borderId="0" fillId="4" fontId="3" numFmtId="0" xfId="0" applyAlignment="1" applyFont="1">
      <alignment readingOrder="0"/>
    </xf>
    <xf borderId="0" fillId="4" fontId="3" numFmtId="166" xfId="0" applyAlignment="1" applyFont="1" applyNumberFormat="1">
      <alignment readingOrder="0"/>
    </xf>
    <xf borderId="0" fillId="4" fontId="3" numFmtId="0" xfId="0" applyFont="1"/>
    <xf borderId="0" fillId="3" fontId="2" numFmtId="49" xfId="0" applyAlignment="1" applyFont="1" applyNumberFormat="1">
      <alignment horizontal="center" readingOrder="0" shrinkToFit="0" vertical="bottom" wrapText="1"/>
    </xf>
    <xf borderId="0" fillId="3" fontId="2" numFmtId="0" xfId="0" applyAlignment="1" applyFont="1">
      <alignment horizontal="center" readingOrder="0" shrinkToFit="0" vertical="bottom" wrapText="1"/>
    </xf>
    <xf borderId="0" fillId="3" fontId="2" numFmtId="0" xfId="0" applyAlignment="1" applyFont="1">
      <alignment horizontal="right" readingOrder="0" vertical="bottom"/>
    </xf>
    <xf borderId="0" fillId="3" fontId="2" numFmtId="164" xfId="0" applyAlignment="1" applyFont="1" applyNumberFormat="1">
      <alignment horizontal="center" readingOrder="0" shrinkToFit="0" vertical="bottom" wrapText="1"/>
    </xf>
    <xf borderId="0" fillId="3" fontId="2" numFmtId="0" xfId="0" applyAlignment="1" applyFont="1">
      <alignment readingOrder="0" vertical="bottom"/>
    </xf>
    <xf borderId="0" fillId="3" fontId="2" numFmtId="165" xfId="0" applyAlignment="1" applyFont="1" applyNumberFormat="1">
      <alignment horizontal="center" readingOrder="0" shrinkToFit="0" vertical="bottom" wrapText="1"/>
    </xf>
    <xf borderId="0" fillId="3" fontId="2" numFmtId="165" xfId="0" applyAlignment="1" applyFont="1" applyNumberFormat="1">
      <alignment readingOrder="0" vertical="bottom"/>
    </xf>
    <xf borderId="0" fillId="3" fontId="2" numFmtId="0" xfId="0" applyAlignment="1" applyFont="1">
      <alignment readingOrder="0" vertical="bottom"/>
    </xf>
    <xf borderId="0" fillId="4" fontId="2" numFmtId="165" xfId="0" applyAlignment="1" applyFont="1" applyNumberFormat="1">
      <alignment horizontal="center" readingOrder="0" shrinkToFit="0" vertical="bottom" wrapText="1"/>
    </xf>
    <xf borderId="0" fillId="4" fontId="2" numFmtId="0" xfId="0" applyAlignment="1" applyFont="1">
      <alignment readingOrder="0" vertical="bottom"/>
    </xf>
    <xf borderId="0" fillId="4" fontId="2" numFmtId="166" xfId="0" applyAlignment="1" applyFont="1" applyNumberFormat="1">
      <alignment horizontal="center" readingOrder="0" shrinkToFit="0" vertical="bottom" wrapText="1"/>
    </xf>
    <xf borderId="0" fillId="4" fontId="2" numFmtId="166" xfId="0" applyAlignment="1" applyFont="1" applyNumberFormat="1">
      <alignment horizontal="center" shrinkToFit="0" vertical="bottom" wrapText="1"/>
    </xf>
    <xf borderId="0" fillId="4" fontId="3" numFmtId="0" xfId="0" applyAlignment="1" applyFont="1">
      <alignment horizontal="right"/>
    </xf>
    <xf borderId="0" fillId="3" fontId="3" numFmtId="3" xfId="0" applyAlignment="1" applyFont="1" applyNumberFormat="1">
      <alignment horizontal="center" readingOrder="0"/>
    </xf>
    <xf borderId="0" fillId="3" fontId="3" numFmtId="0" xfId="0" applyAlignment="1" applyFont="1">
      <alignment horizontal="left" readingOrder="0"/>
    </xf>
    <xf borderId="0" fillId="3" fontId="3" numFmtId="0" xfId="0" applyAlignment="1" applyFont="1">
      <alignment horizontal="center" readingOrder="0"/>
    </xf>
    <xf borderId="0" fillId="3" fontId="3" numFmtId="167" xfId="0" applyAlignment="1" applyFont="1" applyNumberFormat="1">
      <alignment horizontal="right" readingOrder="0"/>
    </xf>
    <xf borderId="0" fillId="3" fontId="3" numFmtId="166" xfId="0" applyAlignment="1" applyFont="1" applyNumberFormat="1">
      <alignment horizontal="right" readingOrder="0"/>
    </xf>
    <xf borderId="0" fillId="3" fontId="3" numFmtId="0" xfId="0" applyAlignment="1" applyFont="1">
      <alignment horizontal="center"/>
    </xf>
    <xf borderId="0" fillId="3" fontId="3" numFmtId="0" xfId="0" applyAlignment="1" applyFont="1">
      <alignment readingOrder="0"/>
    </xf>
    <xf borderId="0" fillId="3" fontId="3" numFmtId="166" xfId="0" applyAlignment="1" applyFont="1" applyNumberFormat="1">
      <alignment readingOrder="0"/>
    </xf>
    <xf borderId="0" fillId="3" fontId="3" numFmtId="0" xfId="0" applyAlignment="1" applyFont="1">
      <alignment readingOrder="0"/>
    </xf>
    <xf borderId="0" fillId="3" fontId="3" numFmtId="0" xfId="0" applyFont="1"/>
    <xf borderId="0" fillId="3" fontId="2" numFmtId="49" xfId="0" applyAlignment="1" applyFont="1" applyNumberFormat="1">
      <alignment vertical="bottom"/>
    </xf>
    <xf borderId="0" fillId="3" fontId="2" numFmtId="166" xfId="0" applyAlignment="1" applyFont="1" applyNumberFormat="1">
      <alignment horizontal="center" shrinkToFit="0" vertical="bottom" wrapText="1"/>
    </xf>
    <xf borderId="0" fillId="3" fontId="3" numFmtId="0" xfId="0" applyAlignment="1" applyFont="1">
      <alignment horizontal="right" readingOrder="0"/>
    </xf>
    <xf borderId="0" fillId="3" fontId="3" numFmtId="0" xfId="0" applyAlignment="1" applyFont="1">
      <alignment horizontal="right"/>
    </xf>
    <xf borderId="0" fillId="4" fontId="3" numFmtId="0" xfId="0" applyAlignment="1" applyFont="1">
      <alignment readingOrder="0"/>
    </xf>
    <xf borderId="0" fillId="3" fontId="2" numFmtId="49" xfId="0" applyAlignment="1" applyFont="1" applyNumberFormat="1">
      <alignment horizontal="center" vertical="bottom"/>
    </xf>
    <xf borderId="0" fillId="3" fontId="2" numFmtId="0" xfId="0" applyAlignment="1" applyFont="1">
      <alignment horizontal="center" vertical="bottom"/>
    </xf>
    <xf borderId="0" fillId="4" fontId="2" numFmtId="49" xfId="0" applyAlignment="1" applyFont="1" applyNumberFormat="1">
      <alignment horizontal="center" vertical="bottom"/>
    </xf>
    <xf borderId="0" fillId="4" fontId="2" numFmtId="0" xfId="0" applyAlignment="1" applyFont="1">
      <alignment horizontal="center" vertical="bottom"/>
    </xf>
    <xf borderId="0" fillId="3" fontId="2" numFmtId="49" xfId="0" applyAlignment="1" applyFont="1" applyNumberFormat="1">
      <alignment horizontal="center" readingOrder="0" vertical="bottom"/>
    </xf>
    <xf borderId="0" fillId="3" fontId="2" numFmtId="0" xfId="0" applyAlignment="1" applyFont="1">
      <alignment horizontal="center" readingOrder="0" vertical="bottom"/>
    </xf>
    <xf borderId="0" fillId="4" fontId="2" numFmtId="0" xfId="0" applyAlignment="1" applyFont="1">
      <alignment horizontal="center" readingOrder="0" vertical="bottom"/>
    </xf>
    <xf borderId="0" fillId="4" fontId="3" numFmtId="164" xfId="0" applyAlignment="1" applyFont="1" applyNumberFormat="1">
      <alignment horizontal="right" readingOrder="0"/>
    </xf>
    <xf borderId="0" fillId="3" fontId="3" numFmtId="0" xfId="0" applyAlignment="1" applyFont="1">
      <alignment horizontal="center"/>
    </xf>
    <xf borderId="0" fillId="4" fontId="3" numFmtId="167" xfId="0" applyAlignment="1" applyFont="1" applyNumberFormat="1">
      <alignment horizontal="right" readingOrder="0"/>
    </xf>
    <xf borderId="0" fillId="4" fontId="3" numFmtId="0" xfId="0" applyAlignment="1" applyFont="1">
      <alignment horizontal="center"/>
    </xf>
    <xf borderId="0" fillId="3" fontId="3" numFmtId="168" xfId="0" applyAlignment="1" applyFont="1" applyNumberFormat="1">
      <alignment horizontal="right" readingOrder="0"/>
    </xf>
    <xf borderId="0" fillId="4" fontId="3" numFmtId="168" xfId="0" applyAlignment="1" applyFont="1" applyNumberFormat="1">
      <alignment horizontal="right" readingOrder="0"/>
    </xf>
    <xf borderId="0" fillId="3" fontId="3" numFmtId="169" xfId="0" applyAlignment="1" applyFont="1" applyNumberFormat="1">
      <alignment horizontal="right" readingOrder="0"/>
    </xf>
    <xf borderId="0" fillId="4" fontId="2" numFmtId="3" xfId="0" applyAlignment="1" applyFont="1" applyNumberFormat="1">
      <alignment horizontal="center" readingOrder="0" vertical="bottom"/>
    </xf>
    <xf borderId="0" fillId="4" fontId="2" numFmtId="164" xfId="0" applyAlignment="1" applyFont="1" applyNumberFormat="1">
      <alignment horizontal="right" readingOrder="0" vertical="bottom"/>
    </xf>
    <xf borderId="0" fillId="4" fontId="2" numFmtId="0" xfId="0" applyAlignment="1" applyFont="1">
      <alignment readingOrder="0" shrinkToFit="0" vertical="bottom" wrapText="0"/>
    </xf>
    <xf borderId="0" fillId="3" fontId="3" numFmtId="0" xfId="0" applyAlignment="1" applyFont="1">
      <alignment horizontal="left"/>
    </xf>
    <xf borderId="0" fillId="4" fontId="3" numFmtId="0" xfId="0" applyAlignment="1" applyFont="1">
      <alignment horizontal="left"/>
    </xf>
    <xf borderId="0" fillId="0" fontId="4" numFmtId="0" xfId="0" applyAlignment="1" applyFont="1">
      <alignment horizontal="right"/>
    </xf>
    <xf borderId="0" fillId="0" fontId="4" numFmtId="0" xfId="0" applyAlignment="1" applyFont="1">
      <alignment horizontal="right"/>
    </xf>
    <xf borderId="0" fillId="0" fontId="4" numFmtId="0" xfId="0" applyAlignment="1" applyFont="1">
      <alignment horizontal="left"/>
    </xf>
    <xf borderId="0" fillId="0" fontId="5" numFmtId="0" xfId="0" applyAlignment="1" applyFont="1">
      <alignment horizontal="right"/>
    </xf>
    <xf borderId="1" fillId="0" fontId="5" numFmtId="3" xfId="0" applyAlignment="1" applyBorder="1" applyFont="1" applyNumberFormat="1">
      <alignment horizontal="left"/>
    </xf>
    <xf borderId="1" fillId="0" fontId="5" numFmtId="0" xfId="0" applyAlignment="1" applyBorder="1" applyFont="1">
      <alignment horizontal="left"/>
    </xf>
    <xf borderId="1" fillId="0" fontId="5" numFmtId="166" xfId="0" applyAlignment="1" applyBorder="1" applyFont="1" applyNumberFormat="1">
      <alignment horizontal="left"/>
    </xf>
    <xf borderId="0" fillId="0" fontId="5" numFmtId="0" xfId="0" applyAlignment="1" applyFont="1">
      <alignment horizontal="left"/>
    </xf>
    <xf borderId="1" fillId="0" fontId="5" numFmtId="164" xfId="0" applyAlignment="1" applyBorder="1" applyFont="1" applyNumberFormat="1">
      <alignment horizontal="left"/>
    </xf>
    <xf borderId="1" fillId="0" fontId="5" numFmtId="49" xfId="0" applyAlignment="1" applyBorder="1" applyFont="1" applyNumberFormat="1">
      <alignment horizontal="left"/>
    </xf>
    <xf borderId="1" fillId="0" fontId="5" numFmtId="170" xfId="0" applyAlignment="1" applyBorder="1" applyFont="1" applyNumberFormat="1">
      <alignment horizontal="left"/>
    </xf>
    <xf borderId="1" fillId="0" fontId="5" numFmtId="166" xfId="0" applyAlignment="1" applyBorder="1" applyFont="1" applyNumberFormat="1">
      <alignment horizontal="left" readingOrder="0"/>
    </xf>
    <xf borderId="1" fillId="0" fontId="5" numFmtId="0" xfId="0" applyAlignment="1" applyBorder="1" applyFont="1">
      <alignment horizontal="left" readingOrder="0"/>
    </xf>
    <xf borderId="1" fillId="3" fontId="5" numFmtId="3" xfId="0" applyAlignment="1" applyBorder="1" applyFont="1" applyNumberFormat="1">
      <alignment horizontal="left" readingOrder="0"/>
    </xf>
    <xf borderId="1" fillId="3" fontId="5" numFmtId="0" xfId="0" applyAlignment="1" applyBorder="1" applyFont="1">
      <alignment horizontal="left" readingOrder="0"/>
    </xf>
    <xf borderId="1" fillId="3" fontId="5" numFmtId="166" xfId="0" applyAlignment="1" applyBorder="1" applyFont="1" applyNumberFormat="1">
      <alignment horizontal="left" readingOrder="0"/>
    </xf>
    <xf borderId="1" fillId="3" fontId="5" numFmtId="49" xfId="0" applyAlignment="1" applyBorder="1" applyFont="1" applyNumberFormat="1">
      <alignment horizontal="left"/>
    </xf>
    <xf borderId="1" fillId="0" fontId="5" numFmtId="3" xfId="0" applyAlignment="1" applyBorder="1" applyFont="1" applyNumberFormat="1">
      <alignment horizontal="left" readingOrder="0"/>
    </xf>
    <xf borderId="1" fillId="0" fontId="5" numFmtId="168" xfId="0" applyAlignment="1" applyBorder="1" applyFont="1" applyNumberFormat="1">
      <alignment horizontal="left" readingOrder="0"/>
    </xf>
    <xf borderId="1" fillId="3" fontId="5" numFmtId="0" xfId="0" applyAlignment="1" applyBorder="1" applyFont="1">
      <alignment horizontal="left" readingOrder="0"/>
    </xf>
    <xf borderId="1" fillId="0" fontId="5" numFmtId="167" xfId="0" applyAlignment="1" applyBorder="1" applyFont="1" applyNumberFormat="1">
      <alignment horizontal="left" readingOrder="0"/>
    </xf>
    <xf borderId="1" fillId="0" fontId="5" numFmtId="170" xfId="0" applyAlignment="1" applyBorder="1" applyFont="1" applyNumberFormat="1">
      <alignment horizontal="left" readingOrder="0"/>
    </xf>
    <xf borderId="0" fillId="0" fontId="5" numFmtId="0" xfId="0" applyAlignment="1" applyFont="1">
      <alignment horizontal="left"/>
    </xf>
    <xf borderId="1" fillId="0" fontId="5" numFmtId="164" xfId="0" applyAlignment="1" applyBorder="1" applyFont="1" applyNumberFormat="1">
      <alignment horizontal="left" readingOrder="0"/>
    </xf>
    <xf borderId="1" fillId="0" fontId="5" numFmtId="0" xfId="0" applyAlignment="1" applyBorder="1" applyFont="1">
      <alignment horizontal="left" readingOrder="0" shrinkToFit="0" wrapText="0"/>
    </xf>
    <xf borderId="1" fillId="0" fontId="5" numFmtId="0" xfId="0" applyAlignment="1" applyBorder="1" applyFont="1">
      <alignment horizontal="left"/>
    </xf>
    <xf borderId="1" fillId="0" fontId="5" numFmtId="0" xfId="0" applyAlignment="1" applyBorder="1" applyFont="1">
      <alignment horizontal="center" readingOrder="0"/>
    </xf>
    <xf borderId="1" fillId="0" fontId="5" numFmtId="0" xfId="0" applyAlignment="1" applyBorder="1" applyFont="1">
      <alignment horizontal="right" readingOrder="0"/>
    </xf>
    <xf borderId="1" fillId="0" fontId="5" numFmtId="166" xfId="0" applyAlignment="1" applyBorder="1" applyFont="1" applyNumberFormat="1">
      <alignment horizontal="right" readingOrder="0"/>
    </xf>
    <xf borderId="1" fillId="0" fontId="5" numFmtId="0" xfId="0" applyAlignment="1" applyBorder="1" applyFont="1">
      <alignment readingOrder="0"/>
    </xf>
    <xf borderId="1" fillId="0" fontId="5" numFmtId="0" xfId="0" applyAlignment="1" applyBorder="1" applyFont="1">
      <alignment horizontal="right"/>
    </xf>
    <xf borderId="1" fillId="0" fontId="5" numFmtId="3" xfId="0" applyAlignment="1" applyBorder="1" applyFont="1" applyNumberFormat="1">
      <alignment horizontal="center" readingOrder="0"/>
    </xf>
    <xf borderId="1" fillId="0" fontId="5" numFmtId="164" xfId="0" applyAlignment="1" applyBorder="1" applyFont="1" applyNumberFormat="1">
      <alignment horizontal="right" readingOrder="0"/>
    </xf>
    <xf borderId="1" fillId="0" fontId="5" numFmtId="49" xfId="0" applyAlignment="1" applyBorder="1" applyFont="1" applyNumberFormat="1">
      <alignment horizontal="center"/>
    </xf>
    <xf borderId="1" fillId="0" fontId="5" numFmtId="0" xfId="0" applyAlignment="1" applyBorder="1" applyFont="1">
      <alignment readingOrder="0" shrinkToFit="0" wrapText="0"/>
    </xf>
    <xf borderId="0" fillId="0" fontId="5" numFmtId="0" xfId="0" applyAlignment="1" applyFont="1">
      <alignment horizontal="right"/>
    </xf>
    <xf borderId="1" fillId="2" fontId="4" numFmtId="0" xfId="0" applyAlignment="1" applyBorder="1" applyFont="1">
      <alignment horizontal="center" readingOrder="0" shrinkToFit="0" wrapText="1"/>
    </xf>
    <xf borderId="1" fillId="2" fontId="4" numFmtId="0" xfId="0" applyAlignment="1" applyBorder="1" applyFont="1">
      <alignment horizontal="center" shrinkToFit="0" wrapText="1"/>
    </xf>
    <xf borderId="1" fillId="2" fontId="4" numFmtId="0" xfId="0" applyAlignment="1" applyBorder="1" applyFont="1">
      <alignment horizontal="right" shrinkToFit="0" wrapText="1"/>
    </xf>
    <xf borderId="1" fillId="2" fontId="4" numFmtId="164" xfId="0" applyAlignment="1" applyBorder="1" applyFont="1" applyNumberFormat="1">
      <alignment horizontal="center" shrinkToFit="0" wrapText="1"/>
    </xf>
    <xf borderId="1" fillId="2" fontId="4" numFmtId="0" xfId="0" applyAlignment="1" applyBorder="1" applyFont="1">
      <alignment horizontal="center" shrinkToFit="0" wrapText="1"/>
    </xf>
    <xf borderId="1" fillId="2" fontId="4" numFmtId="0" xfId="0" applyAlignment="1" applyBorder="1" applyFont="1">
      <alignment horizontal="center" shrinkToFit="0" wrapText="0"/>
    </xf>
    <xf borderId="1" fillId="2" fontId="4" numFmtId="164" xfId="0" applyAlignment="1" applyBorder="1" applyFont="1" applyNumberFormat="1">
      <alignment horizontal="right" shrinkToFit="0" wrapText="1"/>
    </xf>
    <xf borderId="0" fillId="0" fontId="5" numFmtId="0" xfId="0" applyAlignment="1" applyFont="1">
      <alignment horizontal="center" shrinkToFit="0" wrapText="1"/>
    </xf>
    <xf borderId="0" fillId="0" fontId="5" numFmtId="166" xfId="0" applyAlignment="1" applyFont="1" applyNumberFormat="1">
      <alignment horizontal="center" readingOrder="0" shrinkToFit="0" wrapText="1"/>
    </xf>
    <xf borderId="1" fillId="3" fontId="5" numFmtId="0" xfId="0" applyAlignment="1" applyBorder="1" applyFont="1">
      <alignment horizontal="center" readingOrder="0"/>
    </xf>
    <xf borderId="1" fillId="3" fontId="5" numFmtId="0" xfId="0" applyAlignment="1" applyBorder="1" applyFont="1">
      <alignment readingOrder="0"/>
    </xf>
    <xf borderId="1" fillId="3" fontId="5" numFmtId="0" xfId="0" applyAlignment="1" applyBorder="1" applyFont="1">
      <alignment horizontal="right" readingOrder="0"/>
    </xf>
    <xf borderId="1" fillId="3" fontId="5" numFmtId="164" xfId="0" applyAlignment="1" applyBorder="1" applyFont="1" applyNumberFormat="1">
      <alignment horizontal="right" readingOrder="0"/>
    </xf>
    <xf borderId="1" fillId="3" fontId="5" numFmtId="3" xfId="0" applyAlignment="1" applyBorder="1" applyFont="1" applyNumberFormat="1">
      <alignment horizontal="center"/>
    </xf>
    <xf borderId="1" fillId="3" fontId="5" numFmtId="0" xfId="0" applyAlignment="1" applyBorder="1" applyFont="1">
      <alignment horizontal="left" readingOrder="0" shrinkToFit="0" wrapText="0"/>
    </xf>
    <xf borderId="1" fillId="4" fontId="5" numFmtId="0" xfId="0" applyAlignment="1" applyBorder="1" applyFont="1">
      <alignment horizontal="center" readingOrder="0"/>
    </xf>
    <xf borderId="1" fillId="4" fontId="5" numFmtId="0" xfId="0" applyAlignment="1" applyBorder="1" applyFont="1">
      <alignment readingOrder="0"/>
    </xf>
    <xf borderId="1" fillId="4" fontId="5" numFmtId="0" xfId="0" applyAlignment="1" applyBorder="1" applyFont="1">
      <alignment horizontal="left" readingOrder="0"/>
    </xf>
    <xf borderId="1" fillId="4" fontId="5" numFmtId="0" xfId="0" applyAlignment="1" applyBorder="1" applyFont="1">
      <alignment horizontal="right" readingOrder="0"/>
    </xf>
    <xf borderId="1" fillId="4" fontId="5" numFmtId="164" xfId="0" applyAlignment="1" applyBorder="1" applyFont="1" applyNumberFormat="1">
      <alignment horizontal="right" readingOrder="0"/>
    </xf>
    <xf borderId="1" fillId="4" fontId="5" numFmtId="3" xfId="0" applyAlignment="1" applyBorder="1" applyFont="1" applyNumberFormat="1">
      <alignment horizontal="center"/>
    </xf>
    <xf borderId="1" fillId="4" fontId="5" numFmtId="0" xfId="0" applyAlignment="1" applyBorder="1" applyFont="1">
      <alignment horizontal="left" readingOrder="0" shrinkToFit="0" wrapText="0"/>
    </xf>
    <xf borderId="1" fillId="4" fontId="5" numFmtId="3" xfId="0" applyAlignment="1" applyBorder="1" applyFont="1" applyNumberFormat="1">
      <alignment horizontal="center" readingOrder="0"/>
    </xf>
    <xf borderId="1" fillId="4" fontId="5" numFmtId="0" xfId="0" applyAlignment="1" applyBorder="1" applyFont="1">
      <alignment readingOrder="0" shrinkToFit="0" wrapText="0"/>
    </xf>
    <xf borderId="1" fillId="3" fontId="5" numFmtId="3" xfId="0" applyAlignment="1" applyBorder="1" applyFont="1" applyNumberFormat="1">
      <alignment horizontal="center" readingOrder="0"/>
    </xf>
    <xf borderId="1" fillId="3" fontId="5" numFmtId="0" xfId="0" applyBorder="1" applyFont="1"/>
    <xf borderId="1" fillId="3" fontId="5" numFmtId="0" xfId="0" applyAlignment="1" applyBorder="1" applyFont="1">
      <alignment horizontal="center"/>
    </xf>
    <xf borderId="1" fillId="3" fontId="5" numFmtId="0" xfId="0" applyAlignment="1" applyBorder="1" applyFont="1">
      <alignment horizontal="right"/>
    </xf>
    <xf borderId="1" fillId="3" fontId="5" numFmtId="164" xfId="0" applyAlignment="1" applyBorder="1" applyFont="1" applyNumberFormat="1">
      <alignment horizontal="right"/>
    </xf>
    <xf borderId="1" fillId="3" fontId="5" numFmtId="0" xfId="0" applyAlignment="1" applyBorder="1" applyFont="1">
      <alignment shrinkToFit="0" wrapText="0"/>
    </xf>
    <xf borderId="1" fillId="3" fontId="5" numFmtId="0" xfId="0" applyAlignment="1" applyBorder="1" applyFont="1">
      <alignment horizontal="center"/>
    </xf>
    <xf borderId="1" fillId="3" fontId="5" numFmtId="0" xfId="0" applyBorder="1" applyFont="1"/>
    <xf borderId="1" fillId="3" fontId="5" numFmtId="0" xfId="0" applyAlignment="1" applyBorder="1" applyFont="1">
      <alignment horizontal="right"/>
    </xf>
    <xf borderId="1" fillId="3" fontId="5" numFmtId="0" xfId="0" applyAlignment="1" applyBorder="1" applyFont="1">
      <alignment shrinkToFit="0" wrapText="0"/>
    </xf>
    <xf borderId="1" fillId="4" fontId="5" numFmtId="0" xfId="0" applyAlignment="1" applyBorder="1" applyFont="1">
      <alignment horizontal="center"/>
    </xf>
    <xf borderId="1" fillId="4" fontId="5" numFmtId="0" xfId="0" applyBorder="1" applyFont="1"/>
    <xf borderId="1" fillId="4" fontId="5" numFmtId="0" xfId="0" applyAlignment="1" applyBorder="1" applyFont="1">
      <alignment horizontal="right"/>
    </xf>
    <xf borderId="1" fillId="4" fontId="5" numFmtId="164" xfId="0" applyAlignment="1" applyBorder="1" applyFont="1" applyNumberFormat="1">
      <alignment horizontal="right"/>
    </xf>
    <xf borderId="1" fillId="4" fontId="5" numFmtId="0" xfId="0" applyAlignment="1" applyBorder="1" applyFont="1">
      <alignment shrinkToFit="0" wrapText="0"/>
    </xf>
    <xf borderId="1" fillId="4" fontId="5" numFmtId="0" xfId="0" applyBorder="1" applyFont="1"/>
    <xf borderId="1" fillId="4" fontId="5" numFmtId="0" xfId="0" applyAlignment="1" applyBorder="1" applyFont="1">
      <alignment horizontal="center"/>
    </xf>
    <xf borderId="1" fillId="4" fontId="5" numFmtId="0" xfId="0" applyAlignment="1" applyBorder="1" applyFont="1">
      <alignment horizontal="right"/>
    </xf>
    <xf borderId="1" fillId="4" fontId="5" numFmtId="0" xfId="0" applyAlignment="1" applyBorder="1" applyFont="1">
      <alignment shrinkToFit="0" wrapText="0"/>
    </xf>
    <xf borderId="1" fillId="4" fontId="5" numFmtId="166" xfId="0" applyAlignment="1" applyBorder="1" applyFont="1" applyNumberFormat="1">
      <alignment horizontal="right"/>
    </xf>
    <xf borderId="1" fillId="3" fontId="6" numFmtId="3" xfId="0" applyAlignment="1" applyBorder="1" applyFont="1" applyNumberFormat="1">
      <alignment horizontal="center" vertical="bottom"/>
    </xf>
    <xf borderId="1" fillId="3" fontId="6" numFmtId="0" xfId="0" applyAlignment="1" applyBorder="1" applyFont="1">
      <alignment vertical="bottom"/>
    </xf>
    <xf borderId="1" fillId="3" fontId="6" numFmtId="0" xfId="0" applyAlignment="1" applyBorder="1" applyFont="1">
      <alignment vertical="bottom"/>
    </xf>
    <xf borderId="1" fillId="3" fontId="6" numFmtId="0" xfId="0" applyAlignment="1" applyBorder="1" applyFont="1">
      <alignment horizontal="right" vertical="bottom"/>
    </xf>
    <xf borderId="1" fillId="3" fontId="6" numFmtId="164" xfId="0" applyAlignment="1" applyBorder="1" applyFont="1" applyNumberFormat="1">
      <alignment horizontal="right" vertical="bottom"/>
    </xf>
    <xf borderId="1" fillId="3" fontId="6" numFmtId="0" xfId="0" applyAlignment="1" applyBorder="1" applyFont="1">
      <alignment readingOrder="0" shrinkToFit="0" vertical="bottom" wrapText="0"/>
    </xf>
    <xf borderId="1" fillId="3" fontId="5" numFmtId="49" xfId="0" applyAlignment="1" applyBorder="1" applyFont="1" applyNumberFormat="1">
      <alignment horizontal="right" readingOrder="0"/>
    </xf>
    <xf borderId="1" fillId="3" fontId="5" numFmtId="164" xfId="0" applyBorder="1" applyFont="1" applyNumberFormat="1"/>
    <xf borderId="1" fillId="3" fontId="5" numFmtId="0" xfId="0" applyAlignment="1" applyBorder="1" applyFont="1">
      <alignment readingOrder="0" shrinkToFit="0" wrapText="0"/>
    </xf>
    <xf borderId="1" fillId="4" fontId="5" numFmtId="167" xfId="0" applyAlignment="1" applyBorder="1" applyFont="1" applyNumberFormat="1">
      <alignment horizontal="right"/>
    </xf>
    <xf borderId="1" fillId="3" fontId="5" numFmtId="168" xfId="0" applyAlignment="1" applyBorder="1" applyFont="1" applyNumberFormat="1">
      <alignment horizontal="right"/>
    </xf>
    <xf borderId="1" fillId="3" fontId="5" numFmtId="166" xfId="0" applyAlignment="1" applyBorder="1" applyFont="1" applyNumberFormat="1">
      <alignment horizontal="right"/>
    </xf>
    <xf borderId="1" fillId="4" fontId="5" numFmtId="168" xfId="0" applyAlignment="1" applyBorder="1" applyFont="1" applyNumberFormat="1">
      <alignment horizontal="right"/>
    </xf>
    <xf borderId="1" fillId="3" fontId="5" numFmtId="167" xfId="0" applyAlignment="1" applyBorder="1" applyFont="1" applyNumberFormat="1">
      <alignment horizontal="right"/>
    </xf>
    <xf borderId="1" fillId="4" fontId="5" numFmtId="166" xfId="0" applyAlignment="1" applyBorder="1" applyFont="1" applyNumberFormat="1">
      <alignment horizontal="right" readingOrder="0"/>
    </xf>
    <xf borderId="1" fillId="3" fontId="6" numFmtId="0" xfId="0" applyAlignment="1" applyBorder="1" applyFont="1">
      <alignment horizontal="center" vertical="bottom"/>
    </xf>
    <xf borderId="1" fillId="3" fontId="6" numFmtId="0" xfId="0" applyAlignment="1" applyBorder="1" applyFont="1">
      <alignment shrinkToFit="0" vertical="bottom" wrapText="0"/>
    </xf>
    <xf borderId="1" fillId="4" fontId="6" numFmtId="3" xfId="0" applyAlignment="1" applyBorder="1" applyFont="1" applyNumberFormat="1">
      <alignment horizontal="center" vertical="bottom"/>
    </xf>
    <xf borderId="1" fillId="4" fontId="6" numFmtId="0" xfId="0" applyAlignment="1" applyBorder="1" applyFont="1">
      <alignment vertical="bottom"/>
    </xf>
    <xf borderId="1" fillId="4" fontId="6" numFmtId="0" xfId="0" applyAlignment="1" applyBorder="1" applyFont="1">
      <alignment horizontal="center" vertical="bottom"/>
    </xf>
    <xf borderId="1" fillId="4" fontId="6" numFmtId="0" xfId="0" applyAlignment="1" applyBorder="1" applyFont="1">
      <alignment horizontal="right" vertical="bottom"/>
    </xf>
    <xf borderId="1" fillId="4" fontId="6" numFmtId="164" xfId="0" applyAlignment="1" applyBorder="1" applyFont="1" applyNumberFormat="1">
      <alignment horizontal="right" vertical="bottom"/>
    </xf>
    <xf borderId="1" fillId="4" fontId="6" numFmtId="0" xfId="0" applyAlignment="1" applyBorder="1" applyFont="1">
      <alignment shrinkToFit="0" vertical="bottom" wrapText="0"/>
    </xf>
    <xf borderId="1" fillId="3" fontId="6" numFmtId="164" xfId="0" applyAlignment="1" applyBorder="1" applyFont="1" applyNumberFormat="1">
      <alignment horizontal="right" readingOrder="0" vertical="bottom"/>
    </xf>
    <xf borderId="1" fillId="3" fontId="6" numFmtId="3" xfId="0" applyAlignment="1" applyBorder="1" applyFont="1" applyNumberFormat="1">
      <alignment readingOrder="0" vertical="bottom"/>
    </xf>
    <xf borderId="1" fillId="3" fontId="5" numFmtId="166" xfId="0" applyAlignment="1" applyBorder="1" applyFont="1" applyNumberFormat="1">
      <alignment horizontal="right" readingOrder="0"/>
    </xf>
    <xf borderId="1" fillId="4" fontId="6" numFmtId="3" xfId="0" applyAlignment="1" applyBorder="1" applyFont="1" applyNumberFormat="1">
      <alignment vertical="bottom"/>
    </xf>
    <xf borderId="1" fillId="3" fontId="6" numFmtId="168" xfId="0" applyAlignment="1" applyBorder="1" applyFont="1" applyNumberFormat="1">
      <alignment horizontal="right" vertical="bottom"/>
    </xf>
    <xf borderId="1" fillId="3" fontId="5" numFmtId="0" xfId="0" applyAlignment="1" applyBorder="1" applyFont="1">
      <alignment horizontal="center" readingOrder="0" shrinkToFit="0" wrapText="0"/>
    </xf>
    <xf borderId="1" fillId="4" fontId="6" numFmtId="0" xfId="0" applyAlignment="1" applyBorder="1" applyFont="1">
      <alignment readingOrder="0" shrinkToFit="0" vertical="bottom" wrapText="0"/>
    </xf>
    <xf borderId="1" fillId="4" fontId="5" numFmtId="0" xfId="0" applyAlignment="1" applyBorder="1" applyFont="1">
      <alignment horizontal="left" readingOrder="0"/>
    </xf>
    <xf borderId="1" fillId="4" fontId="5" numFmtId="167" xfId="0" applyAlignment="1" applyBorder="1" applyFont="1" applyNumberFormat="1">
      <alignment horizontal="right" readingOrder="0"/>
    </xf>
    <xf borderId="1" fillId="3" fontId="5" numFmtId="168" xfId="0" applyAlignment="1" applyBorder="1" applyFont="1" applyNumberFormat="1">
      <alignment horizontal="right" readingOrder="0"/>
    </xf>
    <xf borderId="0" fillId="3" fontId="5" numFmtId="0" xfId="0" applyAlignment="1" applyFont="1">
      <alignment horizontal="left" readingOrder="0"/>
    </xf>
    <xf borderId="1" fillId="3" fontId="6" numFmtId="3" xfId="0" applyAlignment="1" applyBorder="1" applyFont="1" applyNumberFormat="1">
      <alignment horizontal="center" readingOrder="0" vertical="bottom"/>
    </xf>
    <xf borderId="1" fillId="3" fontId="6" numFmtId="0" xfId="0" applyAlignment="1" applyBorder="1" applyFont="1">
      <alignment readingOrder="0" vertical="bottom"/>
    </xf>
    <xf borderId="1" fillId="3" fontId="6" numFmtId="0" xfId="0" applyAlignment="1" applyBorder="1" applyFont="1">
      <alignment horizontal="center" readingOrder="0" vertical="bottom"/>
    </xf>
    <xf borderId="1" fillId="3" fontId="6" numFmtId="0" xfId="0" applyAlignment="1" applyBorder="1" applyFont="1">
      <alignment horizontal="right" readingOrder="0" vertical="bottom"/>
    </xf>
    <xf borderId="1" fillId="3" fontId="5" numFmtId="167" xfId="0" applyAlignment="1" applyBorder="1" applyFont="1" applyNumberFormat="1">
      <alignment horizontal="right" readingOrder="0"/>
    </xf>
    <xf borderId="0" fillId="0" fontId="5" numFmtId="0" xfId="0" applyFont="1"/>
    <xf borderId="1" fillId="3" fontId="5" numFmtId="170" xfId="0" applyAlignment="1" applyBorder="1" applyFont="1" applyNumberFormat="1">
      <alignment horizontal="right" readingOrder="0"/>
    </xf>
    <xf borderId="1" fillId="4" fontId="6" numFmtId="3" xfId="0" applyAlignment="1" applyBorder="1" applyFont="1" applyNumberFormat="1">
      <alignment horizontal="center" readingOrder="0" vertical="bottom"/>
    </xf>
    <xf borderId="1" fillId="4" fontId="6" numFmtId="0" xfId="0" applyAlignment="1" applyBorder="1" applyFont="1">
      <alignment readingOrder="0" vertical="bottom"/>
    </xf>
    <xf borderId="1" fillId="4" fontId="6" numFmtId="0" xfId="0" applyAlignment="1" applyBorder="1" applyFont="1">
      <alignment horizontal="center" readingOrder="0" vertical="bottom"/>
    </xf>
    <xf borderId="1" fillId="4" fontId="6" numFmtId="0" xfId="0" applyAlignment="1" applyBorder="1" applyFont="1">
      <alignment horizontal="right" readingOrder="0" vertical="bottom"/>
    </xf>
    <xf borderId="1" fillId="4" fontId="6" numFmtId="164" xfId="0" applyAlignment="1" applyBorder="1" applyFont="1" applyNumberFormat="1">
      <alignment horizontal="right" readingOrder="0" vertical="bottom"/>
    </xf>
    <xf borderId="1" fillId="5" fontId="5" numFmtId="3" xfId="0" applyAlignment="1" applyBorder="1" applyFont="1" applyNumberFormat="1">
      <alignment horizontal="center" readingOrder="0"/>
    </xf>
    <xf borderId="1" fillId="5" fontId="5" numFmtId="0" xfId="0" applyAlignment="1" applyBorder="1" applyFont="1">
      <alignment horizontal="left" readingOrder="0"/>
    </xf>
    <xf borderId="1" fillId="5" fontId="5" numFmtId="0" xfId="0" applyAlignment="1" applyBorder="1" applyFont="1">
      <alignment horizontal="center" readingOrder="0"/>
    </xf>
    <xf borderId="1" fillId="5" fontId="5" numFmtId="164" xfId="0" applyAlignment="1" applyBorder="1" applyFont="1" applyNumberFormat="1">
      <alignment horizontal="right" readingOrder="0"/>
    </xf>
    <xf borderId="1" fillId="5" fontId="5" numFmtId="0" xfId="0" applyAlignment="1" applyBorder="1" applyFont="1">
      <alignment readingOrder="0" shrinkToFit="0" wrapText="0"/>
    </xf>
    <xf borderId="1" fillId="3" fontId="6" numFmtId="167" xfId="0" applyAlignment="1" applyBorder="1" applyFont="1" applyNumberFormat="1">
      <alignment horizontal="right" readingOrder="0" vertical="bottom"/>
    </xf>
    <xf borderId="1" fillId="4" fontId="6" numFmtId="49" xfId="0" applyAlignment="1" applyBorder="1" applyFont="1" applyNumberFormat="1">
      <alignment horizontal="right" readingOrder="0" vertical="bottom"/>
    </xf>
    <xf borderId="1" fillId="3" fontId="6" numFmtId="49" xfId="0" applyAlignment="1" applyBorder="1" applyFont="1" applyNumberFormat="1">
      <alignment horizontal="right" readingOrder="0" vertical="bottom"/>
    </xf>
    <xf borderId="1" fillId="4" fontId="5" numFmtId="170" xfId="0" applyAlignment="1" applyBorder="1" applyFont="1" applyNumberFormat="1">
      <alignment horizontal="right" readingOrder="0"/>
    </xf>
    <xf borderId="1" fillId="3" fontId="5" numFmtId="170" xfId="0" applyAlignment="1" applyBorder="1" applyFont="1" applyNumberFormat="1">
      <alignment readingOrder="0"/>
    </xf>
    <xf borderId="0" fillId="5" fontId="5" numFmtId="0" xfId="0" applyFont="1"/>
    <xf borderId="0" fillId="6" fontId="5" numFmtId="0" xfId="0" applyFill="1" applyFont="1"/>
    <xf borderId="1" fillId="4" fontId="6" numFmtId="167" xfId="0" applyAlignment="1" applyBorder="1" applyFont="1" applyNumberFormat="1">
      <alignment horizontal="right" readingOrder="0" vertical="bottom"/>
    </xf>
    <xf borderId="0" fillId="0" fontId="5" numFmtId="0" xfId="0" applyAlignment="1" applyFont="1">
      <alignment readingOrder="0"/>
    </xf>
    <xf borderId="1" fillId="3" fontId="5" numFmtId="0" xfId="0" applyAlignment="1" applyBorder="1" applyFont="1">
      <alignment horizontal="left" readingOrder="0"/>
    </xf>
    <xf borderId="1" fillId="5" fontId="5" numFmtId="0" xfId="0" applyAlignment="1" applyBorder="1" applyFont="1">
      <alignment horizontal="right" readingOrder="0"/>
    </xf>
    <xf borderId="1" fillId="5" fontId="5" numFmtId="166" xfId="0" applyAlignment="1" applyBorder="1" applyFont="1" applyNumberFormat="1">
      <alignment horizontal="right" readingOrder="0"/>
    </xf>
    <xf borderId="1" fillId="5" fontId="5" numFmtId="0" xfId="0" applyAlignment="1" applyBorder="1" applyFont="1">
      <alignment readingOrder="0"/>
    </xf>
    <xf borderId="1" fillId="4" fontId="5" numFmtId="0" xfId="0" applyAlignment="1" applyBorder="1" applyFont="1">
      <alignment horizontal="right" readingOrder="0" shrinkToFit="0" wrapText="0"/>
    </xf>
    <xf borderId="1" fillId="3" fontId="5" numFmtId="166" xfId="0" applyAlignment="1" applyBorder="1" applyFont="1" applyNumberFormat="1">
      <alignment readingOrder="0"/>
    </xf>
    <xf borderId="1" fillId="4" fontId="5" numFmtId="166" xfId="0" applyAlignment="1" applyBorder="1" applyFont="1" applyNumberFormat="1">
      <alignment readingOrder="0"/>
    </xf>
    <xf borderId="1" fillId="4" fontId="5" numFmtId="170" xfId="0" applyAlignment="1" applyBorder="1" applyFont="1" applyNumberFormat="1">
      <alignment readingOrder="0"/>
    </xf>
    <xf borderId="1" fillId="4" fontId="5" numFmtId="168" xfId="0" applyAlignment="1" applyBorder="1" applyFont="1" applyNumberFormat="1">
      <alignment horizontal="right" readingOrder="0"/>
    </xf>
    <xf borderId="1" fillId="7" fontId="5" numFmtId="0" xfId="0" applyAlignment="1" applyBorder="1" applyFill="1" applyFont="1">
      <alignment horizontal="left" readingOrder="0"/>
    </xf>
    <xf borderId="1" fillId="6" fontId="5" numFmtId="0" xfId="0" applyAlignment="1" applyBorder="1" applyFont="1">
      <alignment horizontal="left" readingOrder="0"/>
    </xf>
    <xf borderId="1" fillId="4" fontId="6" numFmtId="0" xfId="0" applyAlignment="1" applyBorder="1" applyFont="1">
      <alignment vertical="bottom"/>
    </xf>
    <xf borderId="1" fillId="4" fontId="6" numFmtId="0" xfId="0" applyAlignment="1" applyBorder="1" applyFont="1">
      <alignment horizontal="center" vertical="bottom"/>
    </xf>
    <xf borderId="1" fillId="4" fontId="6" numFmtId="0" xfId="0" applyAlignment="1" applyBorder="1" applyFont="1">
      <alignment horizontal="right" vertical="bottom"/>
    </xf>
    <xf borderId="1" fillId="4" fontId="6" numFmtId="0" xfId="0" applyAlignment="1" applyBorder="1" applyFont="1">
      <alignment shrinkToFit="0" vertical="bottom" wrapText="0"/>
    </xf>
    <xf borderId="1" fillId="4" fontId="5" numFmtId="0" xfId="0" applyAlignment="1" applyBorder="1" applyFont="1">
      <alignment horizontal="left" readingOrder="0" shrinkToFit="0" vertical="center" wrapText="0"/>
    </xf>
    <xf borderId="1" fillId="3" fontId="6" numFmtId="0" xfId="0" applyAlignment="1" applyBorder="1" applyFont="1">
      <alignment horizontal="center" vertical="bottom"/>
    </xf>
    <xf borderId="1" fillId="3" fontId="6" numFmtId="0" xfId="0" applyAlignment="1" applyBorder="1" applyFont="1">
      <alignment horizontal="right" vertical="bottom"/>
    </xf>
    <xf borderId="0" fillId="4" fontId="5" numFmtId="0" xfId="0" applyAlignment="1" applyFont="1">
      <alignment horizontal="center" readingOrder="0"/>
    </xf>
    <xf borderId="1" fillId="0" fontId="5" numFmtId="0" xfId="0" applyBorder="1" applyFont="1"/>
    <xf borderId="1" fillId="3" fontId="5" numFmtId="3" xfId="0" applyAlignment="1" applyBorder="1" applyFont="1" applyNumberFormat="1">
      <alignment horizontal="left" readingOrder="0"/>
    </xf>
    <xf borderId="1" fillId="3" fontId="6" numFmtId="49" xfId="0" applyAlignment="1" applyBorder="1" applyFont="1" applyNumberFormat="1">
      <alignment horizontal="left" readingOrder="0" shrinkToFit="0" vertical="bottom" wrapText="0"/>
    </xf>
    <xf borderId="1" fillId="5" fontId="5" numFmtId="166" xfId="0" applyAlignment="1" applyBorder="1" applyFont="1" applyNumberFormat="1">
      <alignment readingOrder="0"/>
    </xf>
    <xf quotePrefix="1" borderId="1" fillId="3" fontId="5" numFmtId="0" xfId="0" applyAlignment="1" applyBorder="1" applyFont="1">
      <alignment readingOrder="0" shrinkToFit="0" wrapText="0"/>
    </xf>
    <xf borderId="1" fillId="3" fontId="5" numFmtId="0" xfId="0" applyAlignment="1" applyBorder="1" applyFont="1">
      <alignment readingOrder="0" shrinkToFit="0" vertical="top" wrapText="0"/>
    </xf>
    <xf borderId="0" fillId="3" fontId="5" numFmtId="0" xfId="0" applyAlignment="1" applyFont="1">
      <alignment horizontal="center" readingOrder="0"/>
    </xf>
    <xf borderId="0" fillId="4" fontId="5" numFmtId="0" xfId="0" applyAlignment="1" applyFont="1">
      <alignment horizontal="right" readingOrder="0"/>
    </xf>
    <xf borderId="1" fillId="4" fontId="5" numFmtId="0" xfId="0" applyAlignment="1" applyBorder="1" applyFont="1">
      <alignment horizontal="center" readingOrder="0" shrinkToFit="0" wrapText="0"/>
    </xf>
    <xf borderId="1" fillId="4" fontId="3" numFmtId="0" xfId="0" applyAlignment="1" applyBorder="1" applyFont="1">
      <alignment horizontal="left" readingOrder="0"/>
    </xf>
    <xf borderId="0" fillId="5" fontId="5" numFmtId="0" xfId="0" applyFont="1"/>
    <xf borderId="1" fillId="7" fontId="5" numFmtId="3" xfId="0" applyAlignment="1" applyBorder="1" applyFont="1" applyNumberFormat="1">
      <alignment horizontal="center" readingOrder="0"/>
    </xf>
    <xf borderId="1" fillId="7" fontId="5" numFmtId="0" xfId="0" applyAlignment="1" applyBorder="1" applyFont="1">
      <alignment horizontal="center" readingOrder="0"/>
    </xf>
    <xf borderId="1" fillId="7" fontId="5" numFmtId="0" xfId="0" applyAlignment="1" applyBorder="1" applyFont="1">
      <alignment horizontal="right" readingOrder="0"/>
    </xf>
    <xf borderId="1" fillId="7" fontId="5" numFmtId="164" xfId="0" applyAlignment="1" applyBorder="1" applyFont="1" applyNumberFormat="1">
      <alignment horizontal="right" readingOrder="0"/>
    </xf>
    <xf borderId="1" fillId="4" fontId="6" numFmtId="164" xfId="0" applyAlignment="1" applyBorder="1" applyFont="1" applyNumberFormat="1">
      <alignment readingOrder="0" vertical="bottom"/>
    </xf>
    <xf borderId="0" fillId="3" fontId="6" numFmtId="0" xfId="0" applyAlignment="1" applyFont="1">
      <alignment vertical="bottom"/>
    </xf>
    <xf borderId="1" fillId="4" fontId="6" numFmtId="3" xfId="0" applyAlignment="1" applyBorder="1" applyFont="1" applyNumberFormat="1">
      <alignment horizontal="left" readingOrder="0" shrinkToFit="0" vertical="bottom" wrapText="0"/>
    </xf>
    <xf borderId="1" fillId="3" fontId="5" numFmtId="3" xfId="0" applyAlignment="1" applyBorder="1" applyFont="1" applyNumberFormat="1">
      <alignment horizontal="right" readingOrder="0"/>
    </xf>
    <xf borderId="1" fillId="4" fontId="5" numFmtId="3" xfId="0" applyAlignment="1" applyBorder="1" applyFont="1" applyNumberFormat="1">
      <alignment horizontal="right" readingOrder="0"/>
    </xf>
    <xf borderId="1" fillId="7" fontId="5" numFmtId="0" xfId="0" applyAlignment="1" applyBorder="1" applyFont="1">
      <alignment readingOrder="0"/>
    </xf>
    <xf borderId="1" fillId="3" fontId="5" numFmtId="0" xfId="0" applyAlignment="1" applyBorder="1" applyFont="1">
      <alignment horizontal="left" readingOrder="0" shrinkToFit="0" vertical="bottom" wrapText="0"/>
    </xf>
    <xf borderId="1" fillId="3" fontId="7" numFmtId="3" xfId="0" applyAlignment="1" applyBorder="1" applyFont="1" applyNumberFormat="1">
      <alignment horizontal="center" readingOrder="0"/>
    </xf>
    <xf borderId="1" fillId="3" fontId="8" numFmtId="3" xfId="0" applyAlignment="1" applyBorder="1" applyFont="1" applyNumberFormat="1">
      <alignment horizontal="center" readingOrder="0"/>
    </xf>
    <xf borderId="1" fillId="3" fontId="6" numFmtId="0" xfId="0" applyAlignment="1" applyBorder="1" applyFont="1">
      <alignment horizontal="center" readingOrder="0" vertical="center"/>
    </xf>
    <xf borderId="0" fillId="3" fontId="5" numFmtId="3" xfId="0" applyAlignment="1" applyFont="1" applyNumberFormat="1">
      <alignment horizontal="center" readingOrder="0"/>
    </xf>
    <xf borderId="1" fillId="3" fontId="5" numFmtId="171" xfId="0" applyAlignment="1" applyBorder="1" applyFont="1" applyNumberFormat="1">
      <alignment horizontal="right" readingOrder="0"/>
    </xf>
    <xf borderId="1" fillId="0" fontId="5" numFmtId="0" xfId="0" applyBorder="1" applyFont="1"/>
    <xf borderId="0" fillId="4" fontId="5" numFmtId="3" xfId="0" applyAlignment="1" applyFont="1" applyNumberFormat="1">
      <alignment horizontal="center" readingOrder="0"/>
    </xf>
    <xf borderId="1" fillId="3" fontId="5" numFmtId="164" xfId="0" applyAlignment="1" applyBorder="1" applyFont="1" applyNumberFormat="1">
      <alignment horizontal="left" readingOrder="0"/>
    </xf>
    <xf borderId="0" fillId="8" fontId="5" numFmtId="0" xfId="0" applyFill="1" applyFont="1"/>
    <xf borderId="1" fillId="5" fontId="5" numFmtId="170" xfId="0" applyAlignment="1" applyBorder="1" applyFont="1" applyNumberFormat="1">
      <alignment horizontal="right" readingOrder="0"/>
    </xf>
    <xf borderId="1" fillId="3" fontId="5" numFmtId="0" xfId="0" applyAlignment="1" applyBorder="1" applyFont="1">
      <alignment horizontal="center" readingOrder="0" shrinkToFit="0" wrapText="1"/>
    </xf>
    <xf borderId="1" fillId="9" fontId="5" numFmtId="0" xfId="0" applyAlignment="1" applyBorder="1" applyFill="1" applyFont="1">
      <alignment horizontal="left" readingOrder="0" shrinkToFit="0" wrapText="0"/>
    </xf>
    <xf borderId="1" fillId="4" fontId="5" numFmtId="0" xfId="0" applyAlignment="1" applyBorder="1" applyFont="1">
      <alignment horizontal="center" readingOrder="0" shrinkToFit="0" wrapText="1"/>
    </xf>
    <xf borderId="1" fillId="10" fontId="5" numFmtId="0" xfId="0" applyAlignment="1" applyBorder="1" applyFill="1" applyFont="1">
      <alignment horizontal="left" readingOrder="0" shrinkToFit="0" wrapText="0"/>
    </xf>
    <xf borderId="1" fillId="4" fontId="9" numFmtId="0" xfId="0" applyAlignment="1" applyBorder="1" applyFont="1">
      <alignment horizontal="center" readingOrder="0"/>
    </xf>
    <xf borderId="1" fillId="3" fontId="10" numFmtId="0" xfId="0" applyAlignment="1" applyBorder="1" applyFont="1">
      <alignment horizontal="center" readingOrder="0"/>
    </xf>
    <xf borderId="1" fillId="0" fontId="5" numFmtId="0" xfId="0" applyAlignment="1" applyBorder="1" applyFont="1">
      <alignment horizontal="center"/>
    </xf>
    <xf borderId="1" fillId="0" fontId="5" numFmtId="164" xfId="0" applyAlignment="1" applyBorder="1" applyFont="1" applyNumberFormat="1">
      <alignment horizontal="right"/>
    </xf>
    <xf borderId="1" fillId="0" fontId="5" numFmtId="0" xfId="0" applyAlignment="1" applyBorder="1" applyFont="1">
      <alignment horizontal="left" shrinkToFit="0" wrapText="0"/>
    </xf>
    <xf borderId="1" fillId="4" fontId="5" numFmtId="0" xfId="0" applyAlignment="1" applyBorder="1" applyFont="1">
      <alignment horizontal="left"/>
    </xf>
    <xf borderId="1" fillId="4" fontId="5" numFmtId="0" xfId="0" applyAlignment="1" applyBorder="1" applyFont="1">
      <alignment horizontal="left" shrinkToFit="0" wrapText="0"/>
    </xf>
    <xf borderId="1" fillId="4" fontId="5" numFmtId="169" xfId="0" applyAlignment="1" applyBorder="1" applyFont="1" applyNumberFormat="1">
      <alignment horizontal="right" readingOrder="0"/>
    </xf>
    <xf borderId="1" fillId="3" fontId="5" numFmtId="164" xfId="0" applyAlignment="1" applyBorder="1" applyFont="1" applyNumberFormat="1">
      <alignment readingOrder="0"/>
    </xf>
    <xf borderId="0" fillId="3" fontId="5" numFmtId="0" xfId="0" applyAlignment="1" applyFont="1">
      <alignment readingOrder="0"/>
    </xf>
    <xf borderId="1" fillId="4" fontId="6" numFmtId="0" xfId="0" applyAlignment="1" applyBorder="1" applyFont="1">
      <alignment horizontal="left" vertical="bottom"/>
    </xf>
    <xf borderId="1" fillId="4" fontId="6" numFmtId="168" xfId="0" applyAlignment="1" applyBorder="1" applyFont="1" applyNumberFormat="1">
      <alignment horizontal="right" vertical="bottom"/>
    </xf>
    <xf borderId="1" fillId="4" fontId="6" numFmtId="0" xfId="0" applyAlignment="1" applyBorder="1" applyFont="1">
      <alignment horizontal="left" readingOrder="0" vertical="bottom"/>
    </xf>
    <xf borderId="1" fillId="3" fontId="5" numFmtId="49" xfId="0" applyAlignment="1" applyBorder="1" applyFont="1" applyNumberFormat="1">
      <alignment horizontal="center"/>
    </xf>
    <xf borderId="1" fillId="4" fontId="5" numFmtId="49" xfId="0" applyAlignment="1" applyBorder="1" applyFont="1" applyNumberFormat="1">
      <alignment horizontal="center"/>
    </xf>
    <xf borderId="0" fillId="3" fontId="11" numFmtId="0" xfId="0" applyAlignment="1" applyFont="1">
      <alignment horizontal="left" readingOrder="0"/>
    </xf>
    <xf borderId="1" fillId="4" fontId="5" numFmtId="164" xfId="0" applyAlignment="1" applyBorder="1" applyFont="1" applyNumberFormat="1">
      <alignment readingOrder="0"/>
    </xf>
    <xf borderId="0" fillId="0" fontId="5" numFmtId="3" xfId="0" applyAlignment="1" applyFont="1" applyNumberFormat="1">
      <alignment horizontal="center" readingOrder="0"/>
    </xf>
    <xf borderId="0" fillId="0" fontId="5" numFmtId="0" xfId="0" applyAlignment="1" applyFont="1">
      <alignment horizontal="left" readingOrder="0"/>
    </xf>
    <xf borderId="0" fillId="0" fontId="5" numFmtId="0" xfId="0" applyAlignment="1" applyFont="1">
      <alignment horizontal="center" readingOrder="0"/>
    </xf>
    <xf borderId="0" fillId="0" fontId="5" numFmtId="0" xfId="0" applyAlignment="1" applyFont="1">
      <alignment horizontal="right" readingOrder="0"/>
    </xf>
    <xf borderId="0" fillId="0" fontId="5" numFmtId="166" xfId="0" applyAlignment="1" applyFont="1" applyNumberFormat="1">
      <alignment horizontal="right" readingOrder="0"/>
    </xf>
    <xf borderId="0" fillId="0" fontId="5" numFmtId="0" xfId="0" applyAlignment="1" applyFont="1">
      <alignment horizontal="center"/>
    </xf>
    <xf borderId="0" fillId="0" fontId="5" numFmtId="166" xfId="0" applyAlignment="1" applyFont="1" applyNumberFormat="1">
      <alignment readingOrder="0"/>
    </xf>
    <xf borderId="0" fillId="0" fontId="5" numFmtId="0" xfId="0" applyAlignment="1" applyFont="1">
      <alignment readingOrder="0"/>
    </xf>
    <xf borderId="0" fillId="4" fontId="5" numFmtId="0" xfId="0" applyAlignment="1" applyFont="1">
      <alignment horizontal="left" readingOrder="0"/>
    </xf>
    <xf borderId="0" fillId="4" fontId="5" numFmtId="164" xfId="0" applyAlignment="1" applyFont="1" applyNumberFormat="1">
      <alignment horizontal="right" readingOrder="0"/>
    </xf>
    <xf borderId="0" fillId="4" fontId="5" numFmtId="0" xfId="0" applyAlignment="1" applyFont="1">
      <alignment horizontal="center"/>
    </xf>
    <xf borderId="0" fillId="4" fontId="5" numFmtId="0" xfId="0" applyAlignment="1" applyFont="1">
      <alignment readingOrder="0"/>
    </xf>
    <xf borderId="0" fillId="4" fontId="5" numFmtId="166" xfId="0" applyAlignment="1" applyFont="1" applyNumberFormat="1">
      <alignment readingOrder="0"/>
    </xf>
    <xf borderId="1" fillId="3" fontId="5" numFmtId="0" xfId="0" applyAlignment="1" applyBorder="1" applyFont="1">
      <alignment horizontal="left"/>
    </xf>
    <xf borderId="1" fillId="3" fontId="5" numFmtId="0" xfId="0" applyAlignment="1" applyBorder="1" applyFont="1">
      <alignment horizontal="left" shrinkToFit="0" wrapText="0"/>
    </xf>
    <xf borderId="0" fillId="4" fontId="5" numFmtId="0" xfId="0" applyAlignment="1" applyFont="1">
      <alignment horizontal="center"/>
    </xf>
    <xf borderId="0" fillId="4" fontId="5" numFmtId="0" xfId="0" applyFont="1"/>
    <xf borderId="0" fillId="4" fontId="5" numFmtId="0" xfId="0" applyAlignment="1" applyFont="1">
      <alignment horizontal="left"/>
    </xf>
    <xf borderId="0" fillId="4" fontId="5" numFmtId="0" xfId="0" applyAlignment="1" applyFont="1">
      <alignment horizontal="right"/>
    </xf>
    <xf borderId="0" fillId="4" fontId="5" numFmtId="164" xfId="0" applyAlignment="1" applyFont="1" applyNumberFormat="1">
      <alignment horizontal="right"/>
    </xf>
    <xf borderId="0" fillId="4" fontId="5" numFmtId="0" xfId="0" applyAlignment="1" applyFont="1">
      <alignment horizontal="left" shrinkToFit="0" wrapText="0"/>
    </xf>
    <xf borderId="0" fillId="3" fontId="5" numFmtId="0" xfId="0" applyAlignment="1" applyFont="1">
      <alignment horizontal="center"/>
    </xf>
    <xf borderId="0" fillId="3" fontId="5" numFmtId="0" xfId="0" applyFont="1"/>
    <xf borderId="0" fillId="3" fontId="5" numFmtId="0" xfId="0" applyAlignment="1" applyFont="1">
      <alignment horizontal="left"/>
    </xf>
    <xf borderId="0" fillId="3" fontId="5" numFmtId="0" xfId="0" applyAlignment="1" applyFont="1">
      <alignment horizontal="right"/>
    </xf>
    <xf borderId="0" fillId="3" fontId="5" numFmtId="164" xfId="0" applyAlignment="1" applyFont="1" applyNumberFormat="1">
      <alignment horizontal="right"/>
    </xf>
    <xf borderId="0" fillId="3" fontId="5" numFmtId="0" xfId="0" applyAlignment="1" applyFont="1">
      <alignment horizontal="left" shrinkToFit="0" wrapText="0"/>
    </xf>
    <xf borderId="1" fillId="7" fontId="12" numFmtId="0" xfId="0" applyAlignment="1" applyBorder="1" applyFont="1">
      <alignment horizontal="center" shrinkToFit="0" vertical="bottom" wrapText="1"/>
    </xf>
    <xf borderId="2" fillId="7" fontId="12" numFmtId="0" xfId="0" applyAlignment="1" applyBorder="1" applyFont="1">
      <alignment horizontal="center" vertical="bottom"/>
    </xf>
    <xf borderId="2" fillId="7" fontId="12" numFmtId="0" xfId="0" applyAlignment="1" applyBorder="1" applyFont="1">
      <alignment horizontal="center" shrinkToFit="0" vertical="bottom" wrapText="1"/>
    </xf>
    <xf borderId="1" fillId="0" fontId="6" numFmtId="0" xfId="0" applyAlignment="1" applyBorder="1" applyFont="1">
      <alignment horizontal="center" vertical="bottom"/>
    </xf>
    <xf borderId="1" fillId="0" fontId="6" numFmtId="172" xfId="0" applyAlignment="1" applyBorder="1" applyFont="1" applyNumberFormat="1">
      <alignment horizontal="center" shrinkToFit="0" vertical="bottom" wrapText="1"/>
    </xf>
    <xf borderId="1" fillId="0" fontId="6" numFmtId="172" xfId="0" applyAlignment="1" applyBorder="1" applyFont="1" applyNumberFormat="1">
      <alignment horizontal="center" vertical="bottom"/>
    </xf>
    <xf borderId="2" fillId="7" fontId="12" numFmtId="0" xfId="0" applyAlignment="1" applyBorder="1" applyFont="1">
      <alignment horizontal="center" readingOrder="0" shrinkToFit="0" vertical="bottom" wrapText="1"/>
    </xf>
    <xf borderId="1" fillId="0" fontId="5" numFmtId="0" xfId="0" applyAlignment="1" applyBorder="1" applyFont="1">
      <alignment horizontal="center"/>
    </xf>
    <xf borderId="1" fillId="0" fontId="5" numFmtId="172" xfId="0" applyAlignment="1" applyBorder="1" applyFont="1" applyNumberFormat="1">
      <alignment horizontal="center"/>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VTR DESCARG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885" displayName="Table_1" name="Table_1" id="1">
  <tableColumns count="11">
    <tableColumn name="OS" id="1"/>
    <tableColumn name="PLACA" id="2"/>
    <tableColumn name="ANO" id="3"/>
    <tableColumn name="MARCA/MODELO" id="4"/>
    <tableColumn name="UNIDADE" id="5"/>
    <tableColumn name="Prefixo" id="6"/>
    <tableColumn name="DATA DE ENTRADA NA LINHA" id="7"/>
    <tableColumn name="TEMPO PARADA" id="8"/>
    <tableColumn name="PROBLEMA RELATADO" id="9"/>
    <tableColumn name="DATA DE SAÍDA" id="10"/>
    <tableColumn name="DESTINO" id="11"/>
  </tableColumns>
  <tableStyleInfo name="VTR DESCARG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op.ve/" TargetMode="External"/><Relationship Id="rId2" Type="http://schemas.openxmlformats.org/officeDocument/2006/relationships/hyperlink" Target="http://op.ve/"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2.75"/>
    <col customWidth="1" min="3" max="3" width="10.63"/>
    <col customWidth="1" min="4" max="4" width="31.5"/>
    <col customWidth="1" min="5" max="5" width="20.13"/>
    <col customWidth="1" min="7" max="7" width="18.75"/>
    <col customWidth="1" min="8" max="8" width="15.25"/>
    <col customWidth="1" min="9" max="9" width="76.63"/>
    <col customWidth="1" min="11" max="11" width="32.0"/>
  </cols>
  <sheetData>
    <row r="1">
      <c r="A1" s="1" t="s">
        <v>0</v>
      </c>
      <c r="B1" s="2" t="s">
        <v>1</v>
      </c>
      <c r="C1" s="2" t="s">
        <v>2</v>
      </c>
      <c r="D1" s="2" t="s">
        <v>3</v>
      </c>
      <c r="E1" s="2" t="s">
        <v>4</v>
      </c>
      <c r="F1" s="3" t="s">
        <v>5</v>
      </c>
      <c r="G1" s="4" t="s">
        <v>6</v>
      </c>
      <c r="H1" s="4" t="s">
        <v>7</v>
      </c>
      <c r="I1" s="4" t="s">
        <v>8</v>
      </c>
      <c r="J1" s="4" t="s">
        <v>9</v>
      </c>
      <c r="K1" s="4" t="s">
        <v>10</v>
      </c>
      <c r="L1" s="5" t="s">
        <v>11</v>
      </c>
      <c r="M1" s="5"/>
      <c r="N1" s="5"/>
      <c r="O1" s="5"/>
      <c r="P1" s="5"/>
      <c r="Q1" s="5"/>
      <c r="R1" s="5"/>
      <c r="S1" s="5"/>
      <c r="T1" s="5"/>
      <c r="U1" s="5"/>
      <c r="V1" s="5"/>
      <c r="W1" s="5"/>
      <c r="X1" s="5"/>
      <c r="Y1" s="5"/>
      <c r="Z1" s="5"/>
    </row>
    <row r="2">
      <c r="A2" s="6" t="s">
        <v>12</v>
      </c>
      <c r="B2" s="7" t="s">
        <v>13</v>
      </c>
      <c r="C2" s="8"/>
      <c r="D2" s="7" t="s">
        <v>14</v>
      </c>
      <c r="E2" s="7" t="s">
        <v>15</v>
      </c>
      <c r="F2" s="6" t="s">
        <v>16</v>
      </c>
      <c r="G2" s="9">
        <v>46027.0</v>
      </c>
      <c r="H2" s="10">
        <v>0.0</v>
      </c>
      <c r="I2" s="8" t="s">
        <v>17</v>
      </c>
      <c r="J2" s="11">
        <v>46027.0</v>
      </c>
      <c r="K2" s="7" t="s">
        <v>17</v>
      </c>
      <c r="L2" s="8"/>
      <c r="M2" s="12"/>
      <c r="N2" s="12"/>
      <c r="O2" s="12"/>
      <c r="P2" s="12"/>
      <c r="Q2" s="12"/>
      <c r="R2" s="12"/>
      <c r="S2" s="12"/>
      <c r="T2" s="12"/>
      <c r="U2" s="12"/>
      <c r="V2" s="12"/>
      <c r="W2" s="12"/>
      <c r="X2" s="12"/>
      <c r="Y2" s="12"/>
      <c r="Z2" s="12"/>
    </row>
    <row r="3">
      <c r="A3" s="13" t="s">
        <v>18</v>
      </c>
      <c r="B3" s="14" t="s">
        <v>19</v>
      </c>
      <c r="C3" s="15">
        <v>2022.0</v>
      </c>
      <c r="D3" s="14" t="s">
        <v>20</v>
      </c>
      <c r="E3" s="14" t="s">
        <v>21</v>
      </c>
      <c r="F3" s="13" t="s">
        <v>22</v>
      </c>
      <c r="G3" s="16">
        <v>46174.0</v>
      </c>
      <c r="H3" s="17">
        <v>0.0</v>
      </c>
      <c r="I3" s="18" t="s">
        <v>23</v>
      </c>
      <c r="J3" s="19">
        <v>46174.0</v>
      </c>
      <c r="K3" s="14" t="s">
        <v>24</v>
      </c>
      <c r="L3" s="18">
        <v>68335.0</v>
      </c>
      <c r="M3" s="12"/>
      <c r="N3" s="12"/>
      <c r="O3" s="12"/>
      <c r="P3" s="12"/>
      <c r="Q3" s="12"/>
      <c r="R3" s="12"/>
      <c r="S3" s="12"/>
      <c r="T3" s="12"/>
      <c r="U3" s="12"/>
      <c r="V3" s="12"/>
      <c r="W3" s="12"/>
      <c r="X3" s="12"/>
      <c r="Y3" s="12"/>
      <c r="Z3" s="12"/>
    </row>
    <row r="4">
      <c r="A4" s="20" t="s">
        <v>25</v>
      </c>
      <c r="B4" s="21" t="s">
        <v>26</v>
      </c>
      <c r="C4" s="22">
        <v>2013.0</v>
      </c>
      <c r="D4" s="21" t="s">
        <v>27</v>
      </c>
      <c r="E4" s="21" t="s">
        <v>28</v>
      </c>
      <c r="F4" s="20" t="s">
        <v>29</v>
      </c>
      <c r="G4" s="23">
        <v>46188.0</v>
      </c>
      <c r="H4" s="10">
        <v>0.0</v>
      </c>
      <c r="I4" s="24" t="s">
        <v>30</v>
      </c>
      <c r="J4" s="25">
        <v>46189.0</v>
      </c>
      <c r="K4" s="21" t="s">
        <v>31</v>
      </c>
      <c r="L4" s="24">
        <v>175283.0</v>
      </c>
      <c r="M4" s="12"/>
      <c r="N4" s="12"/>
      <c r="O4" s="12"/>
      <c r="P4" s="12"/>
      <c r="Q4" s="12"/>
      <c r="R4" s="12"/>
      <c r="S4" s="12"/>
      <c r="T4" s="12"/>
      <c r="U4" s="12"/>
      <c r="V4" s="12"/>
      <c r="W4" s="12"/>
      <c r="X4" s="12"/>
      <c r="Y4" s="12"/>
      <c r="Z4" s="12"/>
    </row>
    <row r="5">
      <c r="A5" s="26" t="s">
        <v>32</v>
      </c>
      <c r="B5" s="27" t="s">
        <v>33</v>
      </c>
      <c r="C5" s="28"/>
      <c r="D5" s="27" t="s">
        <v>34</v>
      </c>
      <c r="E5" s="27" t="s">
        <v>35</v>
      </c>
      <c r="F5" s="26" t="s">
        <v>36</v>
      </c>
      <c r="G5" s="29">
        <v>46028.0</v>
      </c>
      <c r="H5" s="17">
        <v>1.0</v>
      </c>
      <c r="I5" s="28" t="s">
        <v>37</v>
      </c>
      <c r="J5" s="30">
        <v>46029.0</v>
      </c>
      <c r="K5" s="27" t="s">
        <v>37</v>
      </c>
      <c r="L5" s="28"/>
      <c r="M5" s="12"/>
      <c r="N5" s="12"/>
      <c r="O5" s="12"/>
      <c r="P5" s="12"/>
      <c r="Q5" s="12"/>
      <c r="R5" s="12"/>
      <c r="S5" s="12"/>
      <c r="T5" s="12"/>
      <c r="U5" s="12"/>
      <c r="V5" s="12"/>
      <c r="W5" s="12"/>
      <c r="X5" s="12"/>
      <c r="Y5" s="12"/>
      <c r="Z5" s="12"/>
    </row>
    <row r="6">
      <c r="A6" s="20" t="s">
        <v>38</v>
      </c>
      <c r="B6" s="21" t="s">
        <v>39</v>
      </c>
      <c r="C6" s="22">
        <v>2022.0</v>
      </c>
      <c r="D6" s="21" t="s">
        <v>40</v>
      </c>
      <c r="E6" s="21" t="s">
        <v>41</v>
      </c>
      <c r="F6" s="20" t="s">
        <v>42</v>
      </c>
      <c r="G6" s="23">
        <v>46219.0</v>
      </c>
      <c r="H6" s="10">
        <v>0.0</v>
      </c>
      <c r="I6" s="24" t="s">
        <v>43</v>
      </c>
      <c r="J6" s="25">
        <v>46220.0</v>
      </c>
      <c r="K6" s="21" t="s">
        <v>44</v>
      </c>
      <c r="L6" s="24">
        <v>219196.0</v>
      </c>
      <c r="M6" s="12"/>
      <c r="N6" s="12"/>
      <c r="O6" s="12"/>
      <c r="P6" s="12"/>
      <c r="Q6" s="12"/>
      <c r="R6" s="12"/>
      <c r="S6" s="12"/>
      <c r="T6" s="12"/>
      <c r="U6" s="12"/>
      <c r="V6" s="12"/>
      <c r="W6" s="12"/>
      <c r="X6" s="12"/>
      <c r="Y6" s="12"/>
      <c r="Z6" s="12"/>
    </row>
    <row r="7">
      <c r="A7" s="13" t="s">
        <v>45</v>
      </c>
      <c r="B7" s="14" t="s">
        <v>46</v>
      </c>
      <c r="C7" s="15">
        <v>2022.0</v>
      </c>
      <c r="D7" s="14" t="s">
        <v>20</v>
      </c>
      <c r="E7" s="14" t="s">
        <v>47</v>
      </c>
      <c r="F7" s="13" t="s">
        <v>48</v>
      </c>
      <c r="G7" s="16">
        <v>46174.0</v>
      </c>
      <c r="H7" s="17">
        <v>0.0</v>
      </c>
      <c r="I7" s="18" t="s">
        <v>49</v>
      </c>
      <c r="J7" s="19">
        <v>46174.0</v>
      </c>
      <c r="K7" s="14" t="s">
        <v>31</v>
      </c>
      <c r="L7" s="18">
        <v>82203.0</v>
      </c>
      <c r="M7" s="12"/>
      <c r="N7" s="12"/>
      <c r="O7" s="12"/>
      <c r="P7" s="12"/>
      <c r="Q7" s="12"/>
      <c r="R7" s="12"/>
      <c r="S7" s="12"/>
      <c r="T7" s="12"/>
      <c r="U7" s="12"/>
      <c r="V7" s="12"/>
      <c r="W7" s="12"/>
      <c r="X7" s="12"/>
      <c r="Y7" s="12"/>
      <c r="Z7" s="12"/>
    </row>
    <row r="8">
      <c r="A8" s="6" t="s">
        <v>50</v>
      </c>
      <c r="B8" s="7" t="s">
        <v>51</v>
      </c>
      <c r="C8" s="31">
        <v>2021.0</v>
      </c>
      <c r="D8" s="7" t="s">
        <v>52</v>
      </c>
      <c r="E8" s="7" t="s">
        <v>53</v>
      </c>
      <c r="F8" s="6" t="s">
        <v>54</v>
      </c>
      <c r="G8" s="9">
        <v>46028.0</v>
      </c>
      <c r="H8" s="10">
        <v>1.0</v>
      </c>
      <c r="I8" s="8" t="s">
        <v>55</v>
      </c>
      <c r="J8" s="11">
        <v>46029.0</v>
      </c>
      <c r="K8" s="7" t="s">
        <v>56</v>
      </c>
      <c r="L8" s="8"/>
      <c r="M8" s="12"/>
      <c r="N8" s="12"/>
      <c r="O8" s="12"/>
      <c r="P8" s="12"/>
      <c r="Q8" s="12"/>
      <c r="R8" s="12"/>
      <c r="S8" s="12"/>
      <c r="T8" s="12"/>
      <c r="U8" s="12"/>
      <c r="V8" s="12"/>
      <c r="W8" s="12"/>
      <c r="X8" s="12"/>
      <c r="Y8" s="12"/>
      <c r="Z8" s="12"/>
    </row>
    <row r="9">
      <c r="A9" s="26" t="s">
        <v>57</v>
      </c>
      <c r="B9" s="27" t="s">
        <v>58</v>
      </c>
      <c r="C9" s="32">
        <v>2022.0</v>
      </c>
      <c r="D9" s="27" t="s">
        <v>59</v>
      </c>
      <c r="E9" s="27" t="s">
        <v>53</v>
      </c>
      <c r="F9" s="26" t="s">
        <v>60</v>
      </c>
      <c r="G9" s="29">
        <v>46028.0</v>
      </c>
      <c r="H9" s="17">
        <v>3.0</v>
      </c>
      <c r="I9" s="28" t="s">
        <v>61</v>
      </c>
      <c r="J9" s="30">
        <v>46031.0</v>
      </c>
      <c r="K9" s="27" t="s">
        <v>56</v>
      </c>
      <c r="L9" s="28"/>
      <c r="M9" s="12"/>
      <c r="N9" s="12"/>
      <c r="O9" s="12"/>
      <c r="P9" s="12"/>
      <c r="Q9" s="12"/>
      <c r="R9" s="12"/>
      <c r="S9" s="12"/>
      <c r="T9" s="12"/>
      <c r="U9" s="12"/>
      <c r="V9" s="12"/>
      <c r="W9" s="12"/>
      <c r="X9" s="12"/>
      <c r="Y9" s="12"/>
      <c r="Z9" s="12"/>
    </row>
    <row r="10">
      <c r="A10" s="6" t="s">
        <v>62</v>
      </c>
      <c r="B10" s="7" t="s">
        <v>63</v>
      </c>
      <c r="C10" s="8"/>
      <c r="D10" s="7" t="s">
        <v>59</v>
      </c>
      <c r="E10" s="7" t="s">
        <v>64</v>
      </c>
      <c r="F10" s="6" t="s">
        <v>65</v>
      </c>
      <c r="G10" s="9">
        <v>46028.0</v>
      </c>
      <c r="H10" s="10">
        <v>0.0</v>
      </c>
      <c r="I10" s="8" t="s">
        <v>66</v>
      </c>
      <c r="J10" s="11">
        <v>46028.0</v>
      </c>
      <c r="K10" s="7" t="s">
        <v>66</v>
      </c>
      <c r="L10" s="8"/>
      <c r="M10" s="12"/>
      <c r="N10" s="12"/>
      <c r="O10" s="12"/>
      <c r="P10" s="12"/>
      <c r="Q10" s="12"/>
      <c r="R10" s="12"/>
      <c r="S10" s="12"/>
      <c r="T10" s="12"/>
      <c r="U10" s="12"/>
      <c r="V10" s="12"/>
      <c r="W10" s="12"/>
      <c r="X10" s="12"/>
      <c r="Y10" s="12"/>
      <c r="Z10" s="12"/>
    </row>
    <row r="11">
      <c r="A11" s="20" t="s">
        <v>67</v>
      </c>
      <c r="B11" s="21" t="s">
        <v>68</v>
      </c>
      <c r="C11" s="24">
        <v>2023.0</v>
      </c>
      <c r="D11" s="21" t="s">
        <v>69</v>
      </c>
      <c r="E11" s="21" t="s">
        <v>70</v>
      </c>
      <c r="F11" s="20" t="s">
        <v>71</v>
      </c>
      <c r="G11" s="23">
        <v>46163.0</v>
      </c>
      <c r="H11" s="10">
        <v>126.0</v>
      </c>
      <c r="I11" s="24" t="s">
        <v>72</v>
      </c>
      <c r="J11" s="33">
        <v>46188.0</v>
      </c>
      <c r="K11" s="21" t="s">
        <v>24</v>
      </c>
      <c r="L11" s="24">
        <v>38911.0</v>
      </c>
      <c r="M11" s="12"/>
      <c r="N11" s="12"/>
      <c r="O11" s="12"/>
      <c r="P11" s="12"/>
      <c r="Q11" s="12"/>
      <c r="R11" s="12"/>
      <c r="S11" s="12"/>
      <c r="T11" s="12"/>
      <c r="U11" s="12"/>
      <c r="V11" s="12"/>
      <c r="W11" s="12"/>
      <c r="X11" s="12"/>
      <c r="Y11" s="12"/>
      <c r="Z11" s="12"/>
    </row>
    <row r="12">
      <c r="A12" s="26" t="s">
        <v>73</v>
      </c>
      <c r="B12" s="27" t="s">
        <v>74</v>
      </c>
      <c r="C12" s="28"/>
      <c r="D12" s="27" t="s">
        <v>75</v>
      </c>
      <c r="E12" s="27" t="s">
        <v>76</v>
      </c>
      <c r="F12" s="26" t="s">
        <v>77</v>
      </c>
      <c r="G12" s="29">
        <v>46030.0</v>
      </c>
      <c r="H12" s="17">
        <v>53.0</v>
      </c>
      <c r="I12" s="28" t="s">
        <v>78</v>
      </c>
      <c r="J12" s="30">
        <v>46083.0</v>
      </c>
      <c r="K12" s="27" t="s">
        <v>78</v>
      </c>
      <c r="L12" s="28"/>
      <c r="M12" s="12"/>
      <c r="N12" s="12"/>
      <c r="O12" s="12"/>
      <c r="P12" s="12"/>
      <c r="Q12" s="12"/>
      <c r="R12" s="12"/>
      <c r="S12" s="12"/>
      <c r="T12" s="12"/>
      <c r="U12" s="12"/>
      <c r="V12" s="12"/>
      <c r="W12" s="12"/>
      <c r="X12" s="12"/>
      <c r="Y12" s="12"/>
      <c r="Z12" s="12"/>
    </row>
    <row r="13">
      <c r="A13" s="6" t="s">
        <v>79</v>
      </c>
      <c r="B13" s="7" t="s">
        <v>80</v>
      </c>
      <c r="C13" s="31">
        <v>2020.0</v>
      </c>
      <c r="D13" s="7" t="s">
        <v>81</v>
      </c>
      <c r="E13" s="7" t="s">
        <v>82</v>
      </c>
      <c r="F13" s="6" t="s">
        <v>83</v>
      </c>
      <c r="G13" s="9">
        <v>46030.0</v>
      </c>
      <c r="H13" s="10">
        <v>0.0</v>
      </c>
      <c r="I13" s="8" t="s">
        <v>84</v>
      </c>
      <c r="J13" s="11">
        <v>46030.0</v>
      </c>
      <c r="K13" s="7" t="s">
        <v>84</v>
      </c>
      <c r="L13" s="8"/>
      <c r="M13" s="12"/>
      <c r="N13" s="12"/>
      <c r="O13" s="12"/>
      <c r="P13" s="12"/>
      <c r="Q13" s="12"/>
      <c r="R13" s="12"/>
      <c r="S13" s="12"/>
      <c r="T13" s="12"/>
      <c r="U13" s="12"/>
      <c r="V13" s="12"/>
      <c r="W13" s="12"/>
      <c r="X13" s="12"/>
      <c r="Y13" s="12"/>
      <c r="Z13" s="12"/>
    </row>
    <row r="14">
      <c r="A14" s="26" t="s">
        <v>85</v>
      </c>
      <c r="B14" s="27" t="s">
        <v>86</v>
      </c>
      <c r="C14" s="28"/>
      <c r="D14" s="27" t="s">
        <v>14</v>
      </c>
      <c r="E14" s="27" t="s">
        <v>87</v>
      </c>
      <c r="F14" s="26" t="s">
        <v>88</v>
      </c>
      <c r="G14" s="29">
        <v>46030.0</v>
      </c>
      <c r="H14" s="17">
        <v>0.0</v>
      </c>
      <c r="I14" s="28" t="s">
        <v>37</v>
      </c>
      <c r="J14" s="30">
        <v>46030.0</v>
      </c>
      <c r="K14" s="27" t="s">
        <v>37</v>
      </c>
      <c r="L14" s="28"/>
      <c r="M14" s="12"/>
      <c r="N14" s="12"/>
      <c r="O14" s="12"/>
      <c r="P14" s="12"/>
      <c r="Q14" s="12"/>
      <c r="R14" s="12"/>
      <c r="S14" s="12"/>
      <c r="T14" s="12"/>
      <c r="U14" s="12"/>
      <c r="V14" s="12"/>
      <c r="W14" s="12"/>
      <c r="X14" s="12"/>
      <c r="Y14" s="12"/>
      <c r="Z14" s="12"/>
    </row>
    <row r="15">
      <c r="A15" s="6" t="s">
        <v>89</v>
      </c>
      <c r="B15" s="7" t="s">
        <v>90</v>
      </c>
      <c r="C15" s="8"/>
      <c r="D15" s="7" t="s">
        <v>14</v>
      </c>
      <c r="E15" s="7" t="s">
        <v>91</v>
      </c>
      <c r="F15" s="6" t="s">
        <v>92</v>
      </c>
      <c r="G15" s="9">
        <v>46030.0</v>
      </c>
      <c r="H15" s="10">
        <v>5.0</v>
      </c>
      <c r="I15" s="8" t="s">
        <v>37</v>
      </c>
      <c r="J15" s="11">
        <v>46035.0</v>
      </c>
      <c r="K15" s="7" t="s">
        <v>37</v>
      </c>
      <c r="L15" s="8"/>
      <c r="M15" s="12"/>
      <c r="N15" s="12"/>
      <c r="O15" s="12"/>
      <c r="P15" s="12"/>
      <c r="Q15" s="12"/>
      <c r="R15" s="12"/>
      <c r="S15" s="12"/>
      <c r="T15" s="12"/>
      <c r="U15" s="12"/>
      <c r="V15" s="12"/>
      <c r="W15" s="12"/>
      <c r="X15" s="12"/>
      <c r="Y15" s="12"/>
      <c r="Z15" s="12"/>
    </row>
    <row r="16">
      <c r="A16" s="26" t="s">
        <v>93</v>
      </c>
      <c r="B16" s="27" t="s">
        <v>94</v>
      </c>
      <c r="C16" s="32">
        <v>2022.0</v>
      </c>
      <c r="D16" s="27" t="s">
        <v>52</v>
      </c>
      <c r="E16" s="27" t="s">
        <v>95</v>
      </c>
      <c r="F16" s="26" t="s">
        <v>96</v>
      </c>
      <c r="G16" s="29">
        <v>46030.0</v>
      </c>
      <c r="H16" s="17">
        <v>0.0</v>
      </c>
      <c r="I16" s="28" t="s">
        <v>56</v>
      </c>
      <c r="J16" s="30">
        <v>46030.0</v>
      </c>
      <c r="K16" s="27" t="s">
        <v>56</v>
      </c>
      <c r="L16" s="28"/>
      <c r="M16" s="12"/>
      <c r="N16" s="12"/>
      <c r="O16" s="12"/>
      <c r="P16" s="12"/>
      <c r="Q16" s="12"/>
      <c r="R16" s="12"/>
      <c r="S16" s="12"/>
      <c r="T16" s="12"/>
      <c r="U16" s="12"/>
      <c r="V16" s="12"/>
      <c r="W16" s="12"/>
      <c r="X16" s="12"/>
      <c r="Y16" s="12"/>
      <c r="Z16" s="12"/>
    </row>
    <row r="17">
      <c r="A17" s="20" t="s">
        <v>97</v>
      </c>
      <c r="B17" s="21" t="s">
        <v>98</v>
      </c>
      <c r="C17" s="22">
        <v>2022.0</v>
      </c>
      <c r="D17" s="21" t="s">
        <v>40</v>
      </c>
      <c r="E17" s="21" t="s">
        <v>99</v>
      </c>
      <c r="F17" s="20" t="s">
        <v>100</v>
      </c>
      <c r="G17" s="23">
        <v>46217.0</v>
      </c>
      <c r="H17" s="10">
        <v>4.0</v>
      </c>
      <c r="I17" s="24" t="s">
        <v>101</v>
      </c>
      <c r="J17" s="25">
        <v>46219.0</v>
      </c>
      <c r="K17" s="21" t="s">
        <v>102</v>
      </c>
      <c r="L17" s="24">
        <v>69087.0</v>
      </c>
      <c r="M17" s="12"/>
      <c r="N17" s="12"/>
      <c r="O17" s="12"/>
      <c r="P17" s="12"/>
      <c r="Q17" s="12"/>
      <c r="R17" s="12"/>
      <c r="S17" s="12"/>
      <c r="T17" s="12"/>
      <c r="U17" s="12"/>
      <c r="V17" s="12"/>
      <c r="W17" s="12"/>
      <c r="X17" s="12"/>
      <c r="Y17" s="12"/>
      <c r="Z17" s="12"/>
    </row>
    <row r="18">
      <c r="A18" s="26" t="s">
        <v>103</v>
      </c>
      <c r="B18" s="27" t="s">
        <v>104</v>
      </c>
      <c r="C18" s="28"/>
      <c r="D18" s="27" t="s">
        <v>105</v>
      </c>
      <c r="E18" s="27" t="s">
        <v>106</v>
      </c>
      <c r="F18" s="26" t="s">
        <v>107</v>
      </c>
      <c r="G18" s="29">
        <v>46030.0</v>
      </c>
      <c r="H18" s="17">
        <v>0.0</v>
      </c>
      <c r="I18" s="28" t="s">
        <v>108</v>
      </c>
      <c r="J18" s="30">
        <v>46030.0</v>
      </c>
      <c r="K18" s="27" t="s">
        <v>109</v>
      </c>
      <c r="L18" s="28"/>
      <c r="M18" s="12"/>
      <c r="N18" s="12"/>
      <c r="O18" s="12"/>
      <c r="P18" s="12"/>
      <c r="Q18" s="12"/>
      <c r="R18" s="12"/>
      <c r="S18" s="12"/>
      <c r="T18" s="12"/>
      <c r="U18" s="12"/>
      <c r="V18" s="12"/>
      <c r="W18" s="12"/>
      <c r="X18" s="12"/>
      <c r="Y18" s="12"/>
      <c r="Z18" s="12"/>
    </row>
    <row r="19">
      <c r="A19" s="20" t="s">
        <v>110</v>
      </c>
      <c r="B19" s="21" t="s">
        <v>111</v>
      </c>
      <c r="C19" s="22">
        <v>2022.0</v>
      </c>
      <c r="D19" s="21" t="s">
        <v>40</v>
      </c>
      <c r="E19" s="21" t="s">
        <v>28</v>
      </c>
      <c r="F19" s="20" t="s">
        <v>112</v>
      </c>
      <c r="G19" s="23">
        <v>46220.0</v>
      </c>
      <c r="H19" s="10">
        <v>0.0</v>
      </c>
      <c r="I19" s="24" t="s">
        <v>113</v>
      </c>
      <c r="J19" s="25">
        <v>46223.0</v>
      </c>
      <c r="K19" s="21" t="s">
        <v>114</v>
      </c>
      <c r="L19" s="24">
        <v>98306.0</v>
      </c>
      <c r="M19" s="12"/>
      <c r="N19" s="12"/>
      <c r="O19" s="12"/>
      <c r="P19" s="12"/>
      <c r="Q19" s="12"/>
      <c r="R19" s="12"/>
      <c r="S19" s="12"/>
      <c r="T19" s="12"/>
      <c r="U19" s="12"/>
      <c r="V19" s="12"/>
      <c r="W19" s="12"/>
      <c r="X19" s="12"/>
      <c r="Y19" s="12"/>
      <c r="Z19" s="12"/>
    </row>
    <row r="20">
      <c r="A20" s="26" t="s">
        <v>115</v>
      </c>
      <c r="B20" s="27" t="s">
        <v>116</v>
      </c>
      <c r="C20" s="28"/>
      <c r="D20" s="27" t="s">
        <v>52</v>
      </c>
      <c r="E20" s="27" t="s">
        <v>117</v>
      </c>
      <c r="F20" s="26" t="s">
        <v>118</v>
      </c>
      <c r="G20" s="29">
        <v>46030.0</v>
      </c>
      <c r="H20" s="17">
        <v>0.0</v>
      </c>
      <c r="I20" s="28" t="s">
        <v>37</v>
      </c>
      <c r="J20" s="30">
        <v>46030.0</v>
      </c>
      <c r="K20" s="27" t="s">
        <v>37</v>
      </c>
      <c r="L20" s="28"/>
      <c r="M20" s="12"/>
      <c r="N20" s="12"/>
      <c r="O20" s="12"/>
      <c r="P20" s="12"/>
      <c r="Q20" s="12"/>
      <c r="R20" s="12"/>
      <c r="S20" s="12"/>
      <c r="T20" s="12"/>
      <c r="U20" s="12"/>
      <c r="V20" s="12"/>
      <c r="W20" s="12"/>
      <c r="X20" s="12"/>
      <c r="Y20" s="12"/>
      <c r="Z20" s="12"/>
    </row>
    <row r="21">
      <c r="A21" s="6" t="s">
        <v>119</v>
      </c>
      <c r="B21" s="7" t="s">
        <v>120</v>
      </c>
      <c r="C21" s="31">
        <v>2018.0</v>
      </c>
      <c r="D21" s="7" t="s">
        <v>52</v>
      </c>
      <c r="E21" s="7" t="s">
        <v>106</v>
      </c>
      <c r="F21" s="6" t="s">
        <v>121</v>
      </c>
      <c r="G21" s="9">
        <v>46030.0</v>
      </c>
      <c r="H21" s="10">
        <v>6.0</v>
      </c>
      <c r="I21" s="8" t="s">
        <v>122</v>
      </c>
      <c r="J21" s="11">
        <v>46036.0</v>
      </c>
      <c r="K21" s="7" t="s">
        <v>56</v>
      </c>
      <c r="L21" s="8"/>
      <c r="M21" s="12"/>
      <c r="N21" s="12"/>
      <c r="O21" s="12"/>
      <c r="P21" s="12"/>
      <c r="Q21" s="12"/>
      <c r="R21" s="12"/>
      <c r="S21" s="12"/>
      <c r="T21" s="12"/>
      <c r="U21" s="12"/>
      <c r="V21" s="12"/>
      <c r="W21" s="12"/>
      <c r="X21" s="12"/>
      <c r="Y21" s="12"/>
      <c r="Z21" s="12"/>
    </row>
    <row r="22">
      <c r="A22" s="26" t="s">
        <v>123</v>
      </c>
      <c r="B22" s="27" t="s">
        <v>124</v>
      </c>
      <c r="C22" s="32">
        <v>2022.0</v>
      </c>
      <c r="D22" s="27" t="s">
        <v>52</v>
      </c>
      <c r="E22" s="27" t="s">
        <v>125</v>
      </c>
      <c r="F22" s="26" t="s">
        <v>126</v>
      </c>
      <c r="G22" s="29">
        <v>46030.0</v>
      </c>
      <c r="H22" s="17">
        <v>4.0</v>
      </c>
      <c r="I22" s="28" t="s">
        <v>127</v>
      </c>
      <c r="J22" s="30">
        <v>46034.0</v>
      </c>
      <c r="K22" s="27" t="s">
        <v>56</v>
      </c>
      <c r="L22" s="28"/>
      <c r="M22" s="12"/>
      <c r="N22" s="12"/>
      <c r="O22" s="12"/>
      <c r="P22" s="12"/>
      <c r="Q22" s="12"/>
      <c r="R22" s="12"/>
      <c r="S22" s="12"/>
      <c r="T22" s="12"/>
      <c r="U22" s="12"/>
      <c r="V22" s="12"/>
      <c r="W22" s="12"/>
      <c r="X22" s="12"/>
      <c r="Y22" s="12"/>
      <c r="Z22" s="12"/>
    </row>
    <row r="23">
      <c r="A23" s="26" t="s">
        <v>128</v>
      </c>
      <c r="B23" s="27" t="s">
        <v>129</v>
      </c>
      <c r="C23" s="32">
        <v>2014.0</v>
      </c>
      <c r="D23" s="27" t="s">
        <v>130</v>
      </c>
      <c r="E23" s="27" t="s">
        <v>131</v>
      </c>
      <c r="F23" s="26" t="s">
        <v>132</v>
      </c>
      <c r="G23" s="29">
        <v>46030.0</v>
      </c>
      <c r="H23" s="17">
        <v>0.0</v>
      </c>
      <c r="I23" s="28" t="s">
        <v>133</v>
      </c>
      <c r="J23" s="30">
        <v>46030.0</v>
      </c>
      <c r="K23" s="27" t="s">
        <v>56</v>
      </c>
      <c r="L23" s="28"/>
      <c r="M23" s="12"/>
      <c r="N23" s="12"/>
      <c r="O23" s="12"/>
      <c r="P23" s="12"/>
      <c r="Q23" s="12"/>
      <c r="R23" s="12"/>
      <c r="S23" s="12"/>
      <c r="T23" s="12"/>
      <c r="U23" s="12"/>
      <c r="V23" s="12"/>
      <c r="W23" s="12"/>
      <c r="X23" s="12"/>
      <c r="Y23" s="12"/>
      <c r="Z23" s="12"/>
    </row>
    <row r="24">
      <c r="A24" s="6" t="s">
        <v>134</v>
      </c>
      <c r="B24" s="7" t="s">
        <v>135</v>
      </c>
      <c r="C24" s="31">
        <v>2014.0</v>
      </c>
      <c r="D24" s="7" t="s">
        <v>136</v>
      </c>
      <c r="E24" s="7" t="s">
        <v>137</v>
      </c>
      <c r="F24" s="6" t="s">
        <v>138</v>
      </c>
      <c r="G24" s="9">
        <v>46030.0</v>
      </c>
      <c r="H24" s="10">
        <v>126.0</v>
      </c>
      <c r="I24" s="8" t="s">
        <v>139</v>
      </c>
      <c r="J24" s="34"/>
      <c r="K24" s="7" t="s">
        <v>56</v>
      </c>
      <c r="L24" s="8"/>
      <c r="M24" s="12"/>
      <c r="N24" s="12"/>
      <c r="O24" s="12"/>
      <c r="P24" s="12"/>
      <c r="Q24" s="12"/>
      <c r="R24" s="12"/>
      <c r="S24" s="12"/>
      <c r="T24" s="12"/>
      <c r="U24" s="12"/>
      <c r="V24" s="12"/>
      <c r="W24" s="12"/>
      <c r="X24" s="12"/>
      <c r="Y24" s="12"/>
      <c r="Z24" s="12"/>
    </row>
    <row r="25">
      <c r="A25" s="13" t="s">
        <v>140</v>
      </c>
      <c r="B25" s="14" t="s">
        <v>141</v>
      </c>
      <c r="C25" s="18">
        <v>2021.0</v>
      </c>
      <c r="D25" s="14" t="s">
        <v>142</v>
      </c>
      <c r="E25" s="14" t="s">
        <v>143</v>
      </c>
      <c r="F25" s="13" t="s">
        <v>144</v>
      </c>
      <c r="G25" s="16">
        <v>46161.0</v>
      </c>
      <c r="H25" s="17">
        <v>4.0</v>
      </c>
      <c r="I25" s="18" t="s">
        <v>145</v>
      </c>
      <c r="J25" s="19">
        <v>46164.0</v>
      </c>
      <c r="K25" s="14" t="s">
        <v>24</v>
      </c>
      <c r="L25" s="18">
        <v>20505.0</v>
      </c>
      <c r="M25" s="12"/>
      <c r="N25" s="12"/>
      <c r="O25" s="12"/>
      <c r="P25" s="12"/>
      <c r="Q25" s="12"/>
      <c r="R25" s="12"/>
      <c r="S25" s="12"/>
      <c r="T25" s="12"/>
      <c r="U25" s="12"/>
      <c r="V25" s="12"/>
      <c r="W25" s="12"/>
      <c r="X25" s="12"/>
      <c r="Y25" s="12"/>
      <c r="Z25" s="12"/>
    </row>
    <row r="26">
      <c r="A26" s="6" t="s">
        <v>146</v>
      </c>
      <c r="B26" s="7" t="s">
        <v>147</v>
      </c>
      <c r="C26" s="31">
        <v>2014.0</v>
      </c>
      <c r="D26" s="7" t="s">
        <v>148</v>
      </c>
      <c r="E26" s="7" t="s">
        <v>21</v>
      </c>
      <c r="F26" s="6" t="s">
        <v>149</v>
      </c>
      <c r="G26" s="9">
        <v>46030.0</v>
      </c>
      <c r="H26" s="10">
        <v>1.0</v>
      </c>
      <c r="I26" s="8" t="s">
        <v>150</v>
      </c>
      <c r="J26" s="11">
        <v>46031.0</v>
      </c>
      <c r="K26" s="7" t="s">
        <v>109</v>
      </c>
      <c r="L26" s="8"/>
      <c r="M26" s="12"/>
      <c r="N26" s="12"/>
      <c r="O26" s="12"/>
      <c r="P26" s="12"/>
      <c r="Q26" s="12"/>
      <c r="R26" s="12"/>
      <c r="S26" s="12"/>
      <c r="T26" s="12"/>
      <c r="U26" s="12"/>
      <c r="V26" s="12"/>
      <c r="W26" s="12"/>
      <c r="X26" s="12"/>
      <c r="Y26" s="12"/>
      <c r="Z26" s="12"/>
    </row>
    <row r="27">
      <c r="A27" s="26" t="s">
        <v>151</v>
      </c>
      <c r="B27" s="27" t="s">
        <v>152</v>
      </c>
      <c r="C27" s="28"/>
      <c r="D27" s="27" t="s">
        <v>34</v>
      </c>
      <c r="E27" s="27" t="s">
        <v>153</v>
      </c>
      <c r="F27" s="26" t="s">
        <v>154</v>
      </c>
      <c r="G27" s="29">
        <v>46031.0</v>
      </c>
      <c r="H27" s="17">
        <v>125.0</v>
      </c>
      <c r="I27" s="28" t="s">
        <v>17</v>
      </c>
      <c r="J27" s="35"/>
      <c r="K27" s="27" t="s">
        <v>17</v>
      </c>
      <c r="L27" s="28"/>
      <c r="M27" s="12"/>
      <c r="N27" s="12"/>
      <c r="O27" s="12"/>
      <c r="P27" s="12"/>
      <c r="Q27" s="12"/>
      <c r="R27" s="12"/>
      <c r="S27" s="12"/>
      <c r="T27" s="12"/>
      <c r="U27" s="12"/>
      <c r="V27" s="12"/>
      <c r="W27" s="12"/>
      <c r="X27" s="12"/>
      <c r="Y27" s="12"/>
      <c r="Z27" s="12"/>
    </row>
    <row r="28">
      <c r="A28" s="6" t="s">
        <v>155</v>
      </c>
      <c r="B28" s="7" t="s">
        <v>156</v>
      </c>
      <c r="C28" s="8"/>
      <c r="D28" s="7" t="s">
        <v>34</v>
      </c>
      <c r="E28" s="7" t="s">
        <v>153</v>
      </c>
      <c r="F28" s="6" t="s">
        <v>157</v>
      </c>
      <c r="G28" s="9">
        <v>46031.0</v>
      </c>
      <c r="H28" s="10">
        <v>0.0</v>
      </c>
      <c r="I28" s="8" t="s">
        <v>17</v>
      </c>
      <c r="J28" s="11">
        <v>46031.0</v>
      </c>
      <c r="K28" s="7" t="s">
        <v>17</v>
      </c>
      <c r="L28" s="8"/>
      <c r="M28" s="12"/>
      <c r="N28" s="12"/>
      <c r="O28" s="12"/>
      <c r="P28" s="12"/>
      <c r="Q28" s="12"/>
      <c r="R28" s="12"/>
      <c r="S28" s="12"/>
      <c r="T28" s="12"/>
      <c r="U28" s="12"/>
      <c r="V28" s="12"/>
      <c r="W28" s="12"/>
      <c r="X28" s="12"/>
      <c r="Y28" s="12"/>
      <c r="Z28" s="12"/>
    </row>
    <row r="29">
      <c r="A29" s="26" t="s">
        <v>158</v>
      </c>
      <c r="B29" s="27" t="s">
        <v>159</v>
      </c>
      <c r="C29" s="32">
        <v>2015.0</v>
      </c>
      <c r="D29" s="27" t="s">
        <v>14</v>
      </c>
      <c r="E29" s="27" t="s">
        <v>160</v>
      </c>
      <c r="F29" s="26" t="s">
        <v>161</v>
      </c>
      <c r="G29" s="29">
        <v>46031.0</v>
      </c>
      <c r="H29" s="17">
        <v>6.0</v>
      </c>
      <c r="I29" s="28" t="s">
        <v>162</v>
      </c>
      <c r="J29" s="30">
        <v>46037.0</v>
      </c>
      <c r="K29" s="27" t="s">
        <v>56</v>
      </c>
      <c r="L29" s="28"/>
      <c r="M29" s="12"/>
      <c r="N29" s="12"/>
      <c r="O29" s="12"/>
      <c r="P29" s="12"/>
      <c r="Q29" s="12"/>
      <c r="R29" s="12"/>
      <c r="S29" s="12"/>
      <c r="T29" s="12"/>
      <c r="U29" s="12"/>
      <c r="V29" s="12"/>
      <c r="W29" s="12"/>
      <c r="X29" s="12"/>
      <c r="Y29" s="12"/>
      <c r="Z29" s="12"/>
    </row>
    <row r="30">
      <c r="A30" s="6" t="s">
        <v>163</v>
      </c>
      <c r="B30" s="7" t="s">
        <v>164</v>
      </c>
      <c r="C30" s="8"/>
      <c r="D30" s="7" t="s">
        <v>165</v>
      </c>
      <c r="E30" s="7" t="s">
        <v>70</v>
      </c>
      <c r="F30" s="6" t="s">
        <v>166</v>
      </c>
      <c r="G30" s="9">
        <v>46034.0</v>
      </c>
      <c r="H30" s="10">
        <v>3.0</v>
      </c>
      <c r="I30" s="8" t="s">
        <v>56</v>
      </c>
      <c r="J30" s="11">
        <v>46037.0</v>
      </c>
      <c r="K30" s="7" t="s">
        <v>56</v>
      </c>
      <c r="L30" s="8"/>
      <c r="M30" s="12"/>
      <c r="N30" s="12"/>
      <c r="O30" s="12"/>
      <c r="P30" s="12"/>
      <c r="Q30" s="12"/>
      <c r="R30" s="12"/>
      <c r="S30" s="12"/>
      <c r="T30" s="12"/>
      <c r="U30" s="12"/>
      <c r="V30" s="12"/>
      <c r="W30" s="12"/>
      <c r="X30" s="12"/>
      <c r="Y30" s="12"/>
      <c r="Z30" s="12"/>
    </row>
    <row r="31">
      <c r="A31" s="26" t="s">
        <v>167</v>
      </c>
      <c r="B31" s="27" t="s">
        <v>168</v>
      </c>
      <c r="C31" s="28"/>
      <c r="D31" s="27" t="s">
        <v>75</v>
      </c>
      <c r="E31" s="27" t="s">
        <v>169</v>
      </c>
      <c r="F31" s="26" t="s">
        <v>170</v>
      </c>
      <c r="G31" s="29">
        <v>46034.0</v>
      </c>
      <c r="H31" s="17">
        <v>0.0</v>
      </c>
      <c r="I31" s="28" t="s">
        <v>84</v>
      </c>
      <c r="J31" s="30">
        <v>46034.0</v>
      </c>
      <c r="K31" s="27" t="s">
        <v>84</v>
      </c>
      <c r="L31" s="28"/>
      <c r="M31" s="12"/>
      <c r="N31" s="12"/>
      <c r="O31" s="12"/>
      <c r="P31" s="12"/>
      <c r="Q31" s="12"/>
      <c r="R31" s="12"/>
      <c r="S31" s="12"/>
      <c r="T31" s="12"/>
      <c r="U31" s="12"/>
      <c r="V31" s="12"/>
      <c r="W31" s="12"/>
      <c r="X31" s="12"/>
      <c r="Y31" s="12"/>
      <c r="Z31" s="12"/>
    </row>
    <row r="32">
      <c r="A32" s="20" t="s">
        <v>171</v>
      </c>
      <c r="B32" s="21" t="s">
        <v>172</v>
      </c>
      <c r="C32" s="22">
        <v>2022.0</v>
      </c>
      <c r="D32" s="21" t="s">
        <v>40</v>
      </c>
      <c r="E32" s="21" t="s">
        <v>173</v>
      </c>
      <c r="F32" s="20" t="s">
        <v>174</v>
      </c>
      <c r="G32" s="23">
        <v>46198.0</v>
      </c>
      <c r="H32" s="10">
        <v>0.0</v>
      </c>
      <c r="I32" s="24" t="s">
        <v>175</v>
      </c>
      <c r="J32" s="25">
        <v>46204.0</v>
      </c>
      <c r="K32" s="21" t="s">
        <v>44</v>
      </c>
      <c r="L32" s="24">
        <v>41538.0</v>
      </c>
      <c r="M32" s="12"/>
      <c r="N32" s="12"/>
      <c r="O32" s="12"/>
      <c r="P32" s="12"/>
      <c r="Q32" s="12"/>
      <c r="R32" s="12"/>
      <c r="S32" s="12"/>
      <c r="T32" s="12"/>
      <c r="U32" s="12"/>
      <c r="V32" s="12"/>
      <c r="W32" s="12"/>
      <c r="X32" s="12"/>
      <c r="Y32" s="12"/>
      <c r="Z32" s="12"/>
    </row>
    <row r="33">
      <c r="A33" s="26" t="s">
        <v>176</v>
      </c>
      <c r="B33" s="27" t="s">
        <v>177</v>
      </c>
      <c r="C33" s="32">
        <v>2022.0</v>
      </c>
      <c r="D33" s="27" t="s">
        <v>52</v>
      </c>
      <c r="E33" s="27" t="s">
        <v>125</v>
      </c>
      <c r="F33" s="26" t="s">
        <v>178</v>
      </c>
      <c r="G33" s="29">
        <v>46034.0</v>
      </c>
      <c r="H33" s="17">
        <v>0.0</v>
      </c>
      <c r="I33" s="28" t="s">
        <v>179</v>
      </c>
      <c r="J33" s="30">
        <v>46034.0</v>
      </c>
      <c r="K33" s="27" t="s">
        <v>56</v>
      </c>
      <c r="L33" s="28"/>
      <c r="M33" s="12"/>
      <c r="N33" s="12"/>
      <c r="O33" s="12"/>
      <c r="P33" s="12"/>
      <c r="Q33" s="12"/>
      <c r="R33" s="12"/>
      <c r="S33" s="12"/>
      <c r="T33" s="12"/>
      <c r="U33" s="12"/>
      <c r="V33" s="12"/>
      <c r="W33" s="12"/>
      <c r="X33" s="12"/>
      <c r="Y33" s="12"/>
      <c r="Z33" s="12"/>
    </row>
    <row r="34">
      <c r="A34" s="20" t="s">
        <v>180</v>
      </c>
      <c r="B34" s="21" t="s">
        <v>181</v>
      </c>
      <c r="C34" s="22">
        <v>2017.0</v>
      </c>
      <c r="D34" s="21" t="s">
        <v>182</v>
      </c>
      <c r="E34" s="21" t="s">
        <v>183</v>
      </c>
      <c r="F34" s="20" t="s">
        <v>184</v>
      </c>
      <c r="G34" s="23">
        <v>46160.0</v>
      </c>
      <c r="H34" s="10">
        <v>21.0</v>
      </c>
      <c r="I34" s="24" t="s">
        <v>185</v>
      </c>
      <c r="J34" s="25">
        <v>46160.0</v>
      </c>
      <c r="K34" s="21" t="s">
        <v>24</v>
      </c>
      <c r="L34" s="24">
        <v>95254.0</v>
      </c>
      <c r="M34" s="12"/>
      <c r="N34" s="12"/>
      <c r="O34" s="12"/>
      <c r="P34" s="12"/>
      <c r="Q34" s="12"/>
      <c r="R34" s="12"/>
      <c r="S34" s="12"/>
      <c r="T34" s="12"/>
      <c r="U34" s="12"/>
      <c r="V34" s="12"/>
      <c r="W34" s="12"/>
      <c r="X34" s="12"/>
      <c r="Y34" s="12"/>
      <c r="Z34" s="12"/>
    </row>
    <row r="35">
      <c r="A35" s="26" t="s">
        <v>186</v>
      </c>
      <c r="B35" s="27" t="s">
        <v>187</v>
      </c>
      <c r="C35" s="32">
        <v>2014.0</v>
      </c>
      <c r="D35" s="27" t="s">
        <v>188</v>
      </c>
      <c r="E35" s="27" t="s">
        <v>183</v>
      </c>
      <c r="F35" s="26" t="s">
        <v>189</v>
      </c>
      <c r="G35" s="29">
        <v>46034.0</v>
      </c>
      <c r="H35" s="17">
        <v>24.0</v>
      </c>
      <c r="I35" s="28" t="s">
        <v>190</v>
      </c>
      <c r="J35" s="30">
        <v>46058.0</v>
      </c>
      <c r="K35" s="27" t="s">
        <v>56</v>
      </c>
      <c r="L35" s="28"/>
      <c r="M35" s="12"/>
      <c r="N35" s="12"/>
      <c r="O35" s="12"/>
      <c r="P35" s="12"/>
      <c r="Q35" s="12"/>
      <c r="R35" s="12"/>
      <c r="S35" s="12"/>
      <c r="T35" s="12"/>
      <c r="U35" s="12"/>
      <c r="V35" s="12"/>
      <c r="W35" s="12"/>
      <c r="X35" s="12"/>
      <c r="Y35" s="12"/>
      <c r="Z35" s="12"/>
    </row>
    <row r="36">
      <c r="A36" s="6" t="s">
        <v>191</v>
      </c>
      <c r="B36" s="7" t="s">
        <v>192</v>
      </c>
      <c r="C36" s="31">
        <v>2014.0</v>
      </c>
      <c r="D36" s="7" t="s">
        <v>130</v>
      </c>
      <c r="E36" s="7" t="s">
        <v>125</v>
      </c>
      <c r="F36" s="6" t="s">
        <v>193</v>
      </c>
      <c r="G36" s="9">
        <v>46034.0</v>
      </c>
      <c r="H36" s="10">
        <v>0.0</v>
      </c>
      <c r="I36" s="8" t="s">
        <v>194</v>
      </c>
      <c r="J36" s="11">
        <v>46034.0</v>
      </c>
      <c r="K36" s="7" t="s">
        <v>56</v>
      </c>
      <c r="L36" s="8"/>
      <c r="M36" s="12"/>
      <c r="N36" s="12"/>
      <c r="O36" s="12"/>
      <c r="P36" s="12"/>
      <c r="Q36" s="12"/>
      <c r="R36" s="12"/>
      <c r="S36" s="12"/>
      <c r="T36" s="12"/>
      <c r="U36" s="12"/>
      <c r="V36" s="12"/>
      <c r="W36" s="12"/>
      <c r="X36" s="12"/>
      <c r="Y36" s="12"/>
      <c r="Z36" s="12"/>
    </row>
    <row r="37">
      <c r="A37" s="26" t="s">
        <v>195</v>
      </c>
      <c r="B37" s="27" t="s">
        <v>196</v>
      </c>
      <c r="C37" s="28"/>
      <c r="D37" s="27" t="s">
        <v>197</v>
      </c>
      <c r="E37" s="27" t="s">
        <v>198</v>
      </c>
      <c r="F37" s="26" t="s">
        <v>199</v>
      </c>
      <c r="G37" s="29">
        <v>46035.0</v>
      </c>
      <c r="H37" s="17">
        <v>0.0</v>
      </c>
      <c r="I37" s="28" t="s">
        <v>37</v>
      </c>
      <c r="J37" s="30">
        <v>46035.0</v>
      </c>
      <c r="K37" s="27" t="s">
        <v>37</v>
      </c>
      <c r="L37" s="28"/>
      <c r="M37" s="12"/>
      <c r="N37" s="12"/>
      <c r="O37" s="12"/>
      <c r="P37" s="12"/>
      <c r="Q37" s="12"/>
      <c r="R37" s="12"/>
      <c r="S37" s="12"/>
      <c r="T37" s="12"/>
      <c r="U37" s="12"/>
      <c r="V37" s="12"/>
      <c r="W37" s="12"/>
      <c r="X37" s="12"/>
      <c r="Y37" s="12"/>
      <c r="Z37" s="12"/>
    </row>
    <row r="38">
      <c r="A38" s="6" t="s">
        <v>200</v>
      </c>
      <c r="B38" s="7" t="s">
        <v>201</v>
      </c>
      <c r="C38" s="8"/>
      <c r="D38" s="7" t="s">
        <v>14</v>
      </c>
      <c r="E38" s="7" t="s">
        <v>202</v>
      </c>
      <c r="F38" s="6" t="s">
        <v>203</v>
      </c>
      <c r="G38" s="9">
        <v>46035.0</v>
      </c>
      <c r="H38" s="10">
        <v>45.0</v>
      </c>
      <c r="I38" s="8" t="s">
        <v>66</v>
      </c>
      <c r="J38" s="11">
        <v>46080.0</v>
      </c>
      <c r="K38" s="7" t="s">
        <v>66</v>
      </c>
      <c r="L38" s="8"/>
      <c r="M38" s="12"/>
      <c r="N38" s="12"/>
      <c r="O38" s="12"/>
      <c r="P38" s="12"/>
      <c r="Q38" s="12"/>
      <c r="R38" s="12"/>
      <c r="S38" s="12"/>
      <c r="T38" s="12"/>
      <c r="U38" s="12"/>
      <c r="V38" s="12"/>
      <c r="W38" s="12"/>
      <c r="X38" s="12"/>
      <c r="Y38" s="12"/>
      <c r="Z38" s="12"/>
    </row>
    <row r="39">
      <c r="A39" s="26" t="s">
        <v>204</v>
      </c>
      <c r="B39" s="27" t="s">
        <v>205</v>
      </c>
      <c r="C39" s="32">
        <v>2015.0</v>
      </c>
      <c r="D39" s="27" t="s">
        <v>206</v>
      </c>
      <c r="E39" s="27" t="s">
        <v>207</v>
      </c>
      <c r="F39" s="26" t="s">
        <v>208</v>
      </c>
      <c r="G39" s="29">
        <v>46035.0</v>
      </c>
      <c r="H39" s="17">
        <v>0.0</v>
      </c>
      <c r="I39" s="28" t="s">
        <v>209</v>
      </c>
      <c r="J39" s="30">
        <v>46035.0</v>
      </c>
      <c r="K39" s="27" t="s">
        <v>56</v>
      </c>
      <c r="L39" s="28"/>
      <c r="M39" s="12"/>
      <c r="N39" s="12"/>
      <c r="O39" s="12"/>
      <c r="P39" s="12"/>
      <c r="Q39" s="12"/>
      <c r="R39" s="12"/>
      <c r="S39" s="12"/>
      <c r="T39" s="12"/>
      <c r="U39" s="12"/>
      <c r="V39" s="12"/>
      <c r="W39" s="12"/>
      <c r="X39" s="12"/>
      <c r="Y39" s="12"/>
      <c r="Z39" s="12"/>
    </row>
    <row r="40">
      <c r="A40" s="6" t="s">
        <v>210</v>
      </c>
      <c r="B40" s="7" t="s">
        <v>211</v>
      </c>
      <c r="C40" s="8"/>
      <c r="D40" s="7" t="s">
        <v>52</v>
      </c>
      <c r="E40" s="7" t="s">
        <v>212</v>
      </c>
      <c r="F40" s="6" t="s">
        <v>213</v>
      </c>
      <c r="G40" s="9">
        <v>46035.0</v>
      </c>
      <c r="H40" s="10">
        <v>0.0</v>
      </c>
      <c r="I40" s="8" t="s">
        <v>17</v>
      </c>
      <c r="J40" s="11">
        <v>46035.0</v>
      </c>
      <c r="K40" s="7" t="s">
        <v>17</v>
      </c>
      <c r="L40" s="8"/>
      <c r="M40" s="12"/>
      <c r="N40" s="12"/>
      <c r="O40" s="12"/>
      <c r="P40" s="12"/>
      <c r="Q40" s="12"/>
      <c r="R40" s="12"/>
      <c r="S40" s="12"/>
      <c r="T40" s="12"/>
      <c r="U40" s="12"/>
      <c r="V40" s="12"/>
      <c r="W40" s="12"/>
      <c r="X40" s="12"/>
      <c r="Y40" s="12"/>
      <c r="Z40" s="12"/>
    </row>
    <row r="41">
      <c r="A41" s="26" t="s">
        <v>214</v>
      </c>
      <c r="B41" s="27" t="s">
        <v>215</v>
      </c>
      <c r="C41" s="32">
        <v>2022.0</v>
      </c>
      <c r="D41" s="27" t="s">
        <v>52</v>
      </c>
      <c r="E41" s="27" t="s">
        <v>125</v>
      </c>
      <c r="F41" s="26" t="s">
        <v>216</v>
      </c>
      <c r="G41" s="29">
        <v>46035.0</v>
      </c>
      <c r="H41" s="17">
        <v>121.0</v>
      </c>
      <c r="I41" s="28" t="s">
        <v>217</v>
      </c>
      <c r="J41" s="35"/>
      <c r="K41" s="27" t="s">
        <v>56</v>
      </c>
      <c r="L41" s="28"/>
      <c r="M41" s="12"/>
      <c r="N41" s="12"/>
      <c r="O41" s="12"/>
      <c r="P41" s="12"/>
      <c r="Q41" s="12"/>
      <c r="R41" s="12"/>
      <c r="S41" s="12"/>
      <c r="T41" s="12"/>
      <c r="U41" s="12"/>
      <c r="V41" s="12"/>
      <c r="W41" s="12"/>
      <c r="X41" s="12"/>
      <c r="Y41" s="12"/>
      <c r="Z41" s="12"/>
    </row>
    <row r="42">
      <c r="A42" s="6" t="s">
        <v>218</v>
      </c>
      <c r="B42" s="7" t="s">
        <v>219</v>
      </c>
      <c r="C42" s="31">
        <v>2018.0</v>
      </c>
      <c r="D42" s="7" t="s">
        <v>14</v>
      </c>
      <c r="E42" s="7" t="s">
        <v>220</v>
      </c>
      <c r="F42" s="6" t="s">
        <v>221</v>
      </c>
      <c r="G42" s="9">
        <v>46036.0</v>
      </c>
      <c r="H42" s="10">
        <v>0.0</v>
      </c>
      <c r="I42" s="8" t="s">
        <v>222</v>
      </c>
      <c r="J42" s="11">
        <v>46036.0</v>
      </c>
      <c r="K42" s="7" t="s">
        <v>56</v>
      </c>
      <c r="L42" s="8"/>
      <c r="M42" s="12"/>
      <c r="N42" s="12"/>
      <c r="O42" s="12"/>
      <c r="P42" s="12"/>
      <c r="Q42" s="12"/>
      <c r="R42" s="12"/>
      <c r="S42" s="12"/>
      <c r="T42" s="12"/>
      <c r="U42" s="12"/>
      <c r="V42" s="12"/>
      <c r="W42" s="12"/>
      <c r="X42" s="12"/>
      <c r="Y42" s="12"/>
      <c r="Z42" s="12"/>
    </row>
    <row r="43">
      <c r="A43" s="26" t="s">
        <v>223</v>
      </c>
      <c r="B43" s="27" t="s">
        <v>224</v>
      </c>
      <c r="C43" s="28"/>
      <c r="D43" s="27" t="s">
        <v>14</v>
      </c>
      <c r="E43" s="27" t="s">
        <v>225</v>
      </c>
      <c r="F43" s="26" t="s">
        <v>226</v>
      </c>
      <c r="G43" s="29">
        <v>46036.0</v>
      </c>
      <c r="H43" s="17">
        <v>13.0</v>
      </c>
      <c r="I43" s="28" t="s">
        <v>227</v>
      </c>
      <c r="J43" s="30">
        <v>46049.0</v>
      </c>
      <c r="K43" s="27" t="s">
        <v>56</v>
      </c>
      <c r="L43" s="28"/>
      <c r="M43" s="12"/>
      <c r="N43" s="12"/>
      <c r="O43" s="12"/>
      <c r="P43" s="12"/>
      <c r="Q43" s="12"/>
      <c r="R43" s="12"/>
      <c r="S43" s="12"/>
      <c r="T43" s="12"/>
      <c r="U43" s="12"/>
      <c r="V43" s="12"/>
      <c r="W43" s="12"/>
      <c r="X43" s="12"/>
      <c r="Y43" s="12"/>
      <c r="Z43" s="12"/>
    </row>
    <row r="44">
      <c r="A44" s="6" t="s">
        <v>228</v>
      </c>
      <c r="B44" s="7" t="s">
        <v>229</v>
      </c>
      <c r="C44" s="31">
        <v>2015.0</v>
      </c>
      <c r="D44" s="7" t="s">
        <v>14</v>
      </c>
      <c r="E44" s="7" t="s">
        <v>225</v>
      </c>
      <c r="F44" s="6" t="s">
        <v>230</v>
      </c>
      <c r="G44" s="9">
        <v>46036.0</v>
      </c>
      <c r="H44" s="10">
        <v>16.0</v>
      </c>
      <c r="I44" s="8" t="s">
        <v>231</v>
      </c>
      <c r="J44" s="11">
        <v>46052.0</v>
      </c>
      <c r="K44" s="7" t="s">
        <v>56</v>
      </c>
      <c r="L44" s="8"/>
      <c r="M44" s="12"/>
      <c r="N44" s="12"/>
      <c r="O44" s="12"/>
      <c r="P44" s="12"/>
      <c r="Q44" s="12"/>
      <c r="R44" s="12"/>
      <c r="S44" s="12"/>
      <c r="T44" s="12"/>
      <c r="U44" s="12"/>
      <c r="V44" s="12"/>
      <c r="W44" s="12"/>
      <c r="X44" s="12"/>
      <c r="Y44" s="12"/>
      <c r="Z44" s="12"/>
    </row>
    <row r="45">
      <c r="A45" s="36" t="s">
        <v>232</v>
      </c>
      <c r="B45" s="27" t="s">
        <v>233</v>
      </c>
      <c r="C45" s="28"/>
      <c r="D45" s="27" t="s">
        <v>234</v>
      </c>
      <c r="E45" s="27" t="s">
        <v>235</v>
      </c>
      <c r="F45" s="26" t="s">
        <v>236</v>
      </c>
      <c r="G45" s="29">
        <v>46037.0</v>
      </c>
      <c r="H45" s="17">
        <v>0.0</v>
      </c>
      <c r="I45" s="28" t="s">
        <v>84</v>
      </c>
      <c r="J45" s="30">
        <v>46037.0</v>
      </c>
      <c r="K45" s="27" t="s">
        <v>84</v>
      </c>
      <c r="L45" s="28"/>
      <c r="M45" s="12"/>
      <c r="N45" s="12"/>
      <c r="O45" s="12"/>
      <c r="P45" s="12"/>
      <c r="Q45" s="12"/>
      <c r="R45" s="12"/>
      <c r="S45" s="12"/>
      <c r="T45" s="12"/>
      <c r="U45" s="12"/>
      <c r="V45" s="12"/>
      <c r="W45" s="12"/>
      <c r="X45" s="12"/>
      <c r="Y45" s="12"/>
      <c r="Z45" s="12"/>
    </row>
    <row r="46">
      <c r="A46" s="20" t="s">
        <v>237</v>
      </c>
      <c r="B46" s="21" t="s">
        <v>238</v>
      </c>
      <c r="C46" s="22">
        <v>2022.0</v>
      </c>
      <c r="D46" s="21" t="s">
        <v>239</v>
      </c>
      <c r="E46" s="21" t="s">
        <v>240</v>
      </c>
      <c r="F46" s="20" t="s">
        <v>241</v>
      </c>
      <c r="G46" s="23">
        <v>46183.0</v>
      </c>
      <c r="H46" s="10">
        <v>0.0</v>
      </c>
      <c r="I46" s="24" t="s">
        <v>242</v>
      </c>
      <c r="J46" s="25">
        <v>46199.0</v>
      </c>
      <c r="K46" s="21" t="s">
        <v>24</v>
      </c>
      <c r="L46" s="24">
        <v>156608.0</v>
      </c>
      <c r="M46" s="12"/>
      <c r="N46" s="12"/>
      <c r="O46" s="12"/>
      <c r="P46" s="12"/>
      <c r="Q46" s="12"/>
      <c r="R46" s="12"/>
      <c r="S46" s="12"/>
      <c r="T46" s="12"/>
      <c r="U46" s="12"/>
      <c r="V46" s="12"/>
      <c r="W46" s="12"/>
      <c r="X46" s="12"/>
      <c r="Y46" s="12"/>
      <c r="Z46" s="12"/>
    </row>
    <row r="47">
      <c r="A47" s="20" t="s">
        <v>243</v>
      </c>
      <c r="B47" s="21" t="s">
        <v>244</v>
      </c>
      <c r="C47" s="22">
        <v>2022.0</v>
      </c>
      <c r="D47" s="21" t="s">
        <v>245</v>
      </c>
      <c r="E47" s="21" t="s">
        <v>28</v>
      </c>
      <c r="F47" s="20" t="s">
        <v>246</v>
      </c>
      <c r="G47" s="23">
        <v>46174.0</v>
      </c>
      <c r="H47" s="10">
        <v>5.0</v>
      </c>
      <c r="I47" s="24" t="s">
        <v>247</v>
      </c>
      <c r="J47" s="11"/>
      <c r="K47" s="21" t="s">
        <v>248</v>
      </c>
      <c r="L47" s="24">
        <v>58756.0</v>
      </c>
      <c r="M47" s="12"/>
      <c r="N47" s="12"/>
      <c r="O47" s="12"/>
      <c r="P47" s="12"/>
      <c r="Q47" s="12"/>
      <c r="R47" s="12"/>
      <c r="S47" s="12"/>
      <c r="T47" s="12"/>
      <c r="U47" s="12"/>
      <c r="V47" s="12"/>
      <c r="W47" s="12"/>
      <c r="X47" s="12"/>
      <c r="Y47" s="12"/>
      <c r="Z47" s="12"/>
    </row>
    <row r="48">
      <c r="A48" s="13" t="s">
        <v>249</v>
      </c>
      <c r="B48" s="14" t="s">
        <v>250</v>
      </c>
      <c r="C48" s="15">
        <v>2014.0</v>
      </c>
      <c r="D48" s="14" t="s">
        <v>251</v>
      </c>
      <c r="E48" s="14" t="s">
        <v>70</v>
      </c>
      <c r="F48" s="13" t="s">
        <v>252</v>
      </c>
      <c r="G48" s="16">
        <v>46148.0</v>
      </c>
      <c r="H48" s="17">
        <v>5.0</v>
      </c>
      <c r="I48" s="18" t="s">
        <v>253</v>
      </c>
      <c r="J48" s="19">
        <v>46162.0</v>
      </c>
      <c r="K48" s="14" t="s">
        <v>24</v>
      </c>
      <c r="L48" s="37">
        <v>147597.0</v>
      </c>
      <c r="M48" s="12"/>
      <c r="N48" s="12"/>
      <c r="O48" s="12"/>
      <c r="P48" s="12"/>
      <c r="Q48" s="12"/>
      <c r="R48" s="12"/>
      <c r="S48" s="12"/>
      <c r="T48" s="12"/>
      <c r="U48" s="12"/>
      <c r="V48" s="12"/>
      <c r="W48" s="12"/>
      <c r="X48" s="12"/>
      <c r="Y48" s="12"/>
      <c r="Z48" s="12"/>
    </row>
    <row r="49">
      <c r="A49" s="6" t="s">
        <v>254</v>
      </c>
      <c r="B49" s="7" t="s">
        <v>255</v>
      </c>
      <c r="C49" s="8"/>
      <c r="D49" s="7" t="s">
        <v>256</v>
      </c>
      <c r="E49" s="7" t="s">
        <v>257</v>
      </c>
      <c r="F49" s="6" t="s">
        <v>258</v>
      </c>
      <c r="G49" s="9">
        <v>46037.0</v>
      </c>
      <c r="H49" s="10">
        <v>0.0</v>
      </c>
      <c r="I49" s="8" t="s">
        <v>37</v>
      </c>
      <c r="J49" s="11">
        <v>46037.0</v>
      </c>
      <c r="K49" s="7" t="s">
        <v>37</v>
      </c>
      <c r="L49" s="8"/>
      <c r="M49" s="12"/>
      <c r="N49" s="12"/>
      <c r="O49" s="12"/>
      <c r="P49" s="12"/>
      <c r="Q49" s="12"/>
      <c r="R49" s="12"/>
      <c r="S49" s="12"/>
      <c r="T49" s="12"/>
      <c r="U49" s="12"/>
      <c r="V49" s="12"/>
      <c r="W49" s="12"/>
      <c r="X49" s="12"/>
      <c r="Y49" s="12"/>
      <c r="Z49" s="12"/>
    </row>
    <row r="50">
      <c r="A50" s="26" t="s">
        <v>259</v>
      </c>
      <c r="B50" s="27" t="s">
        <v>260</v>
      </c>
      <c r="C50" s="32">
        <v>2019.0</v>
      </c>
      <c r="D50" s="27" t="s">
        <v>75</v>
      </c>
      <c r="E50" s="27" t="s">
        <v>240</v>
      </c>
      <c r="F50" s="26" t="s">
        <v>261</v>
      </c>
      <c r="G50" s="29">
        <v>46037.0</v>
      </c>
      <c r="H50" s="17">
        <v>6.0</v>
      </c>
      <c r="I50" s="28" t="s">
        <v>262</v>
      </c>
      <c r="J50" s="30">
        <v>46043.0</v>
      </c>
      <c r="K50" s="27" t="s">
        <v>56</v>
      </c>
      <c r="L50" s="28"/>
      <c r="M50" s="12"/>
      <c r="N50" s="12"/>
      <c r="O50" s="12"/>
      <c r="P50" s="12"/>
      <c r="Q50" s="12"/>
      <c r="R50" s="12"/>
      <c r="S50" s="12"/>
      <c r="T50" s="12"/>
      <c r="U50" s="12"/>
      <c r="V50" s="12"/>
      <c r="W50" s="12"/>
      <c r="X50" s="12"/>
      <c r="Y50" s="12"/>
      <c r="Z50" s="12"/>
    </row>
    <row r="51">
      <c r="A51" s="26" t="s">
        <v>263</v>
      </c>
      <c r="B51" s="27" t="s">
        <v>264</v>
      </c>
      <c r="C51" s="28"/>
      <c r="D51" s="27" t="s">
        <v>52</v>
      </c>
      <c r="E51" s="27" t="s">
        <v>265</v>
      </c>
      <c r="F51" s="26" t="s">
        <v>266</v>
      </c>
      <c r="G51" s="29">
        <v>46037.0</v>
      </c>
      <c r="H51" s="17">
        <v>0.0</v>
      </c>
      <c r="I51" s="28" t="s">
        <v>84</v>
      </c>
      <c r="J51" s="30">
        <v>46037.0</v>
      </c>
      <c r="K51" s="27" t="s">
        <v>84</v>
      </c>
      <c r="L51" s="28"/>
      <c r="M51" s="12"/>
      <c r="N51" s="12"/>
      <c r="O51" s="12"/>
      <c r="P51" s="12"/>
      <c r="Q51" s="12"/>
      <c r="R51" s="12"/>
      <c r="S51" s="12"/>
      <c r="T51" s="12"/>
      <c r="U51" s="12"/>
      <c r="V51" s="12"/>
      <c r="W51" s="12"/>
      <c r="X51" s="12"/>
      <c r="Y51" s="12"/>
      <c r="Z51" s="12"/>
    </row>
    <row r="52">
      <c r="A52" s="6" t="s">
        <v>267</v>
      </c>
      <c r="B52" s="7" t="s">
        <v>268</v>
      </c>
      <c r="C52" s="8"/>
      <c r="D52" s="7" t="s">
        <v>269</v>
      </c>
      <c r="E52" s="7" t="s">
        <v>212</v>
      </c>
      <c r="F52" s="6" t="s">
        <v>270</v>
      </c>
      <c r="G52" s="9">
        <v>46037.0</v>
      </c>
      <c r="H52" s="10">
        <v>119.0</v>
      </c>
      <c r="I52" s="8" t="s">
        <v>37</v>
      </c>
      <c r="J52" s="34"/>
      <c r="K52" s="7" t="s">
        <v>37</v>
      </c>
      <c r="L52" s="8"/>
      <c r="M52" s="12"/>
      <c r="N52" s="12"/>
      <c r="O52" s="12"/>
      <c r="P52" s="12"/>
      <c r="Q52" s="12"/>
      <c r="R52" s="12"/>
      <c r="S52" s="12"/>
      <c r="T52" s="12"/>
      <c r="U52" s="12"/>
      <c r="V52" s="12"/>
      <c r="W52" s="12"/>
      <c r="X52" s="12"/>
      <c r="Y52" s="12"/>
      <c r="Z52" s="12"/>
    </row>
    <row r="53">
      <c r="A53" s="26" t="s">
        <v>271</v>
      </c>
      <c r="B53" s="27" t="s">
        <v>272</v>
      </c>
      <c r="C53" s="32">
        <v>2019.0</v>
      </c>
      <c r="D53" s="27" t="s">
        <v>75</v>
      </c>
      <c r="E53" s="27" t="s">
        <v>82</v>
      </c>
      <c r="F53" s="26" t="s">
        <v>273</v>
      </c>
      <c r="G53" s="29">
        <v>46037.0</v>
      </c>
      <c r="H53" s="17">
        <v>7.0</v>
      </c>
      <c r="I53" s="28" t="s">
        <v>274</v>
      </c>
      <c r="J53" s="30">
        <v>46044.0</v>
      </c>
      <c r="K53" s="27" t="s">
        <v>56</v>
      </c>
      <c r="L53" s="28"/>
      <c r="M53" s="12"/>
      <c r="N53" s="12"/>
      <c r="O53" s="12"/>
      <c r="P53" s="12"/>
      <c r="Q53" s="12"/>
      <c r="R53" s="12"/>
      <c r="S53" s="12"/>
      <c r="T53" s="12"/>
      <c r="U53" s="12"/>
      <c r="V53" s="12"/>
      <c r="W53" s="12"/>
      <c r="X53" s="12"/>
      <c r="Y53" s="12"/>
      <c r="Z53" s="12"/>
    </row>
    <row r="54">
      <c r="A54" s="6" t="s">
        <v>275</v>
      </c>
      <c r="B54" s="7" t="s">
        <v>276</v>
      </c>
      <c r="C54" s="31">
        <v>2017.0</v>
      </c>
      <c r="D54" s="7" t="s">
        <v>14</v>
      </c>
      <c r="E54" s="7" t="s">
        <v>277</v>
      </c>
      <c r="F54" s="6" t="s">
        <v>278</v>
      </c>
      <c r="G54" s="9">
        <v>46037.0</v>
      </c>
      <c r="H54" s="10">
        <v>119.0</v>
      </c>
      <c r="I54" s="8" t="s">
        <v>279</v>
      </c>
      <c r="J54" s="34"/>
      <c r="K54" s="7" t="s">
        <v>56</v>
      </c>
      <c r="L54" s="8"/>
      <c r="M54" s="12"/>
      <c r="N54" s="12"/>
      <c r="O54" s="12"/>
      <c r="P54" s="12"/>
      <c r="Q54" s="12"/>
      <c r="R54" s="12"/>
      <c r="S54" s="12"/>
      <c r="T54" s="12"/>
      <c r="U54" s="12"/>
      <c r="V54" s="12"/>
      <c r="W54" s="12"/>
      <c r="X54" s="12"/>
      <c r="Y54" s="12"/>
      <c r="Z54" s="12"/>
    </row>
    <row r="55">
      <c r="A55" s="26" t="s">
        <v>280</v>
      </c>
      <c r="B55" s="27" t="s">
        <v>281</v>
      </c>
      <c r="C55" s="32">
        <v>2023.0</v>
      </c>
      <c r="D55" s="27" t="s">
        <v>282</v>
      </c>
      <c r="E55" s="27" t="s">
        <v>28</v>
      </c>
      <c r="F55" s="26" t="s">
        <v>283</v>
      </c>
      <c r="G55" s="29">
        <v>46038.0</v>
      </c>
      <c r="H55" s="17">
        <v>3.0</v>
      </c>
      <c r="I55" s="28" t="s">
        <v>284</v>
      </c>
      <c r="J55" s="30">
        <v>46041.0</v>
      </c>
      <c r="K55" s="27" t="s">
        <v>56</v>
      </c>
      <c r="L55" s="28"/>
      <c r="M55" s="12"/>
      <c r="N55" s="12"/>
      <c r="O55" s="12"/>
      <c r="P55" s="12"/>
      <c r="Q55" s="12"/>
      <c r="R55" s="12"/>
      <c r="S55" s="12"/>
      <c r="T55" s="12"/>
      <c r="U55" s="12"/>
      <c r="V55" s="12"/>
      <c r="W55" s="12"/>
      <c r="X55" s="12"/>
      <c r="Y55" s="12"/>
      <c r="Z55" s="12"/>
    </row>
    <row r="56" ht="49.5" customHeight="1">
      <c r="A56" s="38" t="s">
        <v>285</v>
      </c>
      <c r="B56" s="39" t="s">
        <v>286</v>
      </c>
      <c r="C56" s="40">
        <v>2018.0</v>
      </c>
      <c r="D56" s="39" t="s">
        <v>14</v>
      </c>
      <c r="E56" s="39" t="s">
        <v>160</v>
      </c>
      <c r="F56" s="38" t="s">
        <v>287</v>
      </c>
      <c r="G56" s="41">
        <v>46038.0</v>
      </c>
      <c r="H56" s="42">
        <v>118.0</v>
      </c>
      <c r="I56" s="43" t="s">
        <v>288</v>
      </c>
      <c r="J56" s="44"/>
      <c r="K56" s="39" t="s">
        <v>56</v>
      </c>
      <c r="L56" s="43"/>
      <c r="M56" s="43"/>
      <c r="N56" s="43"/>
      <c r="O56" s="43"/>
      <c r="P56" s="43"/>
      <c r="Q56" s="43"/>
      <c r="R56" s="43"/>
      <c r="S56" s="43"/>
      <c r="T56" s="43"/>
      <c r="U56" s="43"/>
      <c r="V56" s="43"/>
      <c r="W56" s="43"/>
      <c r="X56" s="43"/>
      <c r="Y56" s="43"/>
      <c r="Z56" s="43"/>
    </row>
    <row r="57" ht="15.0" customHeight="1">
      <c r="A57" s="45" t="s">
        <v>289</v>
      </c>
      <c r="B57" s="46" t="s">
        <v>172</v>
      </c>
      <c r="C57" s="47">
        <v>2022.0</v>
      </c>
      <c r="D57" s="46" t="s">
        <v>52</v>
      </c>
      <c r="E57" s="46" t="s">
        <v>64</v>
      </c>
      <c r="F57" s="45" t="s">
        <v>174</v>
      </c>
      <c r="G57" s="48">
        <v>46038.0</v>
      </c>
      <c r="H57" s="49">
        <v>118.0</v>
      </c>
      <c r="I57" s="50" t="s">
        <v>84</v>
      </c>
      <c r="J57" s="51"/>
      <c r="K57" s="46" t="s">
        <v>84</v>
      </c>
      <c r="L57" s="50"/>
      <c r="M57" s="50"/>
      <c r="N57" s="50"/>
      <c r="O57" s="50"/>
      <c r="P57" s="50"/>
      <c r="Q57" s="50"/>
      <c r="R57" s="50"/>
      <c r="S57" s="50"/>
      <c r="T57" s="50"/>
      <c r="U57" s="50"/>
      <c r="V57" s="50"/>
      <c r="W57" s="50"/>
      <c r="X57" s="50"/>
      <c r="Y57" s="50"/>
      <c r="Z57" s="50"/>
    </row>
    <row r="58">
      <c r="A58" s="52" t="s">
        <v>290</v>
      </c>
      <c r="B58" s="53" t="s">
        <v>291</v>
      </c>
      <c r="C58" s="54">
        <v>2022.0</v>
      </c>
      <c r="D58" s="53" t="s">
        <v>292</v>
      </c>
      <c r="E58" s="53" t="s">
        <v>293</v>
      </c>
      <c r="F58" s="52" t="s">
        <v>294</v>
      </c>
      <c r="G58" s="55">
        <v>46170.0</v>
      </c>
      <c r="H58" s="56">
        <v>118.0</v>
      </c>
      <c r="I58" s="54" t="s">
        <v>295</v>
      </c>
      <c r="J58" s="57">
        <v>46170.0</v>
      </c>
      <c r="K58" s="53" t="s">
        <v>24</v>
      </c>
      <c r="L58" s="54">
        <v>53447.0</v>
      </c>
      <c r="M58" s="58"/>
      <c r="N58" s="58"/>
      <c r="O58" s="58"/>
      <c r="P58" s="58"/>
      <c r="Q58" s="58"/>
      <c r="R58" s="58"/>
      <c r="S58" s="58"/>
      <c r="T58" s="58"/>
      <c r="U58" s="58"/>
      <c r="V58" s="58"/>
      <c r="W58" s="58"/>
      <c r="X58" s="58"/>
      <c r="Y58" s="58"/>
      <c r="Z58" s="58"/>
    </row>
    <row r="59">
      <c r="A59" s="45" t="s">
        <v>296</v>
      </c>
      <c r="B59" s="46" t="s">
        <v>111</v>
      </c>
      <c r="C59" s="47">
        <v>2022.0</v>
      </c>
      <c r="D59" s="46" t="s">
        <v>52</v>
      </c>
      <c r="E59" s="46" t="s">
        <v>28</v>
      </c>
      <c r="F59" s="45" t="s">
        <v>112</v>
      </c>
      <c r="G59" s="48">
        <v>46038.0</v>
      </c>
      <c r="H59" s="49">
        <v>118.0</v>
      </c>
      <c r="I59" s="50" t="s">
        <v>297</v>
      </c>
      <c r="J59" s="51"/>
      <c r="K59" s="46" t="s">
        <v>56</v>
      </c>
      <c r="L59" s="50"/>
      <c r="M59" s="50"/>
      <c r="N59" s="50"/>
      <c r="O59" s="50"/>
      <c r="P59" s="50"/>
      <c r="Q59" s="50"/>
      <c r="R59" s="50"/>
      <c r="S59" s="50"/>
      <c r="T59" s="50"/>
      <c r="U59" s="50"/>
      <c r="V59" s="50"/>
      <c r="W59" s="50"/>
      <c r="X59" s="50"/>
      <c r="Y59" s="50"/>
      <c r="Z59" s="50"/>
    </row>
    <row r="60">
      <c r="A60" s="59" t="s">
        <v>298</v>
      </c>
      <c r="B60" s="60" t="s">
        <v>19</v>
      </c>
      <c r="C60" s="61">
        <v>2022.0</v>
      </c>
      <c r="D60" s="60" t="s">
        <v>148</v>
      </c>
      <c r="E60" s="60" t="s">
        <v>21</v>
      </c>
      <c r="F60" s="59" t="s">
        <v>22</v>
      </c>
      <c r="G60" s="62">
        <v>46041.0</v>
      </c>
      <c r="H60" s="56">
        <v>1.0</v>
      </c>
      <c r="I60" s="58" t="s">
        <v>299</v>
      </c>
      <c r="J60" s="63">
        <v>46042.0</v>
      </c>
      <c r="K60" s="60" t="s">
        <v>56</v>
      </c>
      <c r="L60" s="58"/>
      <c r="M60" s="58"/>
      <c r="N60" s="58"/>
      <c r="O60" s="58"/>
      <c r="P60" s="58"/>
      <c r="Q60" s="58"/>
      <c r="R60" s="58"/>
      <c r="S60" s="58"/>
      <c r="T60" s="58"/>
      <c r="U60" s="58"/>
      <c r="V60" s="58"/>
      <c r="W60" s="58"/>
      <c r="X60" s="58"/>
      <c r="Y60" s="58"/>
      <c r="Z60" s="58"/>
    </row>
    <row r="61">
      <c r="A61" s="45" t="s">
        <v>300</v>
      </c>
      <c r="B61" s="46" t="s">
        <v>301</v>
      </c>
      <c r="C61" s="50"/>
      <c r="D61" s="46" t="s">
        <v>302</v>
      </c>
      <c r="E61" s="46" t="s">
        <v>303</v>
      </c>
      <c r="F61" s="45" t="s">
        <v>304</v>
      </c>
      <c r="G61" s="48">
        <v>46041.0</v>
      </c>
      <c r="H61" s="49">
        <v>115.0</v>
      </c>
      <c r="I61" s="50" t="s">
        <v>37</v>
      </c>
      <c r="J61" s="51"/>
      <c r="K61" s="46" t="s">
        <v>37</v>
      </c>
      <c r="L61" s="50"/>
      <c r="M61" s="50"/>
      <c r="N61" s="50"/>
      <c r="O61" s="50"/>
      <c r="P61" s="50"/>
      <c r="Q61" s="50"/>
      <c r="R61" s="50"/>
      <c r="S61" s="50"/>
      <c r="T61" s="50"/>
      <c r="U61" s="50"/>
      <c r="V61" s="50"/>
      <c r="W61" s="50"/>
      <c r="X61" s="50"/>
      <c r="Y61" s="50"/>
      <c r="Z61" s="50"/>
    </row>
    <row r="62">
      <c r="A62" s="59" t="s">
        <v>305</v>
      </c>
      <c r="B62" s="60" t="s">
        <v>306</v>
      </c>
      <c r="C62" s="58"/>
      <c r="D62" s="60" t="s">
        <v>52</v>
      </c>
      <c r="E62" s="60" t="s">
        <v>307</v>
      </c>
      <c r="F62" s="59" t="s">
        <v>308</v>
      </c>
      <c r="G62" s="62">
        <v>46041.0</v>
      </c>
      <c r="H62" s="56">
        <v>115.0</v>
      </c>
      <c r="I62" s="58" t="s">
        <v>37</v>
      </c>
      <c r="J62" s="64"/>
      <c r="K62" s="60" t="s">
        <v>37</v>
      </c>
      <c r="L62" s="58"/>
      <c r="M62" s="58"/>
      <c r="N62" s="58"/>
      <c r="O62" s="58"/>
      <c r="P62" s="58"/>
      <c r="Q62" s="58"/>
      <c r="R62" s="58"/>
      <c r="S62" s="58"/>
      <c r="T62" s="58"/>
      <c r="U62" s="58"/>
      <c r="V62" s="58"/>
      <c r="W62" s="58"/>
      <c r="X62" s="58"/>
      <c r="Y62" s="58"/>
      <c r="Z62" s="58"/>
    </row>
    <row r="63">
      <c r="A63" s="45" t="s">
        <v>309</v>
      </c>
      <c r="B63" s="46" t="s">
        <v>310</v>
      </c>
      <c r="C63" s="50"/>
      <c r="D63" s="46" t="s">
        <v>52</v>
      </c>
      <c r="E63" s="46" t="s">
        <v>311</v>
      </c>
      <c r="F63" s="45" t="s">
        <v>312</v>
      </c>
      <c r="G63" s="48">
        <v>46042.0</v>
      </c>
      <c r="H63" s="49">
        <v>0.0</v>
      </c>
      <c r="I63" s="50" t="s">
        <v>37</v>
      </c>
      <c r="J63" s="65">
        <v>46042.0</v>
      </c>
      <c r="K63" s="46" t="s">
        <v>37</v>
      </c>
      <c r="L63" s="50"/>
      <c r="M63" s="50"/>
      <c r="N63" s="50"/>
      <c r="O63" s="50"/>
      <c r="P63" s="50"/>
      <c r="Q63" s="50"/>
      <c r="R63" s="50"/>
      <c r="S63" s="50"/>
      <c r="T63" s="50"/>
      <c r="U63" s="50"/>
      <c r="V63" s="50"/>
      <c r="W63" s="50"/>
      <c r="X63" s="50"/>
      <c r="Y63" s="50"/>
      <c r="Z63" s="50"/>
    </row>
    <row r="64">
      <c r="A64" s="59" t="s">
        <v>313</v>
      </c>
      <c r="B64" s="60" t="s">
        <v>314</v>
      </c>
      <c r="C64" s="58"/>
      <c r="D64" s="60" t="s">
        <v>52</v>
      </c>
      <c r="E64" s="60" t="s">
        <v>315</v>
      </c>
      <c r="F64" s="59" t="s">
        <v>316</v>
      </c>
      <c r="G64" s="62">
        <v>46042.0</v>
      </c>
      <c r="H64" s="56">
        <v>0.0</v>
      </c>
      <c r="I64" s="58" t="s">
        <v>84</v>
      </c>
      <c r="J64" s="63">
        <v>46042.0</v>
      </c>
      <c r="K64" s="60" t="s">
        <v>84</v>
      </c>
      <c r="L64" s="58"/>
      <c r="M64" s="58"/>
      <c r="N64" s="58"/>
      <c r="O64" s="58"/>
      <c r="P64" s="58"/>
      <c r="Q64" s="58"/>
      <c r="R64" s="58"/>
      <c r="S64" s="58"/>
      <c r="T64" s="58"/>
      <c r="U64" s="58"/>
      <c r="V64" s="58"/>
      <c r="W64" s="58"/>
      <c r="X64" s="58"/>
      <c r="Y64" s="58"/>
      <c r="Z64" s="58"/>
    </row>
    <row r="65">
      <c r="A65" s="45" t="s">
        <v>317</v>
      </c>
      <c r="B65" s="46" t="s">
        <v>318</v>
      </c>
      <c r="C65" s="47">
        <v>2022.0</v>
      </c>
      <c r="D65" s="46" t="s">
        <v>52</v>
      </c>
      <c r="E65" s="46" t="s">
        <v>319</v>
      </c>
      <c r="F65" s="45" t="s">
        <v>320</v>
      </c>
      <c r="G65" s="48">
        <v>46042.0</v>
      </c>
      <c r="H65" s="49">
        <v>0.0</v>
      </c>
      <c r="I65" s="50" t="s">
        <v>321</v>
      </c>
      <c r="J65" s="65">
        <v>46042.0</v>
      </c>
      <c r="K65" s="46" t="s">
        <v>56</v>
      </c>
      <c r="L65" s="50"/>
      <c r="M65" s="50"/>
      <c r="N65" s="50"/>
      <c r="O65" s="50"/>
      <c r="P65" s="50"/>
      <c r="Q65" s="50"/>
      <c r="R65" s="50"/>
      <c r="S65" s="50"/>
      <c r="T65" s="50"/>
      <c r="U65" s="50"/>
      <c r="V65" s="50"/>
      <c r="W65" s="50"/>
      <c r="X65" s="50"/>
      <c r="Y65" s="50"/>
      <c r="Z65" s="50"/>
    </row>
    <row r="66">
      <c r="A66" s="59" t="s">
        <v>322</v>
      </c>
      <c r="B66" s="60" t="s">
        <v>323</v>
      </c>
      <c r="C66" s="61">
        <v>2014.0</v>
      </c>
      <c r="D66" s="60" t="s">
        <v>324</v>
      </c>
      <c r="E66" s="60" t="s">
        <v>82</v>
      </c>
      <c r="F66" s="59" t="s">
        <v>325</v>
      </c>
      <c r="G66" s="62">
        <v>46042.0</v>
      </c>
      <c r="H66" s="56">
        <v>3.0</v>
      </c>
      <c r="I66" s="58" t="s">
        <v>326</v>
      </c>
      <c r="J66" s="63">
        <v>46045.0</v>
      </c>
      <c r="K66" s="60" t="s">
        <v>56</v>
      </c>
      <c r="L66" s="58"/>
      <c r="M66" s="58"/>
      <c r="N66" s="58"/>
      <c r="O66" s="58"/>
      <c r="P66" s="58"/>
      <c r="Q66" s="58"/>
      <c r="R66" s="58"/>
      <c r="S66" s="58"/>
      <c r="T66" s="58"/>
      <c r="U66" s="58"/>
      <c r="V66" s="58"/>
      <c r="W66" s="58"/>
      <c r="X66" s="58"/>
      <c r="Y66" s="58"/>
      <c r="Z66" s="58"/>
    </row>
    <row r="67">
      <c r="A67" s="45" t="s">
        <v>327</v>
      </c>
      <c r="B67" s="46" t="s">
        <v>328</v>
      </c>
      <c r="C67" s="50"/>
      <c r="D67" s="46" t="s">
        <v>148</v>
      </c>
      <c r="E67" s="46" t="s">
        <v>329</v>
      </c>
      <c r="F67" s="45" t="s">
        <v>330</v>
      </c>
      <c r="G67" s="48">
        <v>46042.0</v>
      </c>
      <c r="H67" s="49">
        <v>3.0</v>
      </c>
      <c r="I67" s="50" t="s">
        <v>37</v>
      </c>
      <c r="J67" s="65">
        <v>46045.0</v>
      </c>
      <c r="K67" s="46" t="s">
        <v>37</v>
      </c>
      <c r="L67" s="50"/>
      <c r="M67" s="50"/>
      <c r="N67" s="50"/>
      <c r="O67" s="50"/>
      <c r="P67" s="50"/>
      <c r="Q67" s="50"/>
      <c r="R67" s="50"/>
      <c r="S67" s="50"/>
      <c r="T67" s="50"/>
      <c r="U67" s="50"/>
      <c r="V67" s="50"/>
      <c r="W67" s="50"/>
      <c r="X67" s="50"/>
      <c r="Y67" s="50"/>
      <c r="Z67" s="50"/>
    </row>
    <row r="68">
      <c r="A68" s="59" t="s">
        <v>331</v>
      </c>
      <c r="B68" s="60" t="s">
        <v>332</v>
      </c>
      <c r="C68" s="58"/>
      <c r="D68" s="60" t="s">
        <v>333</v>
      </c>
      <c r="E68" s="60" t="s">
        <v>70</v>
      </c>
      <c r="F68" s="59" t="s">
        <v>334</v>
      </c>
      <c r="G68" s="62">
        <v>46042.0</v>
      </c>
      <c r="H68" s="56">
        <v>114.0</v>
      </c>
      <c r="I68" s="58" t="s">
        <v>56</v>
      </c>
      <c r="J68" s="64"/>
      <c r="K68" s="60" t="s">
        <v>56</v>
      </c>
      <c r="L68" s="58"/>
      <c r="M68" s="58"/>
      <c r="N68" s="58"/>
      <c r="O68" s="58"/>
      <c r="P68" s="58"/>
      <c r="Q68" s="58"/>
      <c r="R68" s="58"/>
      <c r="S68" s="58"/>
      <c r="T68" s="58"/>
      <c r="U68" s="58"/>
      <c r="V68" s="58"/>
      <c r="W68" s="58"/>
      <c r="X68" s="58"/>
      <c r="Y68" s="58"/>
      <c r="Z68" s="58"/>
    </row>
    <row r="69">
      <c r="A69" s="45" t="s">
        <v>335</v>
      </c>
      <c r="B69" s="46" t="s">
        <v>336</v>
      </c>
      <c r="C69" s="47">
        <v>2022.0</v>
      </c>
      <c r="D69" s="46" t="s">
        <v>52</v>
      </c>
      <c r="E69" s="46" t="s">
        <v>337</v>
      </c>
      <c r="F69" s="45" t="s">
        <v>338</v>
      </c>
      <c r="G69" s="48">
        <v>46042.0</v>
      </c>
      <c r="H69" s="49">
        <v>0.0</v>
      </c>
      <c r="I69" s="50" t="s">
        <v>339</v>
      </c>
      <c r="J69" s="65">
        <v>46042.0</v>
      </c>
      <c r="K69" s="46" t="s">
        <v>56</v>
      </c>
      <c r="L69" s="50"/>
      <c r="M69" s="50"/>
      <c r="N69" s="50"/>
      <c r="O69" s="50"/>
      <c r="P69" s="50"/>
      <c r="Q69" s="50"/>
      <c r="R69" s="50"/>
      <c r="S69" s="50"/>
      <c r="T69" s="50"/>
      <c r="U69" s="50"/>
      <c r="V69" s="50"/>
      <c r="W69" s="50"/>
      <c r="X69" s="50"/>
      <c r="Y69" s="50"/>
      <c r="Z69" s="50"/>
    </row>
    <row r="70">
      <c r="A70" s="59" t="s">
        <v>340</v>
      </c>
      <c r="B70" s="60" t="s">
        <v>341</v>
      </c>
      <c r="C70" s="61">
        <v>2022.0</v>
      </c>
      <c r="D70" s="60" t="s">
        <v>52</v>
      </c>
      <c r="E70" s="60" t="s">
        <v>82</v>
      </c>
      <c r="F70" s="59" t="s">
        <v>342</v>
      </c>
      <c r="G70" s="62">
        <v>46042.0</v>
      </c>
      <c r="H70" s="56">
        <v>114.0</v>
      </c>
      <c r="I70" s="58" t="s">
        <v>343</v>
      </c>
      <c r="J70" s="64"/>
      <c r="K70" s="60" t="s">
        <v>56</v>
      </c>
      <c r="L70" s="58"/>
      <c r="M70" s="58"/>
      <c r="N70" s="58"/>
      <c r="O70" s="58"/>
      <c r="P70" s="58"/>
      <c r="Q70" s="58"/>
      <c r="R70" s="58"/>
      <c r="S70" s="58"/>
      <c r="T70" s="58"/>
      <c r="U70" s="58"/>
      <c r="V70" s="58"/>
      <c r="W70" s="58"/>
      <c r="X70" s="58"/>
      <c r="Y70" s="58"/>
      <c r="Z70" s="58"/>
    </row>
    <row r="71">
      <c r="A71" s="45" t="s">
        <v>344</v>
      </c>
      <c r="B71" s="46" t="s">
        <v>345</v>
      </c>
      <c r="C71" s="50"/>
      <c r="D71" s="46" t="s">
        <v>14</v>
      </c>
      <c r="E71" s="46" t="s">
        <v>346</v>
      </c>
      <c r="F71" s="45" t="s">
        <v>347</v>
      </c>
      <c r="G71" s="48">
        <v>46043.0</v>
      </c>
      <c r="H71" s="49">
        <v>113.0</v>
      </c>
      <c r="I71" s="50" t="s">
        <v>84</v>
      </c>
      <c r="J71" s="51"/>
      <c r="K71" s="46" t="s">
        <v>84</v>
      </c>
      <c r="L71" s="50"/>
      <c r="M71" s="50"/>
      <c r="N71" s="50"/>
      <c r="O71" s="50"/>
      <c r="P71" s="50"/>
      <c r="Q71" s="50"/>
      <c r="R71" s="50"/>
      <c r="S71" s="50"/>
      <c r="T71" s="50"/>
      <c r="U71" s="50"/>
      <c r="V71" s="50"/>
      <c r="W71" s="50"/>
      <c r="X71" s="50"/>
      <c r="Y71" s="50"/>
      <c r="Z71" s="50"/>
    </row>
    <row r="72">
      <c r="A72" s="52" t="s">
        <v>348</v>
      </c>
      <c r="B72" s="53" t="s">
        <v>349</v>
      </c>
      <c r="C72" s="66">
        <v>2023.0</v>
      </c>
      <c r="D72" s="53" t="s">
        <v>40</v>
      </c>
      <c r="E72" s="53" t="s">
        <v>350</v>
      </c>
      <c r="F72" s="52" t="s">
        <v>351</v>
      </c>
      <c r="G72" s="55">
        <v>46160.0</v>
      </c>
      <c r="H72" s="56">
        <v>113.0</v>
      </c>
      <c r="I72" s="54" t="s">
        <v>352</v>
      </c>
      <c r="J72" s="64"/>
      <c r="K72" s="53" t="s">
        <v>248</v>
      </c>
      <c r="L72" s="54">
        <v>36971.0</v>
      </c>
      <c r="M72" s="58"/>
      <c r="N72" s="58"/>
      <c r="O72" s="58"/>
      <c r="P72" s="58"/>
      <c r="Q72" s="58"/>
      <c r="R72" s="58"/>
      <c r="S72" s="58"/>
      <c r="T72" s="58"/>
      <c r="U72" s="58"/>
      <c r="V72" s="58"/>
      <c r="W72" s="58"/>
      <c r="X72" s="58"/>
      <c r="Y72" s="58"/>
      <c r="Z72" s="58"/>
    </row>
    <row r="73">
      <c r="A73" s="45" t="s">
        <v>353</v>
      </c>
      <c r="B73" s="46" t="s">
        <v>354</v>
      </c>
      <c r="C73" s="50"/>
      <c r="D73" s="46" t="s">
        <v>75</v>
      </c>
      <c r="E73" s="46" t="s">
        <v>91</v>
      </c>
      <c r="F73" s="45" t="s">
        <v>355</v>
      </c>
      <c r="G73" s="48">
        <v>46043.0</v>
      </c>
      <c r="H73" s="49">
        <v>113.0</v>
      </c>
      <c r="I73" s="50" t="s">
        <v>37</v>
      </c>
      <c r="J73" s="51"/>
      <c r="K73" s="46" t="s">
        <v>37</v>
      </c>
      <c r="L73" s="50"/>
      <c r="M73" s="50"/>
      <c r="N73" s="50"/>
      <c r="O73" s="50"/>
      <c r="P73" s="50"/>
      <c r="Q73" s="50"/>
      <c r="R73" s="50"/>
      <c r="S73" s="50"/>
      <c r="T73" s="50"/>
      <c r="U73" s="50"/>
      <c r="V73" s="50"/>
      <c r="W73" s="50"/>
      <c r="X73" s="50"/>
      <c r="Y73" s="50"/>
      <c r="Z73" s="50"/>
    </row>
    <row r="74">
      <c r="A74" s="59" t="s">
        <v>356</v>
      </c>
      <c r="B74" s="60" t="s">
        <v>357</v>
      </c>
      <c r="C74" s="61">
        <v>2014.0</v>
      </c>
      <c r="D74" s="60" t="s">
        <v>358</v>
      </c>
      <c r="E74" s="60" t="s">
        <v>359</v>
      </c>
      <c r="F74" s="59" t="s">
        <v>360</v>
      </c>
      <c r="G74" s="62">
        <v>46043.0</v>
      </c>
      <c r="H74" s="56">
        <v>113.0</v>
      </c>
      <c r="I74" s="58" t="s">
        <v>361</v>
      </c>
      <c r="J74" s="64"/>
      <c r="K74" s="60" t="s">
        <v>56</v>
      </c>
      <c r="L74" s="58"/>
      <c r="M74" s="58"/>
      <c r="N74" s="58"/>
      <c r="O74" s="58"/>
      <c r="P74" s="58"/>
      <c r="Q74" s="58"/>
      <c r="R74" s="58"/>
      <c r="S74" s="58"/>
      <c r="T74" s="58"/>
      <c r="U74" s="58"/>
      <c r="V74" s="58"/>
      <c r="W74" s="58"/>
      <c r="X74" s="58"/>
      <c r="Y74" s="58"/>
      <c r="Z74" s="58"/>
    </row>
    <row r="75">
      <c r="A75" s="45" t="s">
        <v>362</v>
      </c>
      <c r="B75" s="46" t="s">
        <v>363</v>
      </c>
      <c r="C75" s="47">
        <v>2022.0</v>
      </c>
      <c r="D75" s="46" t="s">
        <v>14</v>
      </c>
      <c r="E75" s="46" t="s">
        <v>28</v>
      </c>
      <c r="F75" s="45" t="s">
        <v>364</v>
      </c>
      <c r="G75" s="48">
        <v>46043.0</v>
      </c>
      <c r="H75" s="49">
        <v>113.0</v>
      </c>
      <c r="I75" s="50" t="s">
        <v>365</v>
      </c>
      <c r="J75" s="51"/>
      <c r="K75" s="46" t="s">
        <v>56</v>
      </c>
      <c r="L75" s="50"/>
      <c r="M75" s="50"/>
      <c r="N75" s="50"/>
      <c r="O75" s="50"/>
      <c r="P75" s="50"/>
      <c r="Q75" s="50"/>
      <c r="R75" s="50"/>
      <c r="S75" s="50"/>
      <c r="T75" s="50"/>
      <c r="U75" s="50"/>
      <c r="V75" s="50"/>
      <c r="W75" s="50"/>
      <c r="X75" s="50"/>
      <c r="Y75" s="50"/>
      <c r="Z75" s="50"/>
    </row>
    <row r="76">
      <c r="A76" s="67">
        <v>17306.0</v>
      </c>
      <c r="B76" s="68" t="s">
        <v>366</v>
      </c>
      <c r="C76" s="69">
        <v>2011.0</v>
      </c>
      <c r="D76" s="68" t="s">
        <v>367</v>
      </c>
      <c r="E76" s="68" t="s">
        <v>368</v>
      </c>
      <c r="F76" s="70" t="s">
        <v>369</v>
      </c>
      <c r="G76" s="71">
        <v>46044.0</v>
      </c>
      <c r="H76" s="72">
        <f>IF(G76="","",IF(J76="",TODAY()-G76,J76-G76))</f>
        <v>40</v>
      </c>
      <c r="I76" s="73" t="s">
        <v>370</v>
      </c>
      <c r="J76" s="74">
        <v>46084.0</v>
      </c>
      <c r="K76" s="75"/>
      <c r="L76" s="75"/>
      <c r="M76" s="73"/>
      <c r="N76" s="73"/>
      <c r="O76" s="73"/>
      <c r="P76" s="73"/>
      <c r="Q76" s="73"/>
      <c r="R76" s="73"/>
      <c r="S76" s="73"/>
      <c r="T76" s="73"/>
      <c r="U76" s="73"/>
      <c r="V76" s="73"/>
      <c r="W76" s="73"/>
      <c r="X76" s="73"/>
      <c r="Y76" s="73"/>
      <c r="Z76" s="73"/>
    </row>
    <row r="77">
      <c r="A77" s="45" t="s">
        <v>371</v>
      </c>
      <c r="B77" s="46" t="s">
        <v>372</v>
      </c>
      <c r="C77" s="50"/>
      <c r="D77" s="46" t="s">
        <v>269</v>
      </c>
      <c r="E77" s="46" t="s">
        <v>373</v>
      </c>
      <c r="F77" s="45" t="s">
        <v>374</v>
      </c>
      <c r="G77" s="48">
        <v>46044.0</v>
      </c>
      <c r="H77" s="49">
        <v>11.0</v>
      </c>
      <c r="I77" s="50" t="s">
        <v>37</v>
      </c>
      <c r="J77" s="65">
        <v>46055.0</v>
      </c>
      <c r="K77" s="46" t="s">
        <v>37</v>
      </c>
      <c r="L77" s="50"/>
      <c r="M77" s="50"/>
      <c r="N77" s="50"/>
      <c r="O77" s="50"/>
      <c r="P77" s="50"/>
      <c r="Q77" s="50"/>
      <c r="R77" s="50"/>
      <c r="S77" s="50"/>
      <c r="T77" s="50"/>
      <c r="U77" s="50"/>
      <c r="V77" s="50"/>
      <c r="W77" s="50"/>
      <c r="X77" s="50"/>
      <c r="Y77" s="50"/>
      <c r="Z77" s="50"/>
    </row>
    <row r="78">
      <c r="A78" s="59" t="s">
        <v>375</v>
      </c>
      <c r="B78" s="60" t="s">
        <v>376</v>
      </c>
      <c r="C78" s="61">
        <v>2015.0</v>
      </c>
      <c r="D78" s="60" t="s">
        <v>75</v>
      </c>
      <c r="E78" s="60" t="s">
        <v>82</v>
      </c>
      <c r="F78" s="59" t="s">
        <v>377</v>
      </c>
      <c r="G78" s="62">
        <v>46044.0</v>
      </c>
      <c r="H78" s="56">
        <v>0.0</v>
      </c>
      <c r="I78" s="58" t="s">
        <v>378</v>
      </c>
      <c r="J78" s="63">
        <v>46044.0</v>
      </c>
      <c r="K78" s="60" t="s">
        <v>84</v>
      </c>
      <c r="L78" s="58"/>
      <c r="M78" s="58"/>
      <c r="N78" s="58"/>
      <c r="O78" s="58"/>
      <c r="P78" s="58"/>
      <c r="Q78" s="58"/>
      <c r="R78" s="58"/>
      <c r="S78" s="58"/>
      <c r="T78" s="58"/>
      <c r="U78" s="58"/>
      <c r="V78" s="58"/>
      <c r="W78" s="58"/>
      <c r="X78" s="58"/>
      <c r="Y78" s="58"/>
      <c r="Z78" s="58"/>
    </row>
    <row r="79">
      <c r="A79" s="76" t="s">
        <v>379</v>
      </c>
      <c r="B79" s="77" t="s">
        <v>380</v>
      </c>
      <c r="C79" s="78">
        <v>2019.0</v>
      </c>
      <c r="D79" s="77" t="s">
        <v>182</v>
      </c>
      <c r="E79" s="77" t="s">
        <v>70</v>
      </c>
      <c r="F79" s="76" t="s">
        <v>381</v>
      </c>
      <c r="G79" s="79">
        <v>46164.0</v>
      </c>
      <c r="H79" s="49">
        <v>0.0</v>
      </c>
      <c r="I79" s="80" t="s">
        <v>382</v>
      </c>
      <c r="J79" s="81">
        <v>46177.0</v>
      </c>
      <c r="K79" s="77" t="s">
        <v>84</v>
      </c>
      <c r="L79" s="80">
        <v>155741.0</v>
      </c>
      <c r="M79" s="50"/>
      <c r="N79" s="50"/>
      <c r="O79" s="50"/>
      <c r="P79" s="50"/>
      <c r="Q79" s="50"/>
      <c r="R79" s="50"/>
      <c r="S79" s="50"/>
      <c r="T79" s="50"/>
      <c r="U79" s="50"/>
      <c r="V79" s="50"/>
      <c r="W79" s="50"/>
      <c r="X79" s="50"/>
      <c r="Y79" s="50"/>
      <c r="Z79" s="50"/>
    </row>
    <row r="80">
      <c r="A80" s="59" t="s">
        <v>383</v>
      </c>
      <c r="B80" s="60" t="s">
        <v>384</v>
      </c>
      <c r="C80" s="58"/>
      <c r="D80" s="60" t="s">
        <v>14</v>
      </c>
      <c r="E80" s="60" t="s">
        <v>385</v>
      </c>
      <c r="F80" s="59" t="s">
        <v>386</v>
      </c>
      <c r="G80" s="62">
        <v>46044.0</v>
      </c>
      <c r="H80" s="56">
        <v>112.0</v>
      </c>
      <c r="I80" s="58" t="s">
        <v>56</v>
      </c>
      <c r="J80" s="64"/>
      <c r="K80" s="60" t="s">
        <v>56</v>
      </c>
      <c r="L80" s="58"/>
      <c r="M80" s="58"/>
      <c r="N80" s="58"/>
      <c r="O80" s="58"/>
      <c r="P80" s="58"/>
      <c r="Q80" s="58"/>
      <c r="R80" s="58"/>
      <c r="S80" s="58"/>
      <c r="T80" s="58"/>
      <c r="U80" s="58"/>
      <c r="V80" s="58"/>
      <c r="W80" s="58"/>
      <c r="X80" s="58"/>
      <c r="Y80" s="58"/>
      <c r="Z80" s="58"/>
    </row>
    <row r="81">
      <c r="A81" s="45" t="s">
        <v>387</v>
      </c>
      <c r="B81" s="46" t="s">
        <v>388</v>
      </c>
      <c r="C81" s="47">
        <v>2010.0</v>
      </c>
      <c r="D81" s="46" t="s">
        <v>367</v>
      </c>
      <c r="E81" s="46" t="s">
        <v>125</v>
      </c>
      <c r="F81" s="45" t="s">
        <v>389</v>
      </c>
      <c r="G81" s="48">
        <v>46044.0</v>
      </c>
      <c r="H81" s="49">
        <v>11.0</v>
      </c>
      <c r="I81" s="50" t="s">
        <v>390</v>
      </c>
      <c r="J81" s="65">
        <v>46055.0</v>
      </c>
      <c r="K81" s="46" t="s">
        <v>56</v>
      </c>
      <c r="L81" s="50"/>
      <c r="M81" s="50"/>
      <c r="N81" s="50"/>
      <c r="O81" s="50"/>
      <c r="P81" s="50"/>
      <c r="Q81" s="50"/>
      <c r="R81" s="50"/>
      <c r="S81" s="50"/>
      <c r="T81" s="50"/>
      <c r="U81" s="50"/>
      <c r="V81" s="50"/>
      <c r="W81" s="50"/>
      <c r="X81" s="50"/>
      <c r="Y81" s="50"/>
      <c r="Z81" s="50"/>
    </row>
    <row r="82">
      <c r="A82" s="59" t="s">
        <v>391</v>
      </c>
      <c r="B82" s="60" t="s">
        <v>392</v>
      </c>
      <c r="C82" s="61">
        <v>2011.0</v>
      </c>
      <c r="D82" s="60" t="s">
        <v>367</v>
      </c>
      <c r="E82" s="60" t="s">
        <v>125</v>
      </c>
      <c r="F82" s="59" t="s">
        <v>393</v>
      </c>
      <c r="G82" s="62">
        <v>46044.0</v>
      </c>
      <c r="H82" s="56">
        <v>112.0</v>
      </c>
      <c r="I82" s="58" t="s">
        <v>31</v>
      </c>
      <c r="J82" s="64"/>
      <c r="K82" s="60" t="s">
        <v>56</v>
      </c>
      <c r="L82" s="58"/>
      <c r="M82" s="58"/>
      <c r="N82" s="58"/>
      <c r="O82" s="58"/>
      <c r="P82" s="58"/>
      <c r="Q82" s="58"/>
      <c r="R82" s="58"/>
      <c r="S82" s="58"/>
      <c r="T82" s="58"/>
      <c r="U82" s="58"/>
      <c r="V82" s="58"/>
      <c r="W82" s="58"/>
      <c r="X82" s="58"/>
      <c r="Y82" s="58"/>
      <c r="Z82" s="58"/>
    </row>
    <row r="83">
      <c r="A83" s="45" t="s">
        <v>394</v>
      </c>
      <c r="B83" s="46" t="s">
        <v>395</v>
      </c>
      <c r="C83" s="47">
        <v>2014.0</v>
      </c>
      <c r="D83" s="46" t="s">
        <v>136</v>
      </c>
      <c r="E83" s="46" t="s">
        <v>47</v>
      </c>
      <c r="F83" s="45" t="s">
        <v>396</v>
      </c>
      <c r="G83" s="48">
        <v>46044.0</v>
      </c>
      <c r="H83" s="49">
        <v>112.0</v>
      </c>
      <c r="I83" s="50" t="s">
        <v>397</v>
      </c>
      <c r="J83" s="51"/>
      <c r="K83" s="46" t="s">
        <v>56</v>
      </c>
      <c r="L83" s="50"/>
      <c r="M83" s="50"/>
      <c r="N83" s="50"/>
      <c r="O83" s="50"/>
      <c r="P83" s="50"/>
      <c r="Q83" s="50"/>
      <c r="R83" s="50"/>
      <c r="S83" s="50"/>
      <c r="T83" s="50"/>
      <c r="U83" s="50"/>
      <c r="V83" s="50"/>
      <c r="W83" s="50"/>
      <c r="X83" s="50"/>
      <c r="Y83" s="50"/>
      <c r="Z83" s="50"/>
    </row>
    <row r="84">
      <c r="A84" s="59" t="s">
        <v>398</v>
      </c>
      <c r="B84" s="60" t="s">
        <v>366</v>
      </c>
      <c r="C84" s="61">
        <v>2011.0</v>
      </c>
      <c r="D84" s="60" t="s">
        <v>367</v>
      </c>
      <c r="E84" s="60" t="s">
        <v>399</v>
      </c>
      <c r="F84" s="59" t="s">
        <v>400</v>
      </c>
      <c r="G84" s="62">
        <v>46044.0</v>
      </c>
      <c r="H84" s="56">
        <v>0.0</v>
      </c>
      <c r="I84" s="58" t="s">
        <v>401</v>
      </c>
      <c r="J84" s="63">
        <v>46044.0</v>
      </c>
      <c r="K84" s="60" t="s">
        <v>56</v>
      </c>
      <c r="L84" s="58"/>
      <c r="M84" s="58"/>
      <c r="N84" s="58"/>
      <c r="O84" s="58"/>
      <c r="P84" s="58"/>
      <c r="Q84" s="58"/>
      <c r="R84" s="58"/>
      <c r="S84" s="58"/>
      <c r="T84" s="58"/>
      <c r="U84" s="58"/>
      <c r="V84" s="58"/>
      <c r="W84" s="58"/>
      <c r="X84" s="58"/>
      <c r="Y84" s="58"/>
      <c r="Z84" s="58"/>
    </row>
    <row r="85">
      <c r="A85" s="45" t="s">
        <v>402</v>
      </c>
      <c r="B85" s="46" t="s">
        <v>403</v>
      </c>
      <c r="C85" s="47">
        <v>2025.0</v>
      </c>
      <c r="D85" s="46" t="s">
        <v>404</v>
      </c>
      <c r="E85" s="46" t="s">
        <v>405</v>
      </c>
      <c r="F85" s="45" t="s">
        <v>406</v>
      </c>
      <c r="G85" s="48">
        <v>46045.0</v>
      </c>
      <c r="H85" s="49">
        <v>10.0</v>
      </c>
      <c r="I85" s="50" t="s">
        <v>407</v>
      </c>
      <c r="J85" s="65">
        <v>46055.0</v>
      </c>
      <c r="K85" s="46" t="s">
        <v>407</v>
      </c>
      <c r="L85" s="50"/>
      <c r="M85" s="50"/>
      <c r="N85" s="50"/>
      <c r="O85" s="50"/>
      <c r="P85" s="50"/>
      <c r="Q85" s="50"/>
      <c r="R85" s="50"/>
      <c r="S85" s="50"/>
      <c r="T85" s="50"/>
      <c r="U85" s="50"/>
      <c r="V85" s="50"/>
      <c r="W85" s="50"/>
      <c r="X85" s="50"/>
      <c r="Y85" s="50"/>
      <c r="Z85" s="50"/>
    </row>
    <row r="86">
      <c r="A86" s="59" t="s">
        <v>408</v>
      </c>
      <c r="B86" s="60" t="s">
        <v>409</v>
      </c>
      <c r="C86" s="58"/>
      <c r="D86" s="60" t="s">
        <v>14</v>
      </c>
      <c r="E86" s="60" t="s">
        <v>410</v>
      </c>
      <c r="F86" s="59" t="s">
        <v>411</v>
      </c>
      <c r="G86" s="62">
        <v>46045.0</v>
      </c>
      <c r="H86" s="56">
        <v>0.0</v>
      </c>
      <c r="I86" s="58" t="s">
        <v>66</v>
      </c>
      <c r="J86" s="63">
        <v>46045.0</v>
      </c>
      <c r="K86" s="60" t="s">
        <v>66</v>
      </c>
      <c r="L86" s="58"/>
      <c r="M86" s="58"/>
      <c r="N86" s="58"/>
      <c r="O86" s="58"/>
      <c r="P86" s="58"/>
      <c r="Q86" s="58"/>
      <c r="R86" s="58"/>
      <c r="S86" s="58"/>
      <c r="T86" s="58"/>
      <c r="U86" s="58"/>
      <c r="V86" s="58"/>
      <c r="W86" s="58"/>
      <c r="X86" s="58"/>
      <c r="Y86" s="58"/>
      <c r="Z86" s="58"/>
    </row>
    <row r="87">
      <c r="A87" s="45" t="s">
        <v>412</v>
      </c>
      <c r="B87" s="46" t="s">
        <v>413</v>
      </c>
      <c r="C87" s="47">
        <v>2018.0</v>
      </c>
      <c r="D87" s="46" t="s">
        <v>14</v>
      </c>
      <c r="E87" s="46" t="s">
        <v>368</v>
      </c>
      <c r="F87" s="45" t="s">
        <v>414</v>
      </c>
      <c r="G87" s="48">
        <v>46045.0</v>
      </c>
      <c r="H87" s="49">
        <v>7.0</v>
      </c>
      <c r="I87" s="50" t="s">
        <v>415</v>
      </c>
      <c r="J87" s="65">
        <v>46052.0</v>
      </c>
      <c r="K87" s="46" t="s">
        <v>56</v>
      </c>
      <c r="L87" s="50"/>
      <c r="M87" s="50"/>
      <c r="N87" s="50"/>
      <c r="O87" s="50"/>
      <c r="P87" s="50"/>
      <c r="Q87" s="50"/>
      <c r="R87" s="50"/>
      <c r="S87" s="50"/>
      <c r="T87" s="50"/>
      <c r="U87" s="50"/>
      <c r="V87" s="50"/>
      <c r="W87" s="50"/>
      <c r="X87" s="50"/>
      <c r="Y87" s="50"/>
      <c r="Z87" s="50"/>
    </row>
    <row r="88">
      <c r="A88" s="52" t="s">
        <v>416</v>
      </c>
      <c r="B88" s="53" t="s">
        <v>417</v>
      </c>
      <c r="C88" s="66">
        <v>2022.0</v>
      </c>
      <c r="D88" s="53" t="s">
        <v>40</v>
      </c>
      <c r="E88" s="53" t="s">
        <v>418</v>
      </c>
      <c r="F88" s="52" t="s">
        <v>419</v>
      </c>
      <c r="G88" s="55">
        <v>46191.0</v>
      </c>
      <c r="H88" s="56">
        <v>111.0</v>
      </c>
      <c r="I88" s="54" t="s">
        <v>420</v>
      </c>
      <c r="J88" s="57">
        <v>46204.0</v>
      </c>
      <c r="K88" s="53" t="s">
        <v>24</v>
      </c>
      <c r="L88" s="54">
        <v>114346.0</v>
      </c>
      <c r="M88" s="58"/>
      <c r="N88" s="58"/>
      <c r="O88" s="58"/>
      <c r="P88" s="58"/>
      <c r="Q88" s="58"/>
      <c r="R88" s="58"/>
      <c r="S88" s="58"/>
      <c r="T88" s="58"/>
      <c r="U88" s="58"/>
      <c r="V88" s="58"/>
      <c r="W88" s="58"/>
      <c r="X88" s="58"/>
      <c r="Y88" s="58"/>
      <c r="Z88" s="58"/>
    </row>
    <row r="89">
      <c r="A89" s="76" t="s">
        <v>421</v>
      </c>
      <c r="B89" s="77" t="s">
        <v>422</v>
      </c>
      <c r="C89" s="78">
        <v>2013.0</v>
      </c>
      <c r="D89" s="77" t="s">
        <v>27</v>
      </c>
      <c r="E89" s="77" t="s">
        <v>160</v>
      </c>
      <c r="F89" s="76" t="s">
        <v>423</v>
      </c>
      <c r="G89" s="79">
        <v>46113.0</v>
      </c>
      <c r="H89" s="49">
        <v>111.0</v>
      </c>
      <c r="I89" s="80" t="s">
        <v>424</v>
      </c>
      <c r="J89" s="82">
        <v>46219.0</v>
      </c>
      <c r="K89" s="77" t="s">
        <v>44</v>
      </c>
      <c r="L89" s="83">
        <v>80141.0</v>
      </c>
      <c r="M89" s="50"/>
      <c r="N89" s="50"/>
      <c r="O89" s="50"/>
      <c r="P89" s="50"/>
      <c r="Q89" s="50"/>
      <c r="R89" s="50"/>
      <c r="S89" s="50"/>
      <c r="T89" s="50"/>
      <c r="U89" s="50"/>
      <c r="V89" s="50"/>
      <c r="W89" s="50"/>
      <c r="X89" s="50"/>
      <c r="Y89" s="50"/>
      <c r="Z89" s="50"/>
    </row>
    <row r="90">
      <c r="A90" s="59" t="s">
        <v>425</v>
      </c>
      <c r="B90" s="60" t="s">
        <v>426</v>
      </c>
      <c r="C90" s="58"/>
      <c r="D90" s="60" t="s">
        <v>427</v>
      </c>
      <c r="E90" s="60" t="s">
        <v>106</v>
      </c>
      <c r="F90" s="59" t="s">
        <v>428</v>
      </c>
      <c r="G90" s="62">
        <v>46045.0</v>
      </c>
      <c r="H90" s="56">
        <v>111.0</v>
      </c>
      <c r="I90" s="58" t="s">
        <v>56</v>
      </c>
      <c r="J90" s="64"/>
      <c r="K90" s="60" t="s">
        <v>56</v>
      </c>
      <c r="L90" s="58"/>
      <c r="M90" s="58"/>
      <c r="N90" s="58"/>
      <c r="O90" s="58"/>
      <c r="P90" s="58"/>
      <c r="Q90" s="58"/>
      <c r="R90" s="58"/>
      <c r="S90" s="58"/>
      <c r="T90" s="58"/>
      <c r="U90" s="58"/>
      <c r="V90" s="58"/>
      <c r="W90" s="58"/>
      <c r="X90" s="58"/>
      <c r="Y90" s="58"/>
      <c r="Z90" s="58"/>
    </row>
    <row r="91">
      <c r="A91" s="45" t="s">
        <v>429</v>
      </c>
      <c r="B91" s="46" t="s">
        <v>376</v>
      </c>
      <c r="C91" s="47">
        <v>2015.0</v>
      </c>
      <c r="D91" s="46" t="s">
        <v>75</v>
      </c>
      <c r="E91" s="46" t="s">
        <v>82</v>
      </c>
      <c r="F91" s="45" t="s">
        <v>377</v>
      </c>
      <c r="G91" s="48">
        <v>46048.0</v>
      </c>
      <c r="H91" s="49">
        <v>108.0</v>
      </c>
      <c r="I91" s="50" t="s">
        <v>84</v>
      </c>
      <c r="J91" s="51"/>
      <c r="K91" s="46" t="s">
        <v>84</v>
      </c>
      <c r="L91" s="50"/>
      <c r="M91" s="50"/>
      <c r="N91" s="50"/>
      <c r="O91" s="50"/>
      <c r="P91" s="50"/>
      <c r="Q91" s="50"/>
      <c r="R91" s="50"/>
      <c r="S91" s="50"/>
      <c r="T91" s="50"/>
      <c r="U91" s="50"/>
      <c r="V91" s="50"/>
      <c r="W91" s="50"/>
      <c r="X91" s="50"/>
      <c r="Y91" s="50"/>
      <c r="Z91" s="50"/>
    </row>
    <row r="92">
      <c r="A92" s="59" t="s">
        <v>430</v>
      </c>
      <c r="B92" s="60" t="s">
        <v>431</v>
      </c>
      <c r="C92" s="58"/>
      <c r="D92" s="60" t="s">
        <v>14</v>
      </c>
      <c r="E92" s="60" t="s">
        <v>432</v>
      </c>
      <c r="F92" s="59" t="s">
        <v>433</v>
      </c>
      <c r="G92" s="62">
        <v>46048.0</v>
      </c>
      <c r="H92" s="56">
        <v>108.0</v>
      </c>
      <c r="I92" s="58" t="s">
        <v>66</v>
      </c>
      <c r="J92" s="64"/>
      <c r="K92" s="60" t="s">
        <v>66</v>
      </c>
      <c r="L92" s="58"/>
      <c r="M92" s="58"/>
      <c r="N92" s="58"/>
      <c r="O92" s="58"/>
      <c r="P92" s="58"/>
      <c r="Q92" s="58"/>
      <c r="R92" s="58"/>
      <c r="S92" s="58"/>
      <c r="T92" s="58"/>
      <c r="U92" s="58"/>
      <c r="V92" s="58"/>
      <c r="W92" s="58"/>
      <c r="X92" s="58"/>
      <c r="Y92" s="58"/>
      <c r="Z92" s="58"/>
    </row>
    <row r="93">
      <c r="A93" s="45" t="s">
        <v>434</v>
      </c>
      <c r="B93" s="46" t="s">
        <v>98</v>
      </c>
      <c r="C93" s="47">
        <v>2022.0</v>
      </c>
      <c r="D93" s="46" t="s">
        <v>52</v>
      </c>
      <c r="E93" s="46" t="s">
        <v>99</v>
      </c>
      <c r="F93" s="45" t="s">
        <v>100</v>
      </c>
      <c r="G93" s="48">
        <v>46048.0</v>
      </c>
      <c r="H93" s="49">
        <v>1.0</v>
      </c>
      <c r="I93" s="50" t="s">
        <v>435</v>
      </c>
      <c r="J93" s="65">
        <v>46049.0</v>
      </c>
      <c r="K93" s="46" t="s">
        <v>56</v>
      </c>
      <c r="L93" s="50"/>
      <c r="M93" s="50"/>
      <c r="N93" s="50"/>
      <c r="O93" s="50"/>
      <c r="P93" s="50"/>
      <c r="Q93" s="50"/>
      <c r="R93" s="50"/>
      <c r="S93" s="50"/>
      <c r="T93" s="50"/>
      <c r="U93" s="50"/>
      <c r="V93" s="50"/>
      <c r="W93" s="50"/>
      <c r="X93" s="50"/>
      <c r="Y93" s="50"/>
      <c r="Z93" s="50"/>
    </row>
    <row r="94">
      <c r="A94" s="59" t="s">
        <v>436</v>
      </c>
      <c r="B94" s="60" t="s">
        <v>437</v>
      </c>
      <c r="C94" s="58"/>
      <c r="D94" s="60" t="s">
        <v>52</v>
      </c>
      <c r="E94" s="60" t="s">
        <v>438</v>
      </c>
      <c r="F94" s="59" t="s">
        <v>439</v>
      </c>
      <c r="G94" s="62">
        <v>46048.0</v>
      </c>
      <c r="H94" s="56">
        <v>3.0</v>
      </c>
      <c r="I94" s="58" t="s">
        <v>37</v>
      </c>
      <c r="J94" s="63">
        <v>46051.0</v>
      </c>
      <c r="K94" s="60" t="s">
        <v>37</v>
      </c>
      <c r="L94" s="58"/>
      <c r="M94" s="58"/>
      <c r="N94" s="58"/>
      <c r="O94" s="58"/>
      <c r="P94" s="58"/>
      <c r="Q94" s="58"/>
      <c r="R94" s="58"/>
      <c r="S94" s="58"/>
      <c r="T94" s="58"/>
      <c r="U94" s="58"/>
      <c r="V94" s="58"/>
      <c r="W94" s="58"/>
      <c r="X94" s="58"/>
      <c r="Y94" s="58"/>
      <c r="Z94" s="58"/>
    </row>
    <row r="95">
      <c r="A95" s="45" t="s">
        <v>440</v>
      </c>
      <c r="B95" s="46" t="s">
        <v>441</v>
      </c>
      <c r="C95" s="47">
        <v>2022.0</v>
      </c>
      <c r="D95" s="46" t="s">
        <v>52</v>
      </c>
      <c r="E95" s="46" t="s">
        <v>442</v>
      </c>
      <c r="F95" s="45" t="s">
        <v>443</v>
      </c>
      <c r="G95" s="48">
        <v>46048.0</v>
      </c>
      <c r="H95" s="49">
        <v>108.0</v>
      </c>
      <c r="I95" s="50" t="s">
        <v>444</v>
      </c>
      <c r="J95" s="51"/>
      <c r="K95" s="46" t="s">
        <v>56</v>
      </c>
      <c r="L95" s="50"/>
      <c r="M95" s="50"/>
      <c r="N95" s="50"/>
      <c r="O95" s="50"/>
      <c r="P95" s="50"/>
      <c r="Q95" s="50"/>
      <c r="R95" s="50"/>
      <c r="S95" s="50"/>
      <c r="T95" s="50"/>
      <c r="U95" s="50"/>
      <c r="V95" s="50"/>
      <c r="W95" s="50"/>
      <c r="X95" s="50"/>
      <c r="Y95" s="50"/>
      <c r="Z95" s="50"/>
    </row>
    <row r="96">
      <c r="A96" s="59" t="s">
        <v>445</v>
      </c>
      <c r="B96" s="60" t="s">
        <v>446</v>
      </c>
      <c r="C96" s="58"/>
      <c r="D96" s="60" t="s">
        <v>447</v>
      </c>
      <c r="E96" s="60" t="s">
        <v>137</v>
      </c>
      <c r="F96" s="59" t="s">
        <v>448</v>
      </c>
      <c r="G96" s="62">
        <v>46048.0</v>
      </c>
      <c r="H96" s="56">
        <v>108.0</v>
      </c>
      <c r="I96" s="58" t="s">
        <v>56</v>
      </c>
      <c r="J96" s="64"/>
      <c r="K96" s="60" t="s">
        <v>56</v>
      </c>
      <c r="L96" s="58"/>
      <c r="M96" s="58"/>
      <c r="N96" s="58"/>
      <c r="O96" s="58"/>
      <c r="P96" s="58"/>
      <c r="Q96" s="58"/>
      <c r="R96" s="58"/>
      <c r="S96" s="58"/>
      <c r="T96" s="58"/>
      <c r="U96" s="58"/>
      <c r="V96" s="58"/>
      <c r="W96" s="58"/>
      <c r="X96" s="58"/>
      <c r="Y96" s="58"/>
      <c r="Z96" s="58"/>
    </row>
    <row r="97">
      <c r="A97" s="45" t="s">
        <v>449</v>
      </c>
      <c r="B97" s="46" t="s">
        <v>450</v>
      </c>
      <c r="C97" s="47">
        <v>2019.0</v>
      </c>
      <c r="D97" s="46" t="s">
        <v>451</v>
      </c>
      <c r="E97" s="46" t="s">
        <v>452</v>
      </c>
      <c r="F97" s="45" t="s">
        <v>453</v>
      </c>
      <c r="G97" s="48">
        <v>46048.0</v>
      </c>
      <c r="H97" s="49">
        <v>108.0</v>
      </c>
      <c r="I97" s="50" t="s">
        <v>454</v>
      </c>
      <c r="J97" s="51"/>
      <c r="K97" s="46" t="s">
        <v>84</v>
      </c>
      <c r="L97" s="50"/>
      <c r="M97" s="50"/>
      <c r="N97" s="50"/>
      <c r="O97" s="50"/>
      <c r="P97" s="50"/>
      <c r="Q97" s="50"/>
      <c r="R97" s="50"/>
      <c r="S97" s="50"/>
      <c r="T97" s="50"/>
      <c r="U97" s="50"/>
      <c r="V97" s="50"/>
      <c r="W97" s="50"/>
      <c r="X97" s="50"/>
      <c r="Y97" s="50"/>
      <c r="Z97" s="50"/>
    </row>
    <row r="98">
      <c r="A98" s="59" t="s">
        <v>455</v>
      </c>
      <c r="B98" s="60" t="s">
        <v>281</v>
      </c>
      <c r="C98" s="61">
        <v>2023.0</v>
      </c>
      <c r="D98" s="60" t="s">
        <v>282</v>
      </c>
      <c r="E98" s="60" t="s">
        <v>28</v>
      </c>
      <c r="F98" s="59" t="s">
        <v>283</v>
      </c>
      <c r="G98" s="62">
        <v>46049.0</v>
      </c>
      <c r="H98" s="56">
        <v>0.0</v>
      </c>
      <c r="I98" s="58" t="s">
        <v>456</v>
      </c>
      <c r="J98" s="63">
        <v>46049.0</v>
      </c>
      <c r="K98" s="60" t="s">
        <v>56</v>
      </c>
      <c r="L98" s="58"/>
      <c r="M98" s="58"/>
      <c r="N98" s="58"/>
      <c r="O98" s="58"/>
      <c r="P98" s="58"/>
      <c r="Q98" s="58"/>
      <c r="R98" s="58"/>
      <c r="S98" s="58"/>
      <c r="T98" s="58"/>
      <c r="U98" s="58"/>
      <c r="V98" s="58"/>
      <c r="W98" s="58"/>
      <c r="X98" s="58"/>
      <c r="Y98" s="58"/>
      <c r="Z98" s="58"/>
    </row>
    <row r="99">
      <c r="A99" s="45" t="s">
        <v>457</v>
      </c>
      <c r="B99" s="46" t="s">
        <v>458</v>
      </c>
      <c r="C99" s="47">
        <v>2023.0</v>
      </c>
      <c r="D99" s="46" t="s">
        <v>282</v>
      </c>
      <c r="E99" s="46" t="s">
        <v>459</v>
      </c>
      <c r="F99" s="45" t="s">
        <v>460</v>
      </c>
      <c r="G99" s="48">
        <v>46049.0</v>
      </c>
      <c r="H99" s="49">
        <v>29.0</v>
      </c>
      <c r="I99" s="50" t="s">
        <v>456</v>
      </c>
      <c r="J99" s="65">
        <v>46078.0</v>
      </c>
      <c r="K99" s="46" t="s">
        <v>56</v>
      </c>
      <c r="L99" s="50"/>
      <c r="M99" s="50"/>
      <c r="N99" s="50"/>
      <c r="O99" s="50"/>
      <c r="P99" s="50"/>
      <c r="Q99" s="50"/>
      <c r="R99" s="50"/>
      <c r="S99" s="50"/>
      <c r="T99" s="50"/>
      <c r="U99" s="50"/>
      <c r="V99" s="50"/>
      <c r="W99" s="50"/>
      <c r="X99" s="50"/>
      <c r="Y99" s="50"/>
      <c r="Z99" s="50"/>
    </row>
    <row r="100">
      <c r="A100" s="59" t="s">
        <v>461</v>
      </c>
      <c r="B100" s="60" t="s">
        <v>462</v>
      </c>
      <c r="C100" s="61">
        <v>2022.0</v>
      </c>
      <c r="D100" s="60" t="s">
        <v>136</v>
      </c>
      <c r="E100" s="60" t="s">
        <v>82</v>
      </c>
      <c r="F100" s="59" t="s">
        <v>463</v>
      </c>
      <c r="G100" s="62">
        <v>46049.0</v>
      </c>
      <c r="H100" s="56">
        <v>30.0</v>
      </c>
      <c r="I100" s="58" t="s">
        <v>464</v>
      </c>
      <c r="J100" s="63">
        <v>46079.0</v>
      </c>
      <c r="K100" s="60" t="s">
        <v>56</v>
      </c>
      <c r="L100" s="58"/>
      <c r="M100" s="58"/>
      <c r="N100" s="58"/>
      <c r="O100" s="58"/>
      <c r="P100" s="58"/>
      <c r="Q100" s="58"/>
      <c r="R100" s="58"/>
      <c r="S100" s="58"/>
      <c r="T100" s="58"/>
      <c r="U100" s="58"/>
      <c r="V100" s="58"/>
      <c r="W100" s="58"/>
      <c r="X100" s="58"/>
      <c r="Y100" s="58"/>
      <c r="Z100" s="58"/>
    </row>
    <row r="101">
      <c r="A101" s="45" t="s">
        <v>465</v>
      </c>
      <c r="B101" s="46" t="s">
        <v>466</v>
      </c>
      <c r="C101" s="47">
        <v>2022.0</v>
      </c>
      <c r="D101" s="46" t="s">
        <v>467</v>
      </c>
      <c r="E101" s="46" t="s">
        <v>82</v>
      </c>
      <c r="F101" s="45" t="s">
        <v>468</v>
      </c>
      <c r="G101" s="48">
        <v>46049.0</v>
      </c>
      <c r="H101" s="49">
        <v>107.0</v>
      </c>
      <c r="I101" s="50" t="s">
        <v>469</v>
      </c>
      <c r="J101" s="51"/>
      <c r="K101" s="46" t="s">
        <v>56</v>
      </c>
      <c r="L101" s="50"/>
      <c r="M101" s="50"/>
      <c r="N101" s="50"/>
      <c r="O101" s="50"/>
      <c r="P101" s="50"/>
      <c r="Q101" s="50"/>
      <c r="R101" s="50"/>
      <c r="S101" s="50"/>
      <c r="T101" s="50"/>
      <c r="U101" s="50"/>
      <c r="V101" s="50"/>
      <c r="W101" s="50"/>
      <c r="X101" s="50"/>
      <c r="Y101" s="50"/>
      <c r="Z101" s="50"/>
    </row>
    <row r="102">
      <c r="A102" s="59" t="s">
        <v>470</v>
      </c>
      <c r="B102" s="60" t="s">
        <v>471</v>
      </c>
      <c r="C102" s="61">
        <v>2022.0</v>
      </c>
      <c r="D102" s="60" t="s">
        <v>467</v>
      </c>
      <c r="E102" s="60" t="s">
        <v>82</v>
      </c>
      <c r="F102" s="59" t="s">
        <v>472</v>
      </c>
      <c r="G102" s="62">
        <v>46049.0</v>
      </c>
      <c r="H102" s="56">
        <v>0.0</v>
      </c>
      <c r="I102" s="58" t="s">
        <v>469</v>
      </c>
      <c r="J102" s="63">
        <v>46049.0</v>
      </c>
      <c r="K102" s="60" t="s">
        <v>56</v>
      </c>
      <c r="L102" s="58"/>
      <c r="M102" s="58"/>
      <c r="N102" s="58"/>
      <c r="O102" s="58"/>
      <c r="P102" s="58"/>
      <c r="Q102" s="58"/>
      <c r="R102" s="58"/>
      <c r="S102" s="58"/>
      <c r="T102" s="58"/>
      <c r="U102" s="58"/>
      <c r="V102" s="58"/>
      <c r="W102" s="58"/>
      <c r="X102" s="58"/>
      <c r="Y102" s="58"/>
      <c r="Z102" s="58"/>
    </row>
    <row r="103">
      <c r="A103" s="45" t="s">
        <v>473</v>
      </c>
      <c r="B103" s="46" t="s">
        <v>474</v>
      </c>
      <c r="C103" s="47">
        <v>2011.0</v>
      </c>
      <c r="D103" s="46" t="s">
        <v>367</v>
      </c>
      <c r="E103" s="46" t="s">
        <v>475</v>
      </c>
      <c r="F103" s="45" t="s">
        <v>476</v>
      </c>
      <c r="G103" s="48">
        <v>46049.0</v>
      </c>
      <c r="H103" s="49">
        <v>0.0</v>
      </c>
      <c r="I103" s="50" t="s">
        <v>66</v>
      </c>
      <c r="J103" s="65">
        <v>46049.0</v>
      </c>
      <c r="K103" s="46" t="s">
        <v>66</v>
      </c>
      <c r="L103" s="50"/>
      <c r="M103" s="50"/>
      <c r="N103" s="50"/>
      <c r="O103" s="50"/>
      <c r="P103" s="50"/>
      <c r="Q103" s="50"/>
      <c r="R103" s="50"/>
      <c r="S103" s="50"/>
      <c r="T103" s="50"/>
      <c r="U103" s="50"/>
      <c r="V103" s="50"/>
      <c r="W103" s="50"/>
      <c r="X103" s="50"/>
      <c r="Y103" s="50"/>
      <c r="Z103" s="50"/>
    </row>
    <row r="104">
      <c r="A104" s="52" t="s">
        <v>477</v>
      </c>
      <c r="B104" s="53" t="s">
        <v>478</v>
      </c>
      <c r="C104" s="66">
        <v>2014.0</v>
      </c>
      <c r="D104" s="53" t="s">
        <v>251</v>
      </c>
      <c r="E104" s="53" t="s">
        <v>47</v>
      </c>
      <c r="F104" s="52" t="s">
        <v>479</v>
      </c>
      <c r="G104" s="55">
        <v>46175.0</v>
      </c>
      <c r="H104" s="56">
        <v>35.0</v>
      </c>
      <c r="I104" s="54" t="s">
        <v>480</v>
      </c>
      <c r="J104" s="84">
        <v>46175.0</v>
      </c>
      <c r="K104" s="53" t="s">
        <v>24</v>
      </c>
      <c r="L104" s="54">
        <v>249347.0</v>
      </c>
      <c r="M104" s="58"/>
      <c r="N104" s="58"/>
      <c r="O104" s="58"/>
      <c r="P104" s="58"/>
      <c r="Q104" s="58"/>
      <c r="R104" s="58"/>
      <c r="S104" s="58"/>
      <c r="T104" s="58"/>
      <c r="U104" s="58"/>
      <c r="V104" s="58"/>
      <c r="W104" s="58"/>
      <c r="X104" s="58"/>
      <c r="Y104" s="58"/>
      <c r="Z104" s="58"/>
    </row>
    <row r="105">
      <c r="A105" s="45" t="s">
        <v>481</v>
      </c>
      <c r="B105" s="46" t="s">
        <v>482</v>
      </c>
      <c r="C105" s="50"/>
      <c r="D105" s="46" t="s">
        <v>14</v>
      </c>
      <c r="E105" s="46" t="s">
        <v>483</v>
      </c>
      <c r="F105" s="45" t="s">
        <v>484</v>
      </c>
      <c r="G105" s="48">
        <v>46049.0</v>
      </c>
      <c r="H105" s="49">
        <v>107.0</v>
      </c>
      <c r="I105" s="50" t="s">
        <v>37</v>
      </c>
      <c r="J105" s="51"/>
      <c r="K105" s="46" t="s">
        <v>37</v>
      </c>
      <c r="L105" s="50"/>
      <c r="M105" s="50"/>
      <c r="N105" s="50"/>
      <c r="O105" s="50"/>
      <c r="P105" s="50"/>
      <c r="Q105" s="50"/>
      <c r="R105" s="50"/>
      <c r="S105" s="50"/>
      <c r="T105" s="50"/>
      <c r="U105" s="50"/>
      <c r="V105" s="50"/>
      <c r="W105" s="50"/>
      <c r="X105" s="50"/>
      <c r="Y105" s="50"/>
      <c r="Z105" s="50"/>
    </row>
    <row r="106">
      <c r="A106" s="59" t="s">
        <v>485</v>
      </c>
      <c r="B106" s="60" t="s">
        <v>486</v>
      </c>
      <c r="C106" s="58"/>
      <c r="D106" s="60" t="s">
        <v>52</v>
      </c>
      <c r="E106" s="60" t="s">
        <v>487</v>
      </c>
      <c r="F106" s="59" t="s">
        <v>488</v>
      </c>
      <c r="G106" s="62">
        <v>46050.0</v>
      </c>
      <c r="H106" s="56">
        <v>2.0</v>
      </c>
      <c r="I106" s="58" t="s">
        <v>37</v>
      </c>
      <c r="J106" s="63">
        <v>46052.0</v>
      </c>
      <c r="K106" s="60" t="s">
        <v>37</v>
      </c>
      <c r="L106" s="58"/>
      <c r="M106" s="58"/>
      <c r="N106" s="58"/>
      <c r="O106" s="58"/>
      <c r="P106" s="58"/>
      <c r="Q106" s="58"/>
      <c r="R106" s="58"/>
      <c r="S106" s="58"/>
      <c r="T106" s="58"/>
      <c r="U106" s="58"/>
      <c r="V106" s="58"/>
      <c r="W106" s="58"/>
      <c r="X106" s="58"/>
      <c r="Y106" s="58"/>
      <c r="Z106" s="58"/>
    </row>
    <row r="107">
      <c r="A107" s="45" t="s">
        <v>489</v>
      </c>
      <c r="B107" s="46" t="s">
        <v>490</v>
      </c>
      <c r="C107" s="47">
        <v>2022.0</v>
      </c>
      <c r="D107" s="46" t="s">
        <v>52</v>
      </c>
      <c r="E107" s="46" t="s">
        <v>183</v>
      </c>
      <c r="F107" s="45" t="s">
        <v>491</v>
      </c>
      <c r="G107" s="48">
        <v>46050.0</v>
      </c>
      <c r="H107" s="49">
        <v>106.0</v>
      </c>
      <c r="I107" s="50" t="s">
        <v>492</v>
      </c>
      <c r="J107" s="51"/>
      <c r="K107" s="46" t="s">
        <v>56</v>
      </c>
      <c r="L107" s="50"/>
      <c r="M107" s="50"/>
      <c r="N107" s="50"/>
      <c r="O107" s="50"/>
      <c r="P107" s="50"/>
      <c r="Q107" s="50"/>
      <c r="R107" s="50"/>
      <c r="S107" s="50"/>
      <c r="T107" s="50"/>
      <c r="U107" s="50"/>
      <c r="V107" s="50"/>
      <c r="W107" s="50"/>
      <c r="X107" s="50"/>
      <c r="Y107" s="50"/>
      <c r="Z107" s="50"/>
    </row>
    <row r="108">
      <c r="A108" s="52" t="s">
        <v>493</v>
      </c>
      <c r="B108" s="53" t="s">
        <v>494</v>
      </c>
      <c r="C108" s="66">
        <v>2022.0</v>
      </c>
      <c r="D108" s="53" t="s">
        <v>292</v>
      </c>
      <c r="E108" s="53" t="s">
        <v>160</v>
      </c>
      <c r="F108" s="52" t="s">
        <v>495</v>
      </c>
      <c r="G108" s="55">
        <v>46202.0</v>
      </c>
      <c r="H108" s="56">
        <v>0.0</v>
      </c>
      <c r="I108" s="54" t="s">
        <v>496</v>
      </c>
      <c r="J108" s="84">
        <v>46225.0</v>
      </c>
      <c r="K108" s="53" t="s">
        <v>24</v>
      </c>
      <c r="L108" s="54">
        <v>64879.0</v>
      </c>
      <c r="M108" s="58"/>
      <c r="N108" s="58"/>
      <c r="O108" s="58"/>
      <c r="P108" s="58"/>
      <c r="Q108" s="58"/>
      <c r="R108" s="58"/>
      <c r="S108" s="58"/>
      <c r="T108" s="58"/>
      <c r="U108" s="58"/>
      <c r="V108" s="58"/>
      <c r="W108" s="58"/>
      <c r="X108" s="58"/>
      <c r="Y108" s="58"/>
      <c r="Z108" s="58"/>
    </row>
    <row r="109">
      <c r="A109" s="45" t="s">
        <v>497</v>
      </c>
      <c r="B109" s="46" t="s">
        <v>498</v>
      </c>
      <c r="C109" s="47">
        <v>2022.0</v>
      </c>
      <c r="D109" s="46" t="s">
        <v>52</v>
      </c>
      <c r="E109" s="46" t="s">
        <v>95</v>
      </c>
      <c r="F109" s="45" t="s">
        <v>499</v>
      </c>
      <c r="G109" s="48">
        <v>46050.0</v>
      </c>
      <c r="H109" s="49">
        <v>2.0</v>
      </c>
      <c r="I109" s="50" t="s">
        <v>500</v>
      </c>
      <c r="J109" s="65">
        <v>46052.0</v>
      </c>
      <c r="K109" s="46" t="s">
        <v>56</v>
      </c>
      <c r="L109" s="50"/>
      <c r="M109" s="50"/>
      <c r="N109" s="50"/>
      <c r="O109" s="50"/>
      <c r="P109" s="50"/>
      <c r="Q109" s="50"/>
      <c r="R109" s="50"/>
      <c r="S109" s="50"/>
      <c r="T109" s="50"/>
      <c r="U109" s="50"/>
      <c r="V109" s="50"/>
      <c r="W109" s="50"/>
      <c r="X109" s="50"/>
      <c r="Y109" s="50"/>
      <c r="Z109" s="50"/>
    </row>
    <row r="110">
      <c r="A110" s="52" t="s">
        <v>501</v>
      </c>
      <c r="B110" s="53" t="s">
        <v>502</v>
      </c>
      <c r="C110" s="54">
        <v>2023.0</v>
      </c>
      <c r="D110" s="53" t="s">
        <v>69</v>
      </c>
      <c r="E110" s="53" t="s">
        <v>70</v>
      </c>
      <c r="F110" s="52" t="s">
        <v>503</v>
      </c>
      <c r="G110" s="55">
        <v>46163.0</v>
      </c>
      <c r="H110" s="56">
        <v>0.0</v>
      </c>
      <c r="I110" s="54" t="s">
        <v>504</v>
      </c>
      <c r="J110" s="63"/>
      <c r="K110" s="53" t="s">
        <v>248</v>
      </c>
      <c r="L110" s="54">
        <v>37429.0</v>
      </c>
      <c r="M110" s="58"/>
      <c r="N110" s="58"/>
      <c r="O110" s="58"/>
      <c r="P110" s="58"/>
      <c r="Q110" s="58"/>
      <c r="R110" s="58"/>
      <c r="S110" s="58"/>
      <c r="T110" s="58"/>
      <c r="U110" s="58"/>
      <c r="V110" s="58"/>
      <c r="W110" s="58"/>
      <c r="X110" s="58"/>
      <c r="Y110" s="58"/>
      <c r="Z110" s="58"/>
    </row>
    <row r="111">
      <c r="A111" s="45" t="s">
        <v>505</v>
      </c>
      <c r="B111" s="46" t="s">
        <v>506</v>
      </c>
      <c r="C111" s="50"/>
      <c r="D111" s="46" t="s">
        <v>302</v>
      </c>
      <c r="E111" s="46" t="s">
        <v>507</v>
      </c>
      <c r="F111" s="45" t="s">
        <v>508</v>
      </c>
      <c r="G111" s="48">
        <v>46051.0</v>
      </c>
      <c r="H111" s="49">
        <v>105.0</v>
      </c>
      <c r="I111" s="50" t="s">
        <v>17</v>
      </c>
      <c r="J111" s="51"/>
      <c r="K111" s="46" t="s">
        <v>17</v>
      </c>
      <c r="L111" s="50"/>
      <c r="M111" s="50"/>
      <c r="N111" s="50"/>
      <c r="O111" s="50"/>
      <c r="P111" s="50"/>
      <c r="Q111" s="50"/>
      <c r="R111" s="50"/>
      <c r="S111" s="50"/>
      <c r="T111" s="50"/>
      <c r="U111" s="50"/>
      <c r="V111" s="50"/>
      <c r="W111" s="50"/>
      <c r="X111" s="50"/>
      <c r="Y111" s="50"/>
      <c r="Z111" s="50"/>
    </row>
    <row r="112">
      <c r="A112" s="59" t="s">
        <v>509</v>
      </c>
      <c r="B112" s="60" t="s">
        <v>510</v>
      </c>
      <c r="C112" s="58"/>
      <c r="D112" s="60" t="s">
        <v>302</v>
      </c>
      <c r="E112" s="60" t="s">
        <v>507</v>
      </c>
      <c r="F112" s="59" t="s">
        <v>511</v>
      </c>
      <c r="G112" s="62">
        <v>46051.0</v>
      </c>
      <c r="H112" s="56">
        <v>105.0</v>
      </c>
      <c r="I112" s="58" t="s">
        <v>17</v>
      </c>
      <c r="J112" s="64"/>
      <c r="K112" s="60" t="s">
        <v>17</v>
      </c>
      <c r="L112" s="58"/>
      <c r="M112" s="58"/>
      <c r="N112" s="58"/>
      <c r="O112" s="58"/>
      <c r="P112" s="58"/>
      <c r="Q112" s="58"/>
      <c r="R112" s="58"/>
      <c r="S112" s="58"/>
      <c r="T112" s="58"/>
      <c r="U112" s="58"/>
      <c r="V112" s="58"/>
      <c r="W112" s="58"/>
      <c r="X112" s="58"/>
      <c r="Y112" s="58"/>
      <c r="Z112" s="58"/>
    </row>
    <row r="113">
      <c r="A113" s="45" t="s">
        <v>512</v>
      </c>
      <c r="B113" s="46" t="s">
        <v>513</v>
      </c>
      <c r="C113" s="50"/>
      <c r="D113" s="46" t="s">
        <v>514</v>
      </c>
      <c r="E113" s="46" t="s">
        <v>35</v>
      </c>
      <c r="F113" s="45" t="s">
        <v>515</v>
      </c>
      <c r="G113" s="48">
        <v>46051.0</v>
      </c>
      <c r="H113" s="49">
        <v>105.0</v>
      </c>
      <c r="I113" s="50" t="s">
        <v>37</v>
      </c>
      <c r="J113" s="51"/>
      <c r="K113" s="46" t="s">
        <v>37</v>
      </c>
      <c r="L113" s="50"/>
      <c r="M113" s="50"/>
      <c r="N113" s="50"/>
      <c r="O113" s="50"/>
      <c r="P113" s="50"/>
      <c r="Q113" s="50"/>
      <c r="R113" s="50"/>
      <c r="S113" s="50"/>
      <c r="T113" s="50"/>
      <c r="U113" s="50"/>
      <c r="V113" s="50"/>
      <c r="W113" s="50"/>
      <c r="X113" s="50"/>
      <c r="Y113" s="50"/>
      <c r="Z113" s="50"/>
    </row>
    <row r="114">
      <c r="A114" s="59" t="s">
        <v>516</v>
      </c>
      <c r="B114" s="60" t="s">
        <v>517</v>
      </c>
      <c r="C114" s="58"/>
      <c r="D114" s="60" t="s">
        <v>52</v>
      </c>
      <c r="E114" s="60" t="s">
        <v>518</v>
      </c>
      <c r="F114" s="59" t="s">
        <v>519</v>
      </c>
      <c r="G114" s="62">
        <v>46051.0</v>
      </c>
      <c r="H114" s="56">
        <v>105.0</v>
      </c>
      <c r="I114" s="58" t="s">
        <v>37</v>
      </c>
      <c r="J114" s="64"/>
      <c r="K114" s="60" t="s">
        <v>37</v>
      </c>
      <c r="L114" s="58"/>
      <c r="M114" s="58"/>
      <c r="N114" s="58"/>
      <c r="O114" s="58"/>
      <c r="P114" s="58"/>
      <c r="Q114" s="58"/>
      <c r="R114" s="58"/>
      <c r="S114" s="58"/>
      <c r="T114" s="58"/>
      <c r="U114" s="58"/>
      <c r="V114" s="58"/>
      <c r="W114" s="58"/>
      <c r="X114" s="58"/>
      <c r="Y114" s="58"/>
      <c r="Z114" s="58"/>
    </row>
    <row r="115">
      <c r="A115" s="45" t="s">
        <v>520</v>
      </c>
      <c r="B115" s="46" t="s">
        <v>521</v>
      </c>
      <c r="C115" s="50"/>
      <c r="D115" s="46" t="s">
        <v>52</v>
      </c>
      <c r="E115" s="46" t="s">
        <v>265</v>
      </c>
      <c r="F115" s="45" t="s">
        <v>522</v>
      </c>
      <c r="G115" s="48">
        <v>46051.0</v>
      </c>
      <c r="H115" s="49">
        <v>6.0</v>
      </c>
      <c r="I115" s="50" t="s">
        <v>84</v>
      </c>
      <c r="J115" s="65">
        <v>46057.0</v>
      </c>
      <c r="K115" s="46" t="s">
        <v>84</v>
      </c>
      <c r="L115" s="50"/>
      <c r="M115" s="50"/>
      <c r="N115" s="50"/>
      <c r="O115" s="50"/>
      <c r="P115" s="50"/>
      <c r="Q115" s="50"/>
      <c r="R115" s="50"/>
      <c r="S115" s="50"/>
      <c r="T115" s="50"/>
      <c r="U115" s="50"/>
      <c r="V115" s="50"/>
      <c r="W115" s="50"/>
      <c r="X115" s="50"/>
      <c r="Y115" s="50"/>
      <c r="Z115" s="50"/>
    </row>
    <row r="116">
      <c r="A116" s="59" t="s">
        <v>523</v>
      </c>
      <c r="B116" s="60" t="s">
        <v>524</v>
      </c>
      <c r="C116" s="58"/>
      <c r="D116" s="60" t="s">
        <v>165</v>
      </c>
      <c r="E116" s="60" t="s">
        <v>507</v>
      </c>
      <c r="F116" s="59" t="s">
        <v>525</v>
      </c>
      <c r="G116" s="62">
        <v>46051.0</v>
      </c>
      <c r="H116" s="56">
        <v>105.0</v>
      </c>
      <c r="I116" s="58" t="s">
        <v>17</v>
      </c>
      <c r="J116" s="64"/>
      <c r="K116" s="60" t="s">
        <v>17</v>
      </c>
      <c r="L116" s="58"/>
      <c r="M116" s="58"/>
      <c r="N116" s="58"/>
      <c r="O116" s="58"/>
      <c r="P116" s="58"/>
      <c r="Q116" s="58"/>
      <c r="R116" s="58"/>
      <c r="S116" s="58"/>
      <c r="T116" s="58"/>
      <c r="U116" s="58"/>
      <c r="V116" s="58"/>
      <c r="W116" s="58"/>
      <c r="X116" s="58"/>
      <c r="Y116" s="58"/>
      <c r="Z116" s="58"/>
    </row>
    <row r="117">
      <c r="A117" s="45" t="s">
        <v>526</v>
      </c>
      <c r="B117" s="46" t="s">
        <v>527</v>
      </c>
      <c r="C117" s="50"/>
      <c r="D117" s="46" t="s">
        <v>165</v>
      </c>
      <c r="E117" s="46" t="s">
        <v>507</v>
      </c>
      <c r="F117" s="45" t="s">
        <v>528</v>
      </c>
      <c r="G117" s="48">
        <v>46051.0</v>
      </c>
      <c r="H117" s="49">
        <v>105.0</v>
      </c>
      <c r="I117" s="50" t="s">
        <v>17</v>
      </c>
      <c r="J117" s="51"/>
      <c r="K117" s="46" t="s">
        <v>17</v>
      </c>
      <c r="L117" s="50"/>
      <c r="M117" s="50"/>
      <c r="N117" s="50"/>
      <c r="O117" s="50"/>
      <c r="P117" s="50"/>
      <c r="Q117" s="50"/>
      <c r="R117" s="50"/>
      <c r="S117" s="50"/>
      <c r="T117" s="50"/>
      <c r="U117" s="50"/>
      <c r="V117" s="50"/>
      <c r="W117" s="50"/>
      <c r="X117" s="50"/>
      <c r="Y117" s="50"/>
      <c r="Z117" s="50"/>
    </row>
    <row r="118">
      <c r="A118" s="59" t="s">
        <v>529</v>
      </c>
      <c r="B118" s="60" t="s">
        <v>530</v>
      </c>
      <c r="C118" s="61">
        <v>2022.0</v>
      </c>
      <c r="D118" s="60" t="s">
        <v>52</v>
      </c>
      <c r="E118" s="60" t="s">
        <v>531</v>
      </c>
      <c r="F118" s="59" t="s">
        <v>532</v>
      </c>
      <c r="G118" s="62">
        <v>46051.0</v>
      </c>
      <c r="H118" s="56">
        <v>105.0</v>
      </c>
      <c r="I118" s="58" t="s">
        <v>533</v>
      </c>
      <c r="J118" s="64"/>
      <c r="K118" s="60" t="s">
        <v>56</v>
      </c>
      <c r="L118" s="58"/>
      <c r="M118" s="58"/>
      <c r="N118" s="58"/>
      <c r="O118" s="58"/>
      <c r="P118" s="58"/>
      <c r="Q118" s="58"/>
      <c r="R118" s="58"/>
      <c r="S118" s="58"/>
      <c r="T118" s="58"/>
      <c r="U118" s="58"/>
      <c r="V118" s="58"/>
      <c r="W118" s="58"/>
      <c r="X118" s="58"/>
      <c r="Y118" s="58"/>
      <c r="Z118" s="58"/>
    </row>
    <row r="119">
      <c r="A119" s="76" t="s">
        <v>534</v>
      </c>
      <c r="B119" s="77" t="s">
        <v>535</v>
      </c>
      <c r="C119" s="78">
        <v>2020.0</v>
      </c>
      <c r="D119" s="77" t="s">
        <v>536</v>
      </c>
      <c r="E119" s="77" t="s">
        <v>350</v>
      </c>
      <c r="F119" s="76" t="s">
        <v>537</v>
      </c>
      <c r="G119" s="79">
        <v>46184.0</v>
      </c>
      <c r="H119" s="49">
        <v>105.0</v>
      </c>
      <c r="I119" s="80" t="s">
        <v>538</v>
      </c>
      <c r="J119" s="82">
        <v>46199.0</v>
      </c>
      <c r="K119" s="77" t="s">
        <v>24</v>
      </c>
      <c r="L119" s="80">
        <v>75717.0</v>
      </c>
      <c r="M119" s="50"/>
      <c r="N119" s="50"/>
      <c r="O119" s="50"/>
      <c r="P119" s="50"/>
      <c r="Q119" s="50"/>
      <c r="R119" s="50"/>
      <c r="S119" s="50"/>
      <c r="T119" s="50"/>
      <c r="U119" s="50"/>
      <c r="V119" s="50"/>
      <c r="W119" s="50"/>
      <c r="X119" s="50"/>
      <c r="Y119" s="50"/>
      <c r="Z119" s="50"/>
    </row>
    <row r="120">
      <c r="A120" s="59" t="s">
        <v>539</v>
      </c>
      <c r="B120" s="60" t="s">
        <v>80</v>
      </c>
      <c r="C120" s="61">
        <v>2020.0</v>
      </c>
      <c r="D120" s="60" t="s">
        <v>105</v>
      </c>
      <c r="E120" s="60" t="s">
        <v>82</v>
      </c>
      <c r="F120" s="59" t="s">
        <v>83</v>
      </c>
      <c r="G120" s="62">
        <v>46051.0</v>
      </c>
      <c r="H120" s="56">
        <v>105.0</v>
      </c>
      <c r="I120" s="58" t="s">
        <v>56</v>
      </c>
      <c r="J120" s="64"/>
      <c r="K120" s="60" t="s">
        <v>56</v>
      </c>
      <c r="L120" s="58"/>
      <c r="M120" s="58"/>
      <c r="N120" s="58"/>
      <c r="O120" s="58"/>
      <c r="P120" s="58"/>
      <c r="Q120" s="58"/>
      <c r="R120" s="58"/>
      <c r="S120" s="58"/>
      <c r="T120" s="58"/>
      <c r="U120" s="58"/>
      <c r="V120" s="58"/>
      <c r="W120" s="58"/>
      <c r="X120" s="58"/>
      <c r="Y120" s="58"/>
      <c r="Z120" s="58"/>
    </row>
    <row r="121">
      <c r="A121" s="45" t="s">
        <v>540</v>
      </c>
      <c r="B121" s="46" t="s">
        <v>124</v>
      </c>
      <c r="C121" s="47">
        <v>2022.0</v>
      </c>
      <c r="D121" s="46" t="s">
        <v>52</v>
      </c>
      <c r="E121" s="46" t="s">
        <v>418</v>
      </c>
      <c r="F121" s="45" t="s">
        <v>126</v>
      </c>
      <c r="G121" s="48">
        <v>46051.0</v>
      </c>
      <c r="H121" s="49">
        <v>105.0</v>
      </c>
      <c r="I121" s="50" t="s">
        <v>541</v>
      </c>
      <c r="J121" s="51"/>
      <c r="K121" s="46" t="s">
        <v>56</v>
      </c>
      <c r="L121" s="50"/>
      <c r="M121" s="50"/>
      <c r="N121" s="50"/>
      <c r="O121" s="50"/>
      <c r="P121" s="50"/>
      <c r="Q121" s="50"/>
      <c r="R121" s="50"/>
      <c r="S121" s="50"/>
      <c r="T121" s="50"/>
      <c r="U121" s="50"/>
      <c r="V121" s="50"/>
      <c r="W121" s="50"/>
      <c r="X121" s="50"/>
      <c r="Y121" s="50"/>
      <c r="Z121" s="50"/>
    </row>
    <row r="122">
      <c r="A122" s="59" t="s">
        <v>542</v>
      </c>
      <c r="B122" s="60" t="s">
        <v>543</v>
      </c>
      <c r="C122" s="58"/>
      <c r="D122" s="60" t="s">
        <v>447</v>
      </c>
      <c r="E122" s="60" t="s">
        <v>82</v>
      </c>
      <c r="F122" s="59" t="s">
        <v>544</v>
      </c>
      <c r="G122" s="62">
        <v>46051.0</v>
      </c>
      <c r="H122" s="56">
        <v>1.0</v>
      </c>
      <c r="I122" s="58" t="s">
        <v>84</v>
      </c>
      <c r="J122" s="63">
        <v>46052.0</v>
      </c>
      <c r="K122" s="60" t="s">
        <v>84</v>
      </c>
      <c r="L122" s="58"/>
      <c r="M122" s="58"/>
      <c r="N122" s="58"/>
      <c r="O122" s="58"/>
      <c r="P122" s="58"/>
      <c r="Q122" s="58"/>
      <c r="R122" s="58"/>
      <c r="S122" s="58"/>
      <c r="T122" s="58"/>
      <c r="U122" s="58"/>
      <c r="V122" s="58"/>
      <c r="W122" s="58"/>
      <c r="X122" s="58"/>
      <c r="Y122" s="58"/>
      <c r="Z122" s="58"/>
    </row>
    <row r="123">
      <c r="A123" s="45" t="s">
        <v>545</v>
      </c>
      <c r="B123" s="46" t="s">
        <v>546</v>
      </c>
      <c r="C123" s="50"/>
      <c r="D123" s="46" t="s">
        <v>467</v>
      </c>
      <c r="E123" s="46" t="s">
        <v>547</v>
      </c>
      <c r="F123" s="45" t="s">
        <v>548</v>
      </c>
      <c r="G123" s="48">
        <v>46051.0</v>
      </c>
      <c r="H123" s="49">
        <v>4.0</v>
      </c>
      <c r="I123" s="50" t="s">
        <v>37</v>
      </c>
      <c r="J123" s="65">
        <v>46055.0</v>
      </c>
      <c r="K123" s="46" t="s">
        <v>37</v>
      </c>
      <c r="L123" s="50"/>
      <c r="M123" s="50"/>
      <c r="N123" s="50"/>
      <c r="O123" s="50"/>
      <c r="P123" s="50"/>
      <c r="Q123" s="50"/>
      <c r="R123" s="50"/>
      <c r="S123" s="50"/>
      <c r="T123" s="50"/>
      <c r="U123" s="50"/>
      <c r="V123" s="50"/>
      <c r="W123" s="50"/>
      <c r="X123" s="50"/>
      <c r="Y123" s="50"/>
      <c r="Z123" s="50"/>
    </row>
    <row r="124">
      <c r="A124" s="52" t="s">
        <v>549</v>
      </c>
      <c r="B124" s="53" t="s">
        <v>550</v>
      </c>
      <c r="C124" s="66">
        <v>2019.0</v>
      </c>
      <c r="D124" s="53" t="s">
        <v>182</v>
      </c>
      <c r="E124" s="53" t="s">
        <v>70</v>
      </c>
      <c r="F124" s="52"/>
      <c r="G124" s="55">
        <v>46076.0</v>
      </c>
      <c r="H124" s="56">
        <v>105.0</v>
      </c>
      <c r="I124" s="54" t="s">
        <v>551</v>
      </c>
      <c r="J124" s="57">
        <v>46223.0</v>
      </c>
      <c r="K124" s="53" t="s">
        <v>24</v>
      </c>
      <c r="L124" s="54">
        <v>11362.0</v>
      </c>
      <c r="M124" s="58"/>
      <c r="N124" s="58"/>
      <c r="O124" s="58"/>
      <c r="P124" s="58"/>
      <c r="Q124" s="58"/>
      <c r="R124" s="58"/>
      <c r="S124" s="58"/>
      <c r="T124" s="58"/>
      <c r="U124" s="58"/>
      <c r="V124" s="58"/>
      <c r="W124" s="58"/>
      <c r="X124" s="58"/>
      <c r="Y124" s="58"/>
      <c r="Z124" s="58"/>
    </row>
    <row r="125">
      <c r="A125" s="45" t="s">
        <v>552</v>
      </c>
      <c r="B125" s="46" t="s">
        <v>553</v>
      </c>
      <c r="C125" s="50"/>
      <c r="D125" s="46" t="s">
        <v>282</v>
      </c>
      <c r="E125" s="46" t="s">
        <v>554</v>
      </c>
      <c r="F125" s="45" t="s">
        <v>555</v>
      </c>
      <c r="G125" s="48">
        <v>46052.0</v>
      </c>
      <c r="H125" s="49">
        <v>3.0</v>
      </c>
      <c r="I125" s="50" t="s">
        <v>17</v>
      </c>
      <c r="J125" s="65">
        <v>46055.0</v>
      </c>
      <c r="K125" s="46" t="s">
        <v>17</v>
      </c>
      <c r="L125" s="50"/>
      <c r="M125" s="50"/>
      <c r="N125" s="50"/>
      <c r="O125" s="50"/>
      <c r="P125" s="50"/>
      <c r="Q125" s="50"/>
      <c r="R125" s="50"/>
      <c r="S125" s="50"/>
      <c r="T125" s="50"/>
      <c r="U125" s="50"/>
      <c r="V125" s="50"/>
      <c r="W125" s="50"/>
      <c r="X125" s="50"/>
      <c r="Y125" s="50"/>
      <c r="Z125" s="50"/>
    </row>
    <row r="126">
      <c r="A126" s="59" t="s">
        <v>556</v>
      </c>
      <c r="B126" s="60" t="s">
        <v>557</v>
      </c>
      <c r="C126" s="58"/>
      <c r="D126" s="60" t="s">
        <v>282</v>
      </c>
      <c r="E126" s="60" t="s">
        <v>554</v>
      </c>
      <c r="F126" s="59" t="s">
        <v>558</v>
      </c>
      <c r="G126" s="62">
        <v>46052.0</v>
      </c>
      <c r="H126" s="56">
        <v>3.0</v>
      </c>
      <c r="I126" s="58" t="s">
        <v>17</v>
      </c>
      <c r="J126" s="63">
        <v>46055.0</v>
      </c>
      <c r="K126" s="60" t="s">
        <v>17</v>
      </c>
      <c r="L126" s="58"/>
      <c r="M126" s="58"/>
      <c r="N126" s="58"/>
      <c r="O126" s="58"/>
      <c r="P126" s="58"/>
      <c r="Q126" s="58"/>
      <c r="R126" s="58"/>
      <c r="S126" s="58"/>
      <c r="T126" s="58"/>
      <c r="U126" s="58"/>
      <c r="V126" s="58"/>
      <c r="W126" s="58"/>
      <c r="X126" s="58"/>
      <c r="Y126" s="58"/>
      <c r="Z126" s="58"/>
    </row>
    <row r="127">
      <c r="A127" s="45" t="s">
        <v>559</v>
      </c>
      <c r="B127" s="46" t="s">
        <v>560</v>
      </c>
      <c r="C127" s="50"/>
      <c r="D127" s="46" t="s">
        <v>427</v>
      </c>
      <c r="E127" s="46" t="s">
        <v>561</v>
      </c>
      <c r="F127" s="45" t="s">
        <v>562</v>
      </c>
      <c r="G127" s="48">
        <v>46052.0</v>
      </c>
      <c r="H127" s="49">
        <v>104.0</v>
      </c>
      <c r="I127" s="50" t="s">
        <v>56</v>
      </c>
      <c r="J127" s="51"/>
      <c r="K127" s="46" t="s">
        <v>56</v>
      </c>
      <c r="L127" s="50"/>
      <c r="M127" s="50"/>
      <c r="N127" s="50"/>
      <c r="O127" s="50"/>
      <c r="P127" s="50"/>
      <c r="Q127" s="50"/>
      <c r="R127" s="50"/>
      <c r="S127" s="50"/>
      <c r="T127" s="50"/>
      <c r="U127" s="50"/>
      <c r="V127" s="50"/>
      <c r="W127" s="50"/>
      <c r="X127" s="50"/>
      <c r="Y127" s="50"/>
      <c r="Z127" s="50"/>
    </row>
    <row r="128">
      <c r="A128" s="59" t="s">
        <v>563</v>
      </c>
      <c r="B128" s="60" t="s">
        <v>111</v>
      </c>
      <c r="C128" s="61">
        <v>2022.0</v>
      </c>
      <c r="D128" s="60" t="s">
        <v>52</v>
      </c>
      <c r="E128" s="60" t="s">
        <v>28</v>
      </c>
      <c r="F128" s="59" t="s">
        <v>112</v>
      </c>
      <c r="G128" s="62">
        <v>46052.0</v>
      </c>
      <c r="H128" s="56">
        <v>104.0</v>
      </c>
      <c r="I128" s="58" t="s">
        <v>564</v>
      </c>
      <c r="J128" s="64"/>
      <c r="K128" s="60" t="s">
        <v>56</v>
      </c>
      <c r="L128" s="58"/>
      <c r="M128" s="58"/>
      <c r="N128" s="58"/>
      <c r="O128" s="58"/>
      <c r="P128" s="58"/>
      <c r="Q128" s="58"/>
      <c r="R128" s="58"/>
      <c r="S128" s="58"/>
      <c r="T128" s="58"/>
      <c r="U128" s="58"/>
      <c r="V128" s="58"/>
      <c r="W128" s="58"/>
      <c r="X128" s="58"/>
      <c r="Y128" s="58"/>
      <c r="Z128" s="58"/>
    </row>
    <row r="129">
      <c r="A129" s="45" t="s">
        <v>565</v>
      </c>
      <c r="B129" s="46" t="s">
        <v>566</v>
      </c>
      <c r="C129" s="50"/>
      <c r="D129" s="46" t="s">
        <v>197</v>
      </c>
      <c r="E129" s="46" t="s">
        <v>567</v>
      </c>
      <c r="F129" s="45" t="s">
        <v>568</v>
      </c>
      <c r="G129" s="48">
        <v>46055.0</v>
      </c>
      <c r="H129" s="49">
        <v>0.0</v>
      </c>
      <c r="I129" s="50" t="s">
        <v>17</v>
      </c>
      <c r="J129" s="65">
        <v>46055.0</v>
      </c>
      <c r="K129" s="46" t="s">
        <v>17</v>
      </c>
      <c r="L129" s="50"/>
      <c r="M129" s="50"/>
      <c r="N129" s="50"/>
      <c r="O129" s="50"/>
      <c r="P129" s="50"/>
      <c r="Q129" s="50"/>
      <c r="R129" s="50"/>
      <c r="S129" s="50"/>
      <c r="T129" s="50"/>
      <c r="U129" s="50"/>
      <c r="V129" s="50"/>
      <c r="W129" s="50"/>
      <c r="X129" s="50"/>
      <c r="Y129" s="50"/>
      <c r="Z129" s="50"/>
    </row>
    <row r="130">
      <c r="A130" s="59" t="s">
        <v>569</v>
      </c>
      <c r="B130" s="60" t="s">
        <v>570</v>
      </c>
      <c r="C130" s="58"/>
      <c r="D130" s="60" t="s">
        <v>514</v>
      </c>
      <c r="E130" s="60" t="s">
        <v>571</v>
      </c>
      <c r="F130" s="59" t="s">
        <v>572</v>
      </c>
      <c r="G130" s="62">
        <v>46055.0</v>
      </c>
      <c r="H130" s="56">
        <v>0.0</v>
      </c>
      <c r="I130" s="58" t="s">
        <v>37</v>
      </c>
      <c r="J130" s="63">
        <v>46055.0</v>
      </c>
      <c r="K130" s="60" t="s">
        <v>37</v>
      </c>
      <c r="L130" s="58"/>
      <c r="M130" s="58"/>
      <c r="N130" s="58"/>
      <c r="O130" s="58"/>
      <c r="P130" s="58"/>
      <c r="Q130" s="58"/>
      <c r="R130" s="58"/>
      <c r="S130" s="58"/>
      <c r="T130" s="58"/>
      <c r="U130" s="58"/>
      <c r="V130" s="58"/>
      <c r="W130" s="58"/>
      <c r="X130" s="58"/>
      <c r="Y130" s="58"/>
      <c r="Z130" s="58"/>
    </row>
    <row r="131">
      <c r="A131" s="76" t="s">
        <v>573</v>
      </c>
      <c r="B131" s="77" t="s">
        <v>574</v>
      </c>
      <c r="C131" s="80">
        <v>2016.0</v>
      </c>
      <c r="D131" s="77" t="s">
        <v>575</v>
      </c>
      <c r="E131" s="77" t="s">
        <v>329</v>
      </c>
      <c r="F131" s="76" t="s">
        <v>576</v>
      </c>
      <c r="G131" s="79">
        <v>46223.0</v>
      </c>
      <c r="H131" s="49">
        <v>9.0</v>
      </c>
      <c r="I131" s="80" t="s">
        <v>577</v>
      </c>
      <c r="J131" s="65"/>
      <c r="K131" s="77" t="s">
        <v>17</v>
      </c>
      <c r="L131" s="80">
        <v>25713.0</v>
      </c>
      <c r="M131" s="50"/>
      <c r="N131" s="50"/>
      <c r="O131" s="50"/>
      <c r="P131" s="50"/>
      <c r="Q131" s="50"/>
      <c r="R131" s="50"/>
      <c r="S131" s="50"/>
      <c r="T131" s="50"/>
      <c r="U131" s="50"/>
      <c r="V131" s="50"/>
      <c r="W131" s="50"/>
      <c r="X131" s="50"/>
      <c r="Y131" s="50"/>
      <c r="Z131" s="50"/>
    </row>
    <row r="132">
      <c r="A132" s="59" t="s">
        <v>578</v>
      </c>
      <c r="B132" s="60" t="s">
        <v>124</v>
      </c>
      <c r="C132" s="61">
        <v>2022.0</v>
      </c>
      <c r="D132" s="60" t="s">
        <v>52</v>
      </c>
      <c r="E132" s="60" t="s">
        <v>418</v>
      </c>
      <c r="F132" s="59" t="s">
        <v>126</v>
      </c>
      <c r="G132" s="62">
        <v>46055.0</v>
      </c>
      <c r="H132" s="56">
        <v>0.0</v>
      </c>
      <c r="I132" s="58" t="s">
        <v>579</v>
      </c>
      <c r="J132" s="63">
        <v>46055.0</v>
      </c>
      <c r="K132" s="60" t="s">
        <v>56</v>
      </c>
      <c r="L132" s="58"/>
      <c r="M132" s="58"/>
      <c r="N132" s="58"/>
      <c r="O132" s="58"/>
      <c r="P132" s="58"/>
      <c r="Q132" s="58"/>
      <c r="R132" s="58"/>
      <c r="S132" s="58"/>
      <c r="T132" s="58"/>
      <c r="U132" s="58"/>
      <c r="V132" s="58"/>
      <c r="W132" s="58"/>
      <c r="X132" s="58"/>
      <c r="Y132" s="58"/>
      <c r="Z132" s="58"/>
    </row>
    <row r="133">
      <c r="A133" s="45" t="s">
        <v>580</v>
      </c>
      <c r="B133" s="46" t="s">
        <v>581</v>
      </c>
      <c r="C133" s="47">
        <v>2020.0</v>
      </c>
      <c r="D133" s="46" t="s">
        <v>75</v>
      </c>
      <c r="E133" s="46" t="s">
        <v>582</v>
      </c>
      <c r="F133" s="45" t="s">
        <v>583</v>
      </c>
      <c r="G133" s="48">
        <v>46055.0</v>
      </c>
      <c r="H133" s="49">
        <v>0.0</v>
      </c>
      <c r="I133" s="50" t="s">
        <v>584</v>
      </c>
      <c r="J133" s="65">
        <v>46055.0</v>
      </c>
      <c r="K133" s="46" t="s">
        <v>56</v>
      </c>
      <c r="L133" s="50"/>
      <c r="M133" s="50"/>
      <c r="N133" s="50"/>
      <c r="O133" s="50"/>
      <c r="P133" s="50"/>
      <c r="Q133" s="50"/>
      <c r="R133" s="50"/>
      <c r="S133" s="50"/>
      <c r="T133" s="50"/>
      <c r="U133" s="50"/>
      <c r="V133" s="50"/>
      <c r="W133" s="50"/>
      <c r="X133" s="50"/>
      <c r="Y133" s="50"/>
      <c r="Z133" s="50"/>
    </row>
    <row r="134">
      <c r="A134" s="52" t="s">
        <v>585</v>
      </c>
      <c r="B134" s="53" t="s">
        <v>586</v>
      </c>
      <c r="C134" s="66">
        <v>2014.0</v>
      </c>
      <c r="D134" s="53" t="s">
        <v>251</v>
      </c>
      <c r="E134" s="53" t="s">
        <v>319</v>
      </c>
      <c r="F134" s="52" t="s">
        <v>587</v>
      </c>
      <c r="G134" s="55">
        <v>46168.0</v>
      </c>
      <c r="H134" s="56">
        <v>1.0</v>
      </c>
      <c r="I134" s="54" t="s">
        <v>579</v>
      </c>
      <c r="J134" s="84">
        <v>46168.0</v>
      </c>
      <c r="K134" s="53" t="s">
        <v>24</v>
      </c>
      <c r="L134" s="54">
        <v>234568.0</v>
      </c>
      <c r="M134" s="58"/>
      <c r="N134" s="58"/>
      <c r="O134" s="58"/>
      <c r="P134" s="58"/>
      <c r="Q134" s="58"/>
      <c r="R134" s="58"/>
      <c r="S134" s="58"/>
      <c r="T134" s="58"/>
      <c r="U134" s="58"/>
      <c r="V134" s="58"/>
      <c r="W134" s="58"/>
      <c r="X134" s="58"/>
      <c r="Y134" s="58"/>
      <c r="Z134" s="58"/>
    </row>
    <row r="135">
      <c r="A135" s="45" t="s">
        <v>588</v>
      </c>
      <c r="B135" s="46" t="s">
        <v>589</v>
      </c>
      <c r="C135" s="47">
        <v>2022.0</v>
      </c>
      <c r="D135" s="46" t="s">
        <v>590</v>
      </c>
      <c r="E135" s="46" t="s">
        <v>82</v>
      </c>
      <c r="F135" s="45" t="s">
        <v>591</v>
      </c>
      <c r="G135" s="48">
        <v>46055.0</v>
      </c>
      <c r="H135" s="49">
        <v>0.0</v>
      </c>
      <c r="I135" s="50" t="s">
        <v>592</v>
      </c>
      <c r="J135" s="65">
        <v>46055.0</v>
      </c>
      <c r="K135" s="46" t="s">
        <v>56</v>
      </c>
      <c r="L135" s="50"/>
      <c r="M135" s="50"/>
      <c r="N135" s="50"/>
      <c r="O135" s="50"/>
      <c r="P135" s="50"/>
      <c r="Q135" s="50"/>
      <c r="R135" s="50"/>
      <c r="S135" s="50"/>
      <c r="T135" s="50"/>
      <c r="U135" s="50"/>
      <c r="V135" s="50"/>
      <c r="W135" s="50"/>
      <c r="X135" s="50"/>
      <c r="Y135" s="50"/>
      <c r="Z135" s="50"/>
    </row>
    <row r="136">
      <c r="A136" s="59" t="s">
        <v>593</v>
      </c>
      <c r="B136" s="60" t="s">
        <v>594</v>
      </c>
      <c r="C136" s="58"/>
      <c r="D136" s="60" t="s">
        <v>447</v>
      </c>
      <c r="E136" s="60" t="s">
        <v>137</v>
      </c>
      <c r="F136" s="59" t="s">
        <v>595</v>
      </c>
      <c r="G136" s="62">
        <v>46055.0</v>
      </c>
      <c r="H136" s="56">
        <v>1.0</v>
      </c>
      <c r="I136" s="58" t="s">
        <v>56</v>
      </c>
      <c r="J136" s="63">
        <v>46056.0</v>
      </c>
      <c r="K136" s="60" t="s">
        <v>56</v>
      </c>
      <c r="L136" s="58"/>
      <c r="M136" s="58"/>
      <c r="N136" s="58"/>
      <c r="O136" s="58"/>
      <c r="P136" s="58"/>
      <c r="Q136" s="58"/>
      <c r="R136" s="58"/>
      <c r="S136" s="58"/>
      <c r="T136" s="58"/>
      <c r="U136" s="58"/>
      <c r="V136" s="58"/>
      <c r="W136" s="58"/>
      <c r="X136" s="58"/>
      <c r="Y136" s="58"/>
      <c r="Z136" s="58"/>
    </row>
    <row r="137">
      <c r="A137" s="45" t="s">
        <v>596</v>
      </c>
      <c r="B137" s="46" t="s">
        <v>597</v>
      </c>
      <c r="C137" s="50"/>
      <c r="D137" s="46" t="s">
        <v>14</v>
      </c>
      <c r="E137" s="46" t="s">
        <v>598</v>
      </c>
      <c r="F137" s="45" t="s">
        <v>599</v>
      </c>
      <c r="G137" s="48">
        <v>46055.0</v>
      </c>
      <c r="H137" s="49">
        <v>0.0</v>
      </c>
      <c r="I137" s="50" t="s">
        <v>37</v>
      </c>
      <c r="J137" s="65">
        <v>46055.0</v>
      </c>
      <c r="K137" s="46" t="s">
        <v>37</v>
      </c>
      <c r="L137" s="50"/>
      <c r="M137" s="50"/>
      <c r="N137" s="50"/>
      <c r="O137" s="50"/>
      <c r="P137" s="50"/>
      <c r="Q137" s="50"/>
      <c r="R137" s="50"/>
      <c r="S137" s="50"/>
      <c r="T137" s="50"/>
      <c r="U137" s="50"/>
      <c r="V137" s="50"/>
      <c r="W137" s="50"/>
      <c r="X137" s="50"/>
      <c r="Y137" s="50"/>
      <c r="Z137" s="50"/>
    </row>
    <row r="138">
      <c r="A138" s="59" t="s">
        <v>600</v>
      </c>
      <c r="B138" s="60" t="s">
        <v>601</v>
      </c>
      <c r="C138" s="61">
        <v>2022.0</v>
      </c>
      <c r="D138" s="60" t="s">
        <v>52</v>
      </c>
      <c r="E138" s="60" t="s">
        <v>125</v>
      </c>
      <c r="F138" s="59" t="s">
        <v>602</v>
      </c>
      <c r="G138" s="62">
        <v>46055.0</v>
      </c>
      <c r="H138" s="56">
        <v>101.0</v>
      </c>
      <c r="I138" s="58" t="s">
        <v>603</v>
      </c>
      <c r="J138" s="64"/>
      <c r="K138" s="60" t="s">
        <v>56</v>
      </c>
      <c r="L138" s="58"/>
      <c r="M138" s="58"/>
      <c r="N138" s="58"/>
      <c r="O138" s="58"/>
      <c r="P138" s="58"/>
      <c r="Q138" s="58"/>
      <c r="R138" s="58"/>
      <c r="S138" s="58"/>
      <c r="T138" s="58"/>
      <c r="U138" s="58"/>
      <c r="V138" s="58"/>
      <c r="W138" s="58"/>
      <c r="X138" s="58"/>
      <c r="Y138" s="58"/>
      <c r="Z138" s="58"/>
    </row>
    <row r="139">
      <c r="A139" s="45" t="s">
        <v>604</v>
      </c>
      <c r="B139" s="46" t="s">
        <v>605</v>
      </c>
      <c r="C139" s="47">
        <v>2020.0</v>
      </c>
      <c r="D139" s="46" t="s">
        <v>14</v>
      </c>
      <c r="E139" s="46" t="s">
        <v>47</v>
      </c>
      <c r="F139" s="45" t="s">
        <v>606</v>
      </c>
      <c r="G139" s="48">
        <v>46055.0</v>
      </c>
      <c r="H139" s="49">
        <v>0.0</v>
      </c>
      <c r="I139" s="50" t="s">
        <v>607</v>
      </c>
      <c r="J139" s="65">
        <v>46055.0</v>
      </c>
      <c r="K139" s="46" t="s">
        <v>56</v>
      </c>
      <c r="L139" s="50"/>
      <c r="M139" s="50"/>
      <c r="N139" s="50"/>
      <c r="O139" s="50"/>
      <c r="P139" s="50"/>
      <c r="Q139" s="50"/>
      <c r="R139" s="50"/>
      <c r="S139" s="50"/>
      <c r="T139" s="50"/>
      <c r="U139" s="50"/>
      <c r="V139" s="50"/>
      <c r="W139" s="50"/>
      <c r="X139" s="50"/>
      <c r="Y139" s="50"/>
      <c r="Z139" s="50"/>
    </row>
    <row r="140">
      <c r="A140" s="59" t="s">
        <v>608</v>
      </c>
      <c r="B140" s="60" t="s">
        <v>609</v>
      </c>
      <c r="C140" s="61">
        <v>2022.0</v>
      </c>
      <c r="D140" s="60" t="s">
        <v>52</v>
      </c>
      <c r="E140" s="60" t="s">
        <v>610</v>
      </c>
      <c r="F140" s="59" t="s">
        <v>611</v>
      </c>
      <c r="G140" s="62">
        <v>46056.0</v>
      </c>
      <c r="H140" s="56">
        <v>1.0</v>
      </c>
      <c r="I140" s="58" t="s">
        <v>612</v>
      </c>
      <c r="J140" s="63">
        <v>46057.0</v>
      </c>
      <c r="K140" s="60" t="s">
        <v>56</v>
      </c>
      <c r="L140" s="58"/>
      <c r="M140" s="58"/>
      <c r="N140" s="58"/>
      <c r="O140" s="58"/>
      <c r="P140" s="58"/>
      <c r="Q140" s="58"/>
      <c r="R140" s="58"/>
      <c r="S140" s="58"/>
      <c r="T140" s="58"/>
      <c r="U140" s="58"/>
      <c r="V140" s="58"/>
      <c r="W140" s="58"/>
      <c r="X140" s="58"/>
      <c r="Y140" s="58"/>
      <c r="Z140" s="58"/>
    </row>
    <row r="141">
      <c r="A141" s="45" t="s">
        <v>613</v>
      </c>
      <c r="B141" s="46" t="s">
        <v>614</v>
      </c>
      <c r="C141" s="50"/>
      <c r="D141" s="46" t="s">
        <v>52</v>
      </c>
      <c r="E141" s="46" t="s">
        <v>615</v>
      </c>
      <c r="F141" s="45" t="s">
        <v>616</v>
      </c>
      <c r="G141" s="48">
        <v>46056.0</v>
      </c>
      <c r="H141" s="49">
        <v>0.0</v>
      </c>
      <c r="I141" s="50" t="s">
        <v>17</v>
      </c>
      <c r="J141" s="65">
        <v>46056.0</v>
      </c>
      <c r="K141" s="46" t="s">
        <v>17</v>
      </c>
      <c r="L141" s="50"/>
      <c r="M141" s="50"/>
      <c r="N141" s="50"/>
      <c r="O141" s="50"/>
      <c r="P141" s="50"/>
      <c r="Q141" s="50"/>
      <c r="R141" s="50"/>
      <c r="S141" s="50"/>
      <c r="T141" s="50"/>
      <c r="U141" s="50"/>
      <c r="V141" s="50"/>
      <c r="W141" s="50"/>
      <c r="X141" s="50"/>
      <c r="Y141" s="50"/>
      <c r="Z141" s="50"/>
    </row>
    <row r="142">
      <c r="A142" s="59" t="s">
        <v>617</v>
      </c>
      <c r="B142" s="60" t="s">
        <v>618</v>
      </c>
      <c r="C142" s="58"/>
      <c r="D142" s="60" t="s">
        <v>197</v>
      </c>
      <c r="E142" s="60" t="s">
        <v>567</v>
      </c>
      <c r="F142" s="59" t="s">
        <v>619</v>
      </c>
      <c r="G142" s="62">
        <v>46056.0</v>
      </c>
      <c r="H142" s="56">
        <v>0.0</v>
      </c>
      <c r="I142" s="58" t="s">
        <v>17</v>
      </c>
      <c r="J142" s="63">
        <v>46056.0</v>
      </c>
      <c r="K142" s="60" t="s">
        <v>17</v>
      </c>
      <c r="L142" s="58"/>
      <c r="M142" s="58"/>
      <c r="N142" s="58"/>
      <c r="O142" s="58"/>
      <c r="P142" s="58"/>
      <c r="Q142" s="58"/>
      <c r="R142" s="58"/>
      <c r="S142" s="58"/>
      <c r="T142" s="58"/>
      <c r="U142" s="58"/>
      <c r="V142" s="58"/>
      <c r="W142" s="58"/>
      <c r="X142" s="58"/>
      <c r="Y142" s="58"/>
      <c r="Z142" s="58"/>
    </row>
    <row r="143">
      <c r="A143" s="45" t="s">
        <v>620</v>
      </c>
      <c r="B143" s="46" t="s">
        <v>621</v>
      </c>
      <c r="C143" s="50"/>
      <c r="D143" s="46" t="s">
        <v>622</v>
      </c>
      <c r="E143" s="46" t="s">
        <v>623</v>
      </c>
      <c r="F143" s="45" t="s">
        <v>624</v>
      </c>
      <c r="G143" s="48">
        <v>46056.0</v>
      </c>
      <c r="H143" s="49">
        <v>0.0</v>
      </c>
      <c r="I143" s="50" t="s">
        <v>84</v>
      </c>
      <c r="J143" s="65">
        <v>46056.0</v>
      </c>
      <c r="K143" s="46" t="s">
        <v>84</v>
      </c>
      <c r="L143" s="50"/>
      <c r="M143" s="50"/>
      <c r="N143" s="50"/>
      <c r="O143" s="50"/>
      <c r="P143" s="50"/>
      <c r="Q143" s="50"/>
      <c r="R143" s="50"/>
      <c r="S143" s="50"/>
      <c r="T143" s="50"/>
      <c r="U143" s="50"/>
      <c r="V143" s="50"/>
      <c r="W143" s="50"/>
      <c r="X143" s="50"/>
      <c r="Y143" s="50"/>
      <c r="Z143" s="50"/>
    </row>
    <row r="144">
      <c r="A144" s="59" t="s">
        <v>625</v>
      </c>
      <c r="B144" s="60" t="s">
        <v>80</v>
      </c>
      <c r="C144" s="61">
        <v>2020.0</v>
      </c>
      <c r="D144" s="60" t="s">
        <v>81</v>
      </c>
      <c r="E144" s="60" t="s">
        <v>82</v>
      </c>
      <c r="F144" s="59" t="s">
        <v>83</v>
      </c>
      <c r="G144" s="62">
        <v>46056.0</v>
      </c>
      <c r="H144" s="56">
        <v>0.0</v>
      </c>
      <c r="I144" s="58" t="s">
        <v>626</v>
      </c>
      <c r="J144" s="63">
        <v>46056.0</v>
      </c>
      <c r="K144" s="60" t="s">
        <v>56</v>
      </c>
      <c r="L144" s="58"/>
      <c r="M144" s="58"/>
      <c r="N144" s="58"/>
      <c r="O144" s="58"/>
      <c r="P144" s="58"/>
      <c r="Q144" s="58"/>
      <c r="R144" s="58"/>
      <c r="S144" s="58"/>
      <c r="T144" s="58"/>
      <c r="U144" s="58"/>
      <c r="V144" s="58"/>
      <c r="W144" s="58"/>
      <c r="X144" s="58"/>
      <c r="Y144" s="58"/>
      <c r="Z144" s="58"/>
    </row>
    <row r="145" ht="23.25" customHeight="1">
      <c r="A145" s="76" t="s">
        <v>627</v>
      </c>
      <c r="B145" s="77" t="s">
        <v>628</v>
      </c>
      <c r="C145" s="78">
        <v>2022.0</v>
      </c>
      <c r="D145" s="77" t="s">
        <v>629</v>
      </c>
      <c r="E145" s="77" t="s">
        <v>630</v>
      </c>
      <c r="F145" s="76" t="s">
        <v>631</v>
      </c>
      <c r="G145" s="79">
        <v>46174.0</v>
      </c>
      <c r="H145" s="49">
        <v>0.0</v>
      </c>
      <c r="I145" s="80" t="s">
        <v>632</v>
      </c>
      <c r="J145" s="81">
        <v>46217.0</v>
      </c>
      <c r="K145" s="77" t="s">
        <v>44</v>
      </c>
      <c r="L145" s="80">
        <v>51763.0</v>
      </c>
      <c r="M145" s="50"/>
      <c r="N145" s="50"/>
      <c r="O145" s="50"/>
      <c r="P145" s="50"/>
      <c r="Q145" s="50"/>
      <c r="R145" s="50"/>
      <c r="S145" s="50"/>
      <c r="T145" s="50"/>
      <c r="U145" s="50"/>
      <c r="V145" s="50"/>
      <c r="W145" s="50"/>
      <c r="X145" s="50"/>
      <c r="Y145" s="50"/>
      <c r="Z145" s="50"/>
    </row>
    <row r="146">
      <c r="A146" s="59" t="s">
        <v>633</v>
      </c>
      <c r="B146" s="60" t="s">
        <v>634</v>
      </c>
      <c r="C146" s="61">
        <v>2015.0</v>
      </c>
      <c r="D146" s="60" t="s">
        <v>14</v>
      </c>
      <c r="E146" s="60" t="s">
        <v>82</v>
      </c>
      <c r="F146" s="59" t="s">
        <v>635</v>
      </c>
      <c r="G146" s="62">
        <v>46056.0</v>
      </c>
      <c r="H146" s="56">
        <v>10.0</v>
      </c>
      <c r="I146" s="58" t="s">
        <v>636</v>
      </c>
      <c r="J146" s="63">
        <v>46066.0</v>
      </c>
      <c r="K146" s="60" t="s">
        <v>56</v>
      </c>
      <c r="L146" s="58"/>
      <c r="M146" s="58"/>
      <c r="N146" s="58"/>
      <c r="O146" s="58"/>
      <c r="P146" s="58"/>
      <c r="Q146" s="58"/>
      <c r="R146" s="58"/>
      <c r="S146" s="58"/>
      <c r="T146" s="58"/>
      <c r="U146" s="58"/>
      <c r="V146" s="58"/>
      <c r="W146" s="58"/>
      <c r="X146" s="58"/>
      <c r="Y146" s="58"/>
      <c r="Z146" s="58"/>
    </row>
    <row r="147">
      <c r="A147" s="45" t="s">
        <v>637</v>
      </c>
      <c r="B147" s="46" t="s">
        <v>638</v>
      </c>
      <c r="C147" s="50"/>
      <c r="D147" s="46" t="s">
        <v>52</v>
      </c>
      <c r="E147" s="46" t="s">
        <v>639</v>
      </c>
      <c r="F147" s="45" t="s">
        <v>640</v>
      </c>
      <c r="G147" s="48">
        <v>46057.0</v>
      </c>
      <c r="H147" s="49">
        <v>0.0</v>
      </c>
      <c r="I147" s="50" t="s">
        <v>84</v>
      </c>
      <c r="J147" s="65">
        <v>46057.0</v>
      </c>
      <c r="K147" s="46" t="s">
        <v>84</v>
      </c>
      <c r="L147" s="50"/>
      <c r="M147" s="50"/>
      <c r="N147" s="50"/>
      <c r="O147" s="50"/>
      <c r="P147" s="50"/>
      <c r="Q147" s="50"/>
      <c r="R147" s="50"/>
      <c r="S147" s="50"/>
      <c r="T147" s="50"/>
      <c r="U147" s="50"/>
      <c r="V147" s="50"/>
      <c r="W147" s="50"/>
      <c r="X147" s="50"/>
      <c r="Y147" s="50"/>
      <c r="Z147" s="50"/>
    </row>
    <row r="148">
      <c r="A148" s="59" t="s">
        <v>641</v>
      </c>
      <c r="B148" s="60" t="s">
        <v>642</v>
      </c>
      <c r="C148" s="58"/>
      <c r="D148" s="60" t="s">
        <v>52</v>
      </c>
      <c r="E148" s="60" t="s">
        <v>87</v>
      </c>
      <c r="F148" s="59" t="s">
        <v>643</v>
      </c>
      <c r="G148" s="62">
        <v>46057.0</v>
      </c>
      <c r="H148" s="56">
        <v>0.0</v>
      </c>
      <c r="I148" s="58" t="s">
        <v>37</v>
      </c>
      <c r="J148" s="63">
        <v>46057.0</v>
      </c>
      <c r="K148" s="60" t="s">
        <v>37</v>
      </c>
      <c r="L148" s="58"/>
      <c r="M148" s="58"/>
      <c r="N148" s="58"/>
      <c r="O148" s="58"/>
      <c r="P148" s="58"/>
      <c r="Q148" s="58"/>
      <c r="R148" s="58"/>
      <c r="S148" s="58"/>
      <c r="T148" s="58"/>
      <c r="U148" s="58"/>
      <c r="V148" s="58"/>
      <c r="W148" s="58"/>
      <c r="X148" s="58"/>
      <c r="Y148" s="58"/>
      <c r="Z148" s="58"/>
    </row>
    <row r="149">
      <c r="A149" s="45" t="s">
        <v>644</v>
      </c>
      <c r="B149" s="46" t="s">
        <v>490</v>
      </c>
      <c r="C149" s="47">
        <v>2022.0</v>
      </c>
      <c r="D149" s="46" t="s">
        <v>52</v>
      </c>
      <c r="E149" s="46" t="s">
        <v>183</v>
      </c>
      <c r="F149" s="45" t="s">
        <v>491</v>
      </c>
      <c r="G149" s="48">
        <v>46057.0</v>
      </c>
      <c r="H149" s="49">
        <v>0.0</v>
      </c>
      <c r="I149" s="50" t="s">
        <v>645</v>
      </c>
      <c r="J149" s="65">
        <v>46057.0</v>
      </c>
      <c r="K149" s="46" t="s">
        <v>78</v>
      </c>
      <c r="L149" s="50"/>
      <c r="M149" s="50"/>
      <c r="N149" s="50"/>
      <c r="O149" s="50"/>
      <c r="P149" s="50"/>
      <c r="Q149" s="50"/>
      <c r="R149" s="50"/>
      <c r="S149" s="50"/>
      <c r="T149" s="50"/>
      <c r="U149" s="50"/>
      <c r="V149" s="50"/>
      <c r="W149" s="50"/>
      <c r="X149" s="50"/>
      <c r="Y149" s="50"/>
      <c r="Z149" s="50"/>
    </row>
    <row r="150">
      <c r="A150" s="59" t="s">
        <v>646</v>
      </c>
      <c r="B150" s="60" t="s">
        <v>494</v>
      </c>
      <c r="C150" s="61">
        <v>2022.0</v>
      </c>
      <c r="D150" s="60" t="s">
        <v>52</v>
      </c>
      <c r="E150" s="60" t="s">
        <v>319</v>
      </c>
      <c r="F150" s="59" t="s">
        <v>495</v>
      </c>
      <c r="G150" s="62">
        <v>46057.0</v>
      </c>
      <c r="H150" s="56">
        <v>0.0</v>
      </c>
      <c r="I150" s="58" t="s">
        <v>84</v>
      </c>
      <c r="J150" s="63">
        <v>46057.0</v>
      </c>
      <c r="K150" s="60" t="s">
        <v>84</v>
      </c>
      <c r="L150" s="58"/>
      <c r="M150" s="58"/>
      <c r="N150" s="58"/>
      <c r="O150" s="58"/>
      <c r="P150" s="58"/>
      <c r="Q150" s="58"/>
      <c r="R150" s="58"/>
      <c r="S150" s="58"/>
      <c r="T150" s="58"/>
      <c r="U150" s="58"/>
      <c r="V150" s="58"/>
      <c r="W150" s="58"/>
      <c r="X150" s="58"/>
      <c r="Y150" s="58"/>
      <c r="Z150" s="58"/>
    </row>
    <row r="151">
      <c r="A151" s="45" t="s">
        <v>647</v>
      </c>
      <c r="B151" s="46" t="s">
        <v>648</v>
      </c>
      <c r="C151" s="50"/>
      <c r="D151" s="46" t="s">
        <v>52</v>
      </c>
      <c r="E151" s="46" t="s">
        <v>649</v>
      </c>
      <c r="F151" s="45" t="s">
        <v>650</v>
      </c>
      <c r="G151" s="48">
        <v>46057.0</v>
      </c>
      <c r="H151" s="49">
        <v>0.0</v>
      </c>
      <c r="I151" s="50" t="s">
        <v>17</v>
      </c>
      <c r="J151" s="65">
        <v>46057.0</v>
      </c>
      <c r="K151" s="46" t="s">
        <v>17</v>
      </c>
      <c r="L151" s="50"/>
      <c r="M151" s="50"/>
      <c r="N151" s="50"/>
      <c r="O151" s="50"/>
      <c r="P151" s="50"/>
      <c r="Q151" s="50"/>
      <c r="R151" s="50"/>
      <c r="S151" s="50"/>
      <c r="T151" s="50"/>
      <c r="U151" s="50"/>
      <c r="V151" s="50"/>
      <c r="W151" s="50"/>
      <c r="X151" s="50"/>
      <c r="Y151" s="50"/>
      <c r="Z151" s="50"/>
    </row>
    <row r="152">
      <c r="A152" s="59" t="s">
        <v>651</v>
      </c>
      <c r="B152" s="60" t="s">
        <v>652</v>
      </c>
      <c r="C152" s="58"/>
      <c r="D152" s="60" t="s">
        <v>165</v>
      </c>
      <c r="E152" s="60" t="s">
        <v>653</v>
      </c>
      <c r="F152" s="59" t="s">
        <v>654</v>
      </c>
      <c r="G152" s="62">
        <v>46057.0</v>
      </c>
      <c r="H152" s="56">
        <v>7.0</v>
      </c>
      <c r="I152" s="58" t="s">
        <v>655</v>
      </c>
      <c r="J152" s="63">
        <v>46064.0</v>
      </c>
      <c r="K152" s="60" t="s">
        <v>655</v>
      </c>
      <c r="L152" s="58"/>
      <c r="M152" s="58"/>
      <c r="N152" s="58"/>
      <c r="O152" s="58"/>
      <c r="P152" s="58"/>
      <c r="Q152" s="58"/>
      <c r="R152" s="58"/>
      <c r="S152" s="58"/>
      <c r="T152" s="58"/>
      <c r="U152" s="58"/>
      <c r="V152" s="58"/>
      <c r="W152" s="58"/>
      <c r="X152" s="58"/>
      <c r="Y152" s="58"/>
      <c r="Z152" s="58"/>
    </row>
    <row r="153">
      <c r="A153" s="45" t="s">
        <v>656</v>
      </c>
      <c r="B153" s="46" t="s">
        <v>657</v>
      </c>
      <c r="C153" s="50"/>
      <c r="D153" s="46" t="s">
        <v>165</v>
      </c>
      <c r="E153" s="46" t="s">
        <v>653</v>
      </c>
      <c r="F153" s="45" t="s">
        <v>658</v>
      </c>
      <c r="G153" s="48">
        <v>46057.0</v>
      </c>
      <c r="H153" s="49">
        <v>7.0</v>
      </c>
      <c r="I153" s="50" t="s">
        <v>655</v>
      </c>
      <c r="J153" s="65">
        <v>46064.0</v>
      </c>
      <c r="K153" s="46" t="s">
        <v>655</v>
      </c>
      <c r="L153" s="50"/>
      <c r="M153" s="50"/>
      <c r="N153" s="50"/>
      <c r="O153" s="50"/>
      <c r="P153" s="50"/>
      <c r="Q153" s="50"/>
      <c r="R153" s="50"/>
      <c r="S153" s="50"/>
      <c r="T153" s="50"/>
      <c r="U153" s="50"/>
      <c r="V153" s="50"/>
      <c r="W153" s="50"/>
      <c r="X153" s="50"/>
      <c r="Y153" s="50"/>
      <c r="Z153" s="50"/>
    </row>
    <row r="154">
      <c r="A154" s="59" t="s">
        <v>659</v>
      </c>
      <c r="B154" s="60" t="s">
        <v>660</v>
      </c>
      <c r="C154" s="58"/>
      <c r="D154" s="60" t="s">
        <v>34</v>
      </c>
      <c r="E154" s="60" t="s">
        <v>661</v>
      </c>
      <c r="F154" s="59" t="s">
        <v>662</v>
      </c>
      <c r="G154" s="62">
        <v>46057.0</v>
      </c>
      <c r="H154" s="56">
        <v>8.0</v>
      </c>
      <c r="I154" s="58" t="s">
        <v>655</v>
      </c>
      <c r="J154" s="63">
        <v>46065.0</v>
      </c>
      <c r="K154" s="60" t="s">
        <v>655</v>
      </c>
      <c r="L154" s="58"/>
      <c r="M154" s="58"/>
      <c r="N154" s="58"/>
      <c r="O154" s="58"/>
      <c r="P154" s="58"/>
      <c r="Q154" s="58"/>
      <c r="R154" s="58"/>
      <c r="S154" s="58"/>
      <c r="T154" s="58"/>
      <c r="U154" s="58"/>
      <c r="V154" s="58"/>
      <c r="W154" s="58"/>
      <c r="X154" s="58"/>
      <c r="Y154" s="58"/>
      <c r="Z154" s="58"/>
    </row>
    <row r="155">
      <c r="A155" s="45" t="s">
        <v>663</v>
      </c>
      <c r="B155" s="46" t="s">
        <v>664</v>
      </c>
      <c r="C155" s="47">
        <v>2014.0</v>
      </c>
      <c r="D155" s="46" t="s">
        <v>105</v>
      </c>
      <c r="E155" s="46" t="s">
        <v>169</v>
      </c>
      <c r="F155" s="45" t="s">
        <v>665</v>
      </c>
      <c r="G155" s="48">
        <v>46057.0</v>
      </c>
      <c r="H155" s="49">
        <v>1.0</v>
      </c>
      <c r="I155" s="50" t="s">
        <v>666</v>
      </c>
      <c r="J155" s="65">
        <v>46058.0</v>
      </c>
      <c r="K155" s="46" t="s">
        <v>56</v>
      </c>
      <c r="L155" s="50"/>
      <c r="M155" s="50"/>
      <c r="N155" s="50"/>
      <c r="O155" s="50"/>
      <c r="P155" s="50"/>
      <c r="Q155" s="50"/>
      <c r="R155" s="50"/>
      <c r="S155" s="50"/>
      <c r="T155" s="50"/>
      <c r="U155" s="50"/>
      <c r="V155" s="50"/>
      <c r="W155" s="50"/>
      <c r="X155" s="50"/>
      <c r="Y155" s="50"/>
      <c r="Z155" s="50"/>
    </row>
    <row r="156">
      <c r="A156" s="59" t="s">
        <v>667</v>
      </c>
      <c r="B156" s="60" t="s">
        <v>124</v>
      </c>
      <c r="C156" s="61">
        <v>2022.0</v>
      </c>
      <c r="D156" s="60" t="s">
        <v>52</v>
      </c>
      <c r="E156" s="60" t="s">
        <v>125</v>
      </c>
      <c r="F156" s="59" t="s">
        <v>126</v>
      </c>
      <c r="G156" s="62">
        <v>46057.0</v>
      </c>
      <c r="H156" s="56">
        <v>6.0</v>
      </c>
      <c r="I156" s="58" t="s">
        <v>668</v>
      </c>
      <c r="J156" s="63">
        <v>46063.0</v>
      </c>
      <c r="K156" s="60" t="s">
        <v>56</v>
      </c>
      <c r="L156" s="58"/>
      <c r="M156" s="58"/>
      <c r="N156" s="58"/>
      <c r="O156" s="58"/>
      <c r="P156" s="58"/>
      <c r="Q156" s="58"/>
      <c r="R156" s="58"/>
      <c r="S156" s="58"/>
      <c r="T156" s="58"/>
      <c r="U156" s="58"/>
      <c r="V156" s="58"/>
      <c r="W156" s="58"/>
      <c r="X156" s="58"/>
      <c r="Y156" s="58"/>
      <c r="Z156" s="58"/>
    </row>
    <row r="157">
      <c r="A157" s="76" t="s">
        <v>669</v>
      </c>
      <c r="B157" s="77" t="s">
        <v>670</v>
      </c>
      <c r="C157" s="78">
        <v>2015.0</v>
      </c>
      <c r="D157" s="77" t="s">
        <v>671</v>
      </c>
      <c r="E157" s="77" t="s">
        <v>183</v>
      </c>
      <c r="F157" s="76" t="s">
        <v>672</v>
      </c>
      <c r="G157" s="79">
        <v>46170.0</v>
      </c>
      <c r="H157" s="49">
        <v>99.0</v>
      </c>
      <c r="I157" s="80" t="s">
        <v>673</v>
      </c>
      <c r="J157" s="82">
        <v>46176.0</v>
      </c>
      <c r="K157" s="77" t="s">
        <v>24</v>
      </c>
      <c r="L157" s="80">
        <v>67270.0</v>
      </c>
      <c r="M157" s="50"/>
      <c r="N157" s="50"/>
      <c r="O157" s="50"/>
      <c r="P157" s="50"/>
      <c r="Q157" s="50"/>
      <c r="R157" s="50"/>
      <c r="S157" s="50"/>
      <c r="T157" s="50"/>
      <c r="U157" s="50"/>
      <c r="V157" s="50"/>
      <c r="W157" s="50"/>
      <c r="X157" s="50"/>
      <c r="Y157" s="50"/>
      <c r="Z157" s="50"/>
    </row>
    <row r="158">
      <c r="A158" s="59" t="s">
        <v>674</v>
      </c>
      <c r="B158" s="60" t="s">
        <v>675</v>
      </c>
      <c r="C158" s="61">
        <v>2014.0</v>
      </c>
      <c r="D158" s="60" t="s">
        <v>105</v>
      </c>
      <c r="E158" s="60" t="s">
        <v>125</v>
      </c>
      <c r="F158" s="59" t="s">
        <v>676</v>
      </c>
      <c r="G158" s="62">
        <v>46057.0</v>
      </c>
      <c r="H158" s="56">
        <v>2.0</v>
      </c>
      <c r="I158" s="58" t="s">
        <v>677</v>
      </c>
      <c r="J158" s="63">
        <v>46059.0</v>
      </c>
      <c r="K158" s="60" t="s">
        <v>678</v>
      </c>
      <c r="L158" s="58"/>
      <c r="M158" s="58"/>
      <c r="N158" s="58"/>
      <c r="O158" s="58"/>
      <c r="P158" s="58"/>
      <c r="Q158" s="58"/>
      <c r="R158" s="58"/>
      <c r="S158" s="58"/>
      <c r="T158" s="58"/>
      <c r="U158" s="58"/>
      <c r="V158" s="58"/>
      <c r="W158" s="58"/>
      <c r="X158" s="58"/>
      <c r="Y158" s="58"/>
      <c r="Z158" s="58"/>
    </row>
    <row r="159">
      <c r="A159" s="45" t="s">
        <v>679</v>
      </c>
      <c r="B159" s="46" t="s">
        <v>680</v>
      </c>
      <c r="C159" s="50"/>
      <c r="D159" s="46" t="s">
        <v>14</v>
      </c>
      <c r="E159" s="46" t="s">
        <v>681</v>
      </c>
      <c r="F159" s="45" t="s">
        <v>682</v>
      </c>
      <c r="G159" s="48">
        <v>46058.0</v>
      </c>
      <c r="H159" s="49">
        <v>0.0</v>
      </c>
      <c r="I159" s="50" t="s">
        <v>84</v>
      </c>
      <c r="J159" s="65">
        <v>46058.0</v>
      </c>
      <c r="K159" s="46" t="s">
        <v>84</v>
      </c>
      <c r="L159" s="50"/>
      <c r="M159" s="50"/>
      <c r="N159" s="50"/>
      <c r="O159" s="50"/>
      <c r="P159" s="50"/>
      <c r="Q159" s="50"/>
      <c r="R159" s="50"/>
      <c r="S159" s="50"/>
      <c r="T159" s="50"/>
      <c r="U159" s="50"/>
      <c r="V159" s="50"/>
      <c r="W159" s="50"/>
      <c r="X159" s="50"/>
      <c r="Y159" s="50"/>
      <c r="Z159" s="50"/>
    </row>
    <row r="160">
      <c r="A160" s="59" t="s">
        <v>683</v>
      </c>
      <c r="B160" s="60" t="s">
        <v>684</v>
      </c>
      <c r="C160" s="58"/>
      <c r="D160" s="60" t="s">
        <v>14</v>
      </c>
      <c r="E160" s="60" t="s">
        <v>373</v>
      </c>
      <c r="F160" s="59" t="s">
        <v>685</v>
      </c>
      <c r="G160" s="62">
        <v>46058.0</v>
      </c>
      <c r="H160" s="56">
        <v>0.0</v>
      </c>
      <c r="I160" s="58" t="s">
        <v>37</v>
      </c>
      <c r="J160" s="63">
        <v>46058.0</v>
      </c>
      <c r="K160" s="60" t="s">
        <v>37</v>
      </c>
      <c r="L160" s="58"/>
      <c r="M160" s="58"/>
      <c r="N160" s="58"/>
      <c r="O160" s="58"/>
      <c r="P160" s="58"/>
      <c r="Q160" s="58"/>
      <c r="R160" s="58"/>
      <c r="S160" s="58"/>
      <c r="T160" s="58"/>
      <c r="U160" s="58"/>
      <c r="V160" s="58"/>
      <c r="W160" s="58"/>
      <c r="X160" s="58"/>
      <c r="Y160" s="58"/>
      <c r="Z160" s="58"/>
    </row>
    <row r="161">
      <c r="A161" s="45" t="s">
        <v>686</v>
      </c>
      <c r="B161" s="46" t="s">
        <v>687</v>
      </c>
      <c r="C161" s="50"/>
      <c r="D161" s="46" t="s">
        <v>165</v>
      </c>
      <c r="E161" s="46" t="s">
        <v>688</v>
      </c>
      <c r="F161" s="45" t="s">
        <v>689</v>
      </c>
      <c r="G161" s="48">
        <v>46058.0</v>
      </c>
      <c r="H161" s="49">
        <v>0.0</v>
      </c>
      <c r="I161" s="50" t="s">
        <v>37</v>
      </c>
      <c r="J161" s="65">
        <v>46058.0</v>
      </c>
      <c r="K161" s="46" t="s">
        <v>37</v>
      </c>
      <c r="L161" s="50"/>
      <c r="M161" s="50"/>
      <c r="N161" s="50"/>
      <c r="O161" s="50"/>
      <c r="P161" s="50"/>
      <c r="Q161" s="50"/>
      <c r="R161" s="50"/>
      <c r="S161" s="50"/>
      <c r="T161" s="50"/>
      <c r="U161" s="50"/>
      <c r="V161" s="50"/>
      <c r="W161" s="50"/>
      <c r="X161" s="50"/>
      <c r="Y161" s="50"/>
      <c r="Z161" s="50"/>
    </row>
    <row r="162">
      <c r="A162" s="59" t="s">
        <v>690</v>
      </c>
      <c r="B162" s="60" t="s">
        <v>691</v>
      </c>
      <c r="C162" s="58"/>
      <c r="D162" s="60" t="s">
        <v>165</v>
      </c>
      <c r="E162" s="60" t="s">
        <v>688</v>
      </c>
      <c r="F162" s="59" t="s">
        <v>692</v>
      </c>
      <c r="G162" s="62">
        <v>46058.0</v>
      </c>
      <c r="H162" s="56">
        <v>98.0</v>
      </c>
      <c r="I162" s="58" t="s">
        <v>37</v>
      </c>
      <c r="J162" s="64"/>
      <c r="K162" s="60" t="s">
        <v>37</v>
      </c>
      <c r="L162" s="58"/>
      <c r="M162" s="58"/>
      <c r="N162" s="58"/>
      <c r="O162" s="58"/>
      <c r="P162" s="58"/>
      <c r="Q162" s="58"/>
      <c r="R162" s="58"/>
      <c r="S162" s="58"/>
      <c r="T162" s="58"/>
      <c r="U162" s="58"/>
      <c r="V162" s="58"/>
      <c r="W162" s="58"/>
      <c r="X162" s="58"/>
      <c r="Y162" s="58"/>
      <c r="Z162" s="58"/>
    </row>
    <row r="163">
      <c r="A163" s="45" t="s">
        <v>693</v>
      </c>
      <c r="B163" s="46" t="s">
        <v>694</v>
      </c>
      <c r="C163" s="50"/>
      <c r="D163" s="46" t="s">
        <v>130</v>
      </c>
      <c r="E163" s="46" t="s">
        <v>695</v>
      </c>
      <c r="F163" s="45" t="s">
        <v>696</v>
      </c>
      <c r="G163" s="48">
        <v>46058.0</v>
      </c>
      <c r="H163" s="49">
        <v>0.0</v>
      </c>
      <c r="I163" s="50" t="s">
        <v>37</v>
      </c>
      <c r="J163" s="65">
        <v>46058.0</v>
      </c>
      <c r="K163" s="46" t="s">
        <v>37</v>
      </c>
      <c r="L163" s="50"/>
      <c r="M163" s="50"/>
      <c r="N163" s="50"/>
      <c r="O163" s="50"/>
      <c r="P163" s="50"/>
      <c r="Q163" s="50"/>
      <c r="R163" s="50"/>
      <c r="S163" s="50"/>
      <c r="T163" s="50"/>
      <c r="U163" s="50"/>
      <c r="V163" s="50"/>
      <c r="W163" s="50"/>
      <c r="X163" s="50"/>
      <c r="Y163" s="50"/>
      <c r="Z163" s="50"/>
    </row>
    <row r="164">
      <c r="A164" s="59" t="s">
        <v>697</v>
      </c>
      <c r="B164" s="60" t="s">
        <v>698</v>
      </c>
      <c r="C164" s="58"/>
      <c r="D164" s="60" t="s">
        <v>14</v>
      </c>
      <c r="E164" s="60" t="s">
        <v>699</v>
      </c>
      <c r="F164" s="59" t="s">
        <v>700</v>
      </c>
      <c r="G164" s="62">
        <v>46058.0</v>
      </c>
      <c r="H164" s="56">
        <v>0.0</v>
      </c>
      <c r="I164" s="58" t="s">
        <v>37</v>
      </c>
      <c r="J164" s="63">
        <v>46058.0</v>
      </c>
      <c r="K164" s="60" t="s">
        <v>37</v>
      </c>
      <c r="L164" s="58"/>
      <c r="M164" s="58"/>
      <c r="N164" s="58"/>
      <c r="O164" s="58"/>
      <c r="P164" s="58"/>
      <c r="Q164" s="58"/>
      <c r="R164" s="58"/>
      <c r="S164" s="58"/>
      <c r="T164" s="58"/>
      <c r="U164" s="58"/>
      <c r="V164" s="58"/>
      <c r="W164" s="58"/>
      <c r="X164" s="58"/>
      <c r="Y164" s="58"/>
      <c r="Z164" s="58"/>
    </row>
    <row r="165">
      <c r="A165" s="45" t="s">
        <v>701</v>
      </c>
      <c r="B165" s="46" t="s">
        <v>702</v>
      </c>
      <c r="C165" s="50"/>
      <c r="D165" s="46" t="s">
        <v>447</v>
      </c>
      <c r="E165" s="46" t="s">
        <v>183</v>
      </c>
      <c r="F165" s="45" t="s">
        <v>703</v>
      </c>
      <c r="G165" s="48">
        <v>46058.0</v>
      </c>
      <c r="H165" s="49">
        <v>98.0</v>
      </c>
      <c r="I165" s="50" t="s">
        <v>56</v>
      </c>
      <c r="J165" s="51"/>
      <c r="K165" s="46" t="s">
        <v>56</v>
      </c>
      <c r="L165" s="50"/>
      <c r="M165" s="50"/>
      <c r="N165" s="50"/>
      <c r="O165" s="50"/>
      <c r="P165" s="50"/>
      <c r="Q165" s="50"/>
      <c r="R165" s="50"/>
      <c r="S165" s="50"/>
      <c r="T165" s="50"/>
      <c r="U165" s="50"/>
      <c r="V165" s="50"/>
      <c r="W165" s="50"/>
      <c r="X165" s="50"/>
      <c r="Y165" s="50"/>
      <c r="Z165" s="50"/>
    </row>
    <row r="166">
      <c r="A166" s="59" t="s">
        <v>704</v>
      </c>
      <c r="B166" s="60" t="s">
        <v>705</v>
      </c>
      <c r="C166" s="61">
        <v>2022.0</v>
      </c>
      <c r="D166" s="60" t="s">
        <v>52</v>
      </c>
      <c r="E166" s="60" t="s">
        <v>169</v>
      </c>
      <c r="F166" s="59" t="s">
        <v>706</v>
      </c>
      <c r="G166" s="62">
        <v>46058.0</v>
      </c>
      <c r="H166" s="56">
        <v>0.0</v>
      </c>
      <c r="I166" s="58" t="s">
        <v>707</v>
      </c>
      <c r="J166" s="63">
        <v>46058.0</v>
      </c>
      <c r="K166" s="60" t="s">
        <v>56</v>
      </c>
      <c r="L166" s="58"/>
      <c r="M166" s="58"/>
      <c r="N166" s="58"/>
      <c r="O166" s="58"/>
      <c r="P166" s="58"/>
      <c r="Q166" s="58"/>
      <c r="R166" s="58"/>
      <c r="S166" s="58"/>
      <c r="T166" s="58"/>
      <c r="U166" s="58"/>
      <c r="V166" s="58"/>
      <c r="W166" s="58"/>
      <c r="X166" s="58"/>
      <c r="Y166" s="58"/>
      <c r="Z166" s="58"/>
    </row>
    <row r="167">
      <c r="A167" s="45" t="s">
        <v>708</v>
      </c>
      <c r="B167" s="46" t="s">
        <v>709</v>
      </c>
      <c r="C167" s="47">
        <v>2022.0</v>
      </c>
      <c r="D167" s="46" t="s">
        <v>52</v>
      </c>
      <c r="E167" s="46" t="s">
        <v>235</v>
      </c>
      <c r="F167" s="45" t="s">
        <v>710</v>
      </c>
      <c r="G167" s="48">
        <v>46058.0</v>
      </c>
      <c r="H167" s="49">
        <v>0.0</v>
      </c>
      <c r="I167" s="50" t="s">
        <v>711</v>
      </c>
      <c r="J167" s="65">
        <v>46058.0</v>
      </c>
      <c r="K167" s="46" t="s">
        <v>56</v>
      </c>
      <c r="L167" s="50"/>
      <c r="M167" s="50"/>
      <c r="N167" s="50"/>
      <c r="O167" s="50"/>
      <c r="P167" s="50"/>
      <c r="Q167" s="50"/>
      <c r="R167" s="50"/>
      <c r="S167" s="50"/>
      <c r="T167" s="50"/>
      <c r="U167" s="50"/>
      <c r="V167" s="50"/>
      <c r="W167" s="50"/>
      <c r="X167" s="50"/>
      <c r="Y167" s="50"/>
      <c r="Z167" s="50"/>
    </row>
    <row r="168">
      <c r="A168" s="52" t="s">
        <v>712</v>
      </c>
      <c r="B168" s="53" t="s">
        <v>713</v>
      </c>
      <c r="C168" s="66">
        <v>2018.0</v>
      </c>
      <c r="D168" s="53" t="s">
        <v>40</v>
      </c>
      <c r="E168" s="53" t="s">
        <v>53</v>
      </c>
      <c r="F168" s="52" t="s">
        <v>714</v>
      </c>
      <c r="G168" s="55">
        <v>46136.0</v>
      </c>
      <c r="H168" s="56">
        <v>5.0</v>
      </c>
      <c r="I168" s="54" t="s">
        <v>715</v>
      </c>
      <c r="J168" s="84">
        <v>46210.0</v>
      </c>
      <c r="K168" s="53" t="s">
        <v>31</v>
      </c>
      <c r="L168" s="85">
        <v>49908.0</v>
      </c>
      <c r="M168" s="58"/>
      <c r="N168" s="58"/>
      <c r="O168" s="58"/>
      <c r="P168" s="58"/>
      <c r="Q168" s="58"/>
      <c r="R168" s="58"/>
      <c r="S168" s="58"/>
      <c r="T168" s="58"/>
      <c r="U168" s="58"/>
      <c r="V168" s="58"/>
      <c r="W168" s="58"/>
      <c r="X168" s="58"/>
      <c r="Y168" s="58"/>
      <c r="Z168" s="58"/>
    </row>
    <row r="169">
      <c r="A169" s="76" t="s">
        <v>716</v>
      </c>
      <c r="B169" s="77" t="s">
        <v>717</v>
      </c>
      <c r="C169" s="78">
        <v>2022.0</v>
      </c>
      <c r="D169" s="77" t="s">
        <v>718</v>
      </c>
      <c r="E169" s="77" t="s">
        <v>99</v>
      </c>
      <c r="F169" s="76" t="s">
        <v>719</v>
      </c>
      <c r="G169" s="79">
        <v>46216.0</v>
      </c>
      <c r="H169" s="49">
        <v>6.0</v>
      </c>
      <c r="I169" s="80" t="s">
        <v>720</v>
      </c>
      <c r="J169" s="81">
        <v>46217.0</v>
      </c>
      <c r="K169" s="77" t="s">
        <v>721</v>
      </c>
      <c r="L169" s="80">
        <v>64879.0</v>
      </c>
      <c r="M169" s="50"/>
      <c r="N169" s="50"/>
      <c r="O169" s="50"/>
      <c r="P169" s="50"/>
      <c r="Q169" s="50"/>
      <c r="R169" s="50"/>
      <c r="S169" s="50"/>
      <c r="T169" s="50"/>
      <c r="U169" s="50"/>
      <c r="V169" s="50"/>
      <c r="W169" s="50"/>
      <c r="X169" s="50"/>
      <c r="Y169" s="50"/>
      <c r="Z169" s="50"/>
    </row>
    <row r="170">
      <c r="A170" s="52" t="s">
        <v>722</v>
      </c>
      <c r="B170" s="53" t="s">
        <v>723</v>
      </c>
      <c r="C170" s="66">
        <v>2017.0</v>
      </c>
      <c r="D170" s="53" t="s">
        <v>724</v>
      </c>
      <c r="E170" s="53" t="s">
        <v>725</v>
      </c>
      <c r="F170" s="52" t="s">
        <v>726</v>
      </c>
      <c r="G170" s="55">
        <v>46136.0</v>
      </c>
      <c r="H170" s="56">
        <v>0.0</v>
      </c>
      <c r="I170" s="54" t="s">
        <v>727</v>
      </c>
      <c r="J170" s="84">
        <v>46217.0</v>
      </c>
      <c r="K170" s="53" t="s">
        <v>24</v>
      </c>
      <c r="L170" s="85">
        <v>143562.0</v>
      </c>
      <c r="M170" s="58"/>
      <c r="N170" s="58"/>
      <c r="O170" s="58"/>
      <c r="P170" s="58"/>
      <c r="Q170" s="58"/>
      <c r="R170" s="58"/>
      <c r="S170" s="58"/>
      <c r="T170" s="58"/>
      <c r="U170" s="58"/>
      <c r="V170" s="58"/>
      <c r="W170" s="58"/>
      <c r="X170" s="58"/>
      <c r="Y170" s="58"/>
      <c r="Z170" s="58"/>
    </row>
    <row r="171">
      <c r="A171" s="45" t="s">
        <v>728</v>
      </c>
      <c r="B171" s="46" t="s">
        <v>729</v>
      </c>
      <c r="C171" s="47">
        <v>2019.0</v>
      </c>
      <c r="D171" s="46" t="s">
        <v>75</v>
      </c>
      <c r="E171" s="46" t="s">
        <v>730</v>
      </c>
      <c r="F171" s="45" t="s">
        <v>731</v>
      </c>
      <c r="G171" s="48">
        <v>46058.0</v>
      </c>
      <c r="H171" s="49">
        <v>0.0</v>
      </c>
      <c r="I171" s="50" t="s">
        <v>56</v>
      </c>
      <c r="J171" s="65">
        <v>46058.0</v>
      </c>
      <c r="K171" s="46" t="s">
        <v>56</v>
      </c>
      <c r="L171" s="50"/>
      <c r="M171" s="50"/>
      <c r="N171" s="50"/>
      <c r="O171" s="50"/>
      <c r="P171" s="50"/>
      <c r="Q171" s="50"/>
      <c r="R171" s="50"/>
      <c r="S171" s="50"/>
      <c r="T171" s="50"/>
      <c r="U171" s="50"/>
      <c r="V171" s="50"/>
      <c r="W171" s="50"/>
      <c r="X171" s="50"/>
      <c r="Y171" s="50"/>
      <c r="Z171" s="50"/>
    </row>
    <row r="172">
      <c r="A172" s="59" t="s">
        <v>732</v>
      </c>
      <c r="B172" s="60" t="s">
        <v>244</v>
      </c>
      <c r="C172" s="61">
        <v>2022.0</v>
      </c>
      <c r="D172" s="60" t="s">
        <v>14</v>
      </c>
      <c r="E172" s="60" t="s">
        <v>28</v>
      </c>
      <c r="F172" s="59" t="s">
        <v>246</v>
      </c>
      <c r="G172" s="62">
        <v>46058.0</v>
      </c>
      <c r="H172" s="56">
        <v>0.0</v>
      </c>
      <c r="I172" s="58" t="s">
        <v>733</v>
      </c>
      <c r="J172" s="63">
        <v>46058.0</v>
      </c>
      <c r="K172" s="60" t="s">
        <v>733</v>
      </c>
      <c r="L172" s="58"/>
      <c r="M172" s="58"/>
      <c r="N172" s="58"/>
      <c r="O172" s="58"/>
      <c r="P172" s="58"/>
      <c r="Q172" s="58"/>
      <c r="R172" s="58"/>
      <c r="S172" s="58"/>
      <c r="T172" s="58"/>
      <c r="U172" s="58"/>
      <c r="V172" s="58"/>
      <c r="W172" s="58"/>
      <c r="X172" s="58"/>
      <c r="Y172" s="58"/>
      <c r="Z172" s="58"/>
    </row>
    <row r="173">
      <c r="A173" s="45" t="s">
        <v>734</v>
      </c>
      <c r="B173" s="46" t="s">
        <v>735</v>
      </c>
      <c r="C173" s="50"/>
      <c r="D173" s="46" t="s">
        <v>427</v>
      </c>
      <c r="E173" s="46" t="s">
        <v>736</v>
      </c>
      <c r="F173" s="45" t="s">
        <v>737</v>
      </c>
      <c r="G173" s="48">
        <v>46058.0</v>
      </c>
      <c r="H173" s="49">
        <v>0.0</v>
      </c>
      <c r="I173" s="50" t="s">
        <v>56</v>
      </c>
      <c r="J173" s="65">
        <v>46058.0</v>
      </c>
      <c r="K173" s="46" t="s">
        <v>56</v>
      </c>
      <c r="L173" s="50"/>
      <c r="M173" s="50"/>
      <c r="N173" s="50"/>
      <c r="O173" s="50"/>
      <c r="P173" s="50"/>
      <c r="Q173" s="50"/>
      <c r="R173" s="50"/>
      <c r="S173" s="50"/>
      <c r="T173" s="50"/>
      <c r="U173" s="50"/>
      <c r="V173" s="50"/>
      <c r="W173" s="50"/>
      <c r="X173" s="50"/>
      <c r="Y173" s="50"/>
      <c r="Z173" s="50"/>
    </row>
    <row r="174">
      <c r="A174" s="52" t="s">
        <v>738</v>
      </c>
      <c r="B174" s="53" t="s">
        <v>739</v>
      </c>
      <c r="C174" s="66">
        <v>2022.0</v>
      </c>
      <c r="D174" s="53" t="s">
        <v>40</v>
      </c>
      <c r="E174" s="53" t="s">
        <v>70</v>
      </c>
      <c r="F174" s="52" t="s">
        <v>740</v>
      </c>
      <c r="G174" s="55">
        <v>46206.0</v>
      </c>
      <c r="H174" s="56" t="e">
        <v>#VALUE!</v>
      </c>
      <c r="I174" s="54" t="s">
        <v>741</v>
      </c>
      <c r="J174" s="86"/>
      <c r="K174" s="53" t="s">
        <v>742</v>
      </c>
      <c r="L174" s="54">
        <v>24784.0</v>
      </c>
      <c r="M174" s="58"/>
      <c r="N174" s="58"/>
      <c r="O174" s="58"/>
      <c r="P174" s="58"/>
      <c r="Q174" s="58"/>
      <c r="R174" s="58"/>
      <c r="S174" s="58"/>
      <c r="T174" s="58"/>
      <c r="U174" s="58"/>
      <c r="V174" s="58"/>
      <c r="W174" s="58"/>
      <c r="X174" s="58"/>
      <c r="Y174" s="58"/>
      <c r="Z174" s="58"/>
    </row>
    <row r="175">
      <c r="A175" s="45" t="s">
        <v>743</v>
      </c>
      <c r="B175" s="46" t="s">
        <v>744</v>
      </c>
      <c r="C175" s="50"/>
      <c r="D175" s="46" t="s">
        <v>14</v>
      </c>
      <c r="E175" s="46" t="s">
        <v>745</v>
      </c>
      <c r="F175" s="45" t="s">
        <v>746</v>
      </c>
      <c r="G175" s="48">
        <v>46059.0</v>
      </c>
      <c r="H175" s="49">
        <v>0.0</v>
      </c>
      <c r="I175" s="50" t="s">
        <v>37</v>
      </c>
      <c r="J175" s="65">
        <v>46059.0</v>
      </c>
      <c r="K175" s="46" t="s">
        <v>37</v>
      </c>
      <c r="L175" s="50"/>
      <c r="M175" s="50"/>
      <c r="N175" s="50"/>
      <c r="O175" s="50"/>
      <c r="P175" s="50"/>
      <c r="Q175" s="50"/>
      <c r="R175" s="50"/>
      <c r="S175" s="50"/>
      <c r="T175" s="50"/>
      <c r="U175" s="50"/>
      <c r="V175" s="50"/>
      <c r="W175" s="50"/>
      <c r="X175" s="50"/>
      <c r="Y175" s="50"/>
      <c r="Z175" s="50"/>
    </row>
    <row r="176">
      <c r="A176" s="59" t="s">
        <v>747</v>
      </c>
      <c r="B176" s="60" t="s">
        <v>748</v>
      </c>
      <c r="C176" s="58"/>
      <c r="D176" s="60" t="s">
        <v>14</v>
      </c>
      <c r="E176" s="60" t="s">
        <v>699</v>
      </c>
      <c r="F176" s="59" t="s">
        <v>749</v>
      </c>
      <c r="G176" s="62">
        <v>46059.0</v>
      </c>
      <c r="H176" s="56">
        <v>0.0</v>
      </c>
      <c r="I176" s="58" t="s">
        <v>37</v>
      </c>
      <c r="J176" s="63">
        <v>46059.0</v>
      </c>
      <c r="K176" s="60" t="s">
        <v>37</v>
      </c>
      <c r="L176" s="58"/>
      <c r="M176" s="58"/>
      <c r="N176" s="58"/>
      <c r="O176" s="58"/>
      <c r="P176" s="58"/>
      <c r="Q176" s="58"/>
      <c r="R176" s="58"/>
      <c r="S176" s="58"/>
      <c r="T176" s="58"/>
      <c r="U176" s="58"/>
      <c r="V176" s="58"/>
      <c r="W176" s="58"/>
      <c r="X176" s="58"/>
      <c r="Y176" s="58"/>
      <c r="Z176" s="58"/>
    </row>
    <row r="177">
      <c r="A177" s="45" t="s">
        <v>750</v>
      </c>
      <c r="B177" s="46" t="s">
        <v>94</v>
      </c>
      <c r="C177" s="47">
        <v>2022.0</v>
      </c>
      <c r="D177" s="46" t="s">
        <v>52</v>
      </c>
      <c r="E177" s="46" t="s">
        <v>95</v>
      </c>
      <c r="F177" s="45" t="s">
        <v>96</v>
      </c>
      <c r="G177" s="48">
        <v>46059.0</v>
      </c>
      <c r="H177" s="49">
        <v>0.0</v>
      </c>
      <c r="I177" s="50" t="s">
        <v>751</v>
      </c>
      <c r="J177" s="65">
        <v>46059.0</v>
      </c>
      <c r="K177" s="46" t="s">
        <v>751</v>
      </c>
      <c r="L177" s="50"/>
      <c r="M177" s="50"/>
      <c r="N177" s="50"/>
      <c r="O177" s="50"/>
      <c r="P177" s="50"/>
      <c r="Q177" s="50"/>
      <c r="R177" s="50"/>
      <c r="S177" s="50"/>
      <c r="T177" s="50"/>
      <c r="U177" s="50"/>
      <c r="V177" s="50"/>
      <c r="W177" s="50"/>
      <c r="X177" s="50"/>
      <c r="Y177" s="50"/>
      <c r="Z177" s="50"/>
    </row>
    <row r="178">
      <c r="A178" s="59" t="s">
        <v>752</v>
      </c>
      <c r="B178" s="60" t="s">
        <v>753</v>
      </c>
      <c r="C178" s="58"/>
      <c r="D178" s="60" t="s">
        <v>165</v>
      </c>
      <c r="E178" s="60" t="s">
        <v>745</v>
      </c>
      <c r="F178" s="59" t="s">
        <v>754</v>
      </c>
      <c r="G178" s="62">
        <v>46059.0</v>
      </c>
      <c r="H178" s="56">
        <v>12.0</v>
      </c>
      <c r="I178" s="58" t="s">
        <v>37</v>
      </c>
      <c r="J178" s="63">
        <v>46071.0</v>
      </c>
      <c r="K178" s="60" t="s">
        <v>37</v>
      </c>
      <c r="L178" s="58"/>
      <c r="M178" s="58"/>
      <c r="N178" s="58"/>
      <c r="O178" s="58"/>
      <c r="P178" s="58"/>
      <c r="Q178" s="58"/>
      <c r="R178" s="58"/>
      <c r="S178" s="58"/>
      <c r="T178" s="58"/>
      <c r="U178" s="58"/>
      <c r="V178" s="58"/>
      <c r="W178" s="58"/>
      <c r="X178" s="58"/>
      <c r="Y178" s="58"/>
      <c r="Z178" s="58"/>
    </row>
    <row r="179">
      <c r="A179" s="45" t="s">
        <v>755</v>
      </c>
      <c r="B179" s="46" t="s">
        <v>756</v>
      </c>
      <c r="C179" s="50"/>
      <c r="D179" s="46" t="s">
        <v>52</v>
      </c>
      <c r="E179" s="46" t="s">
        <v>87</v>
      </c>
      <c r="F179" s="45" t="s">
        <v>757</v>
      </c>
      <c r="G179" s="48">
        <v>46059.0</v>
      </c>
      <c r="H179" s="49">
        <v>3.0</v>
      </c>
      <c r="I179" s="50" t="s">
        <v>37</v>
      </c>
      <c r="J179" s="65">
        <v>46062.0</v>
      </c>
      <c r="K179" s="46" t="s">
        <v>37</v>
      </c>
      <c r="L179" s="50"/>
      <c r="M179" s="50"/>
      <c r="N179" s="50"/>
      <c r="O179" s="50"/>
      <c r="P179" s="50"/>
      <c r="Q179" s="50"/>
      <c r="R179" s="50"/>
      <c r="S179" s="50"/>
      <c r="T179" s="50"/>
      <c r="U179" s="50"/>
      <c r="V179" s="50"/>
      <c r="W179" s="50"/>
      <c r="X179" s="50"/>
      <c r="Y179" s="50"/>
      <c r="Z179" s="50"/>
    </row>
    <row r="180">
      <c r="A180" s="59" t="s">
        <v>758</v>
      </c>
      <c r="B180" s="60" t="s">
        <v>759</v>
      </c>
      <c r="C180" s="61">
        <v>2022.0</v>
      </c>
      <c r="D180" s="60" t="s">
        <v>52</v>
      </c>
      <c r="E180" s="60" t="s">
        <v>319</v>
      </c>
      <c r="F180" s="59" t="s">
        <v>760</v>
      </c>
      <c r="G180" s="62">
        <v>46059.0</v>
      </c>
      <c r="H180" s="56">
        <v>3.0</v>
      </c>
      <c r="I180" s="58" t="s">
        <v>56</v>
      </c>
      <c r="J180" s="63">
        <v>46062.0</v>
      </c>
      <c r="K180" s="60" t="s">
        <v>56</v>
      </c>
      <c r="L180" s="58"/>
      <c r="M180" s="58"/>
      <c r="N180" s="58"/>
      <c r="O180" s="58"/>
      <c r="P180" s="58"/>
      <c r="Q180" s="58"/>
      <c r="R180" s="58"/>
      <c r="S180" s="58"/>
      <c r="T180" s="58"/>
      <c r="U180" s="58"/>
      <c r="V180" s="58"/>
      <c r="W180" s="58"/>
      <c r="X180" s="58"/>
      <c r="Y180" s="58"/>
      <c r="Z180" s="58"/>
    </row>
    <row r="181">
      <c r="A181" s="45" t="s">
        <v>761</v>
      </c>
      <c r="B181" s="46" t="s">
        <v>94</v>
      </c>
      <c r="C181" s="47">
        <v>2022.0</v>
      </c>
      <c r="D181" s="46" t="s">
        <v>52</v>
      </c>
      <c r="E181" s="46" t="s">
        <v>95</v>
      </c>
      <c r="F181" s="45" t="s">
        <v>96</v>
      </c>
      <c r="G181" s="48">
        <v>46062.0</v>
      </c>
      <c r="H181" s="49">
        <v>0.0</v>
      </c>
      <c r="I181" s="50" t="s">
        <v>56</v>
      </c>
      <c r="J181" s="65">
        <v>46062.0</v>
      </c>
      <c r="K181" s="46" t="s">
        <v>56</v>
      </c>
      <c r="L181" s="50"/>
      <c r="M181" s="50"/>
      <c r="N181" s="50"/>
      <c r="O181" s="50"/>
      <c r="P181" s="50"/>
      <c r="Q181" s="50"/>
      <c r="R181" s="50"/>
      <c r="S181" s="50"/>
      <c r="T181" s="50"/>
      <c r="U181" s="50"/>
      <c r="V181" s="50"/>
      <c r="W181" s="50"/>
      <c r="X181" s="50"/>
      <c r="Y181" s="50"/>
      <c r="Z181" s="50"/>
    </row>
    <row r="182">
      <c r="A182" s="59" t="s">
        <v>762</v>
      </c>
      <c r="B182" s="60" t="s">
        <v>763</v>
      </c>
      <c r="C182" s="58"/>
      <c r="D182" s="60" t="s">
        <v>14</v>
      </c>
      <c r="E182" s="60" t="s">
        <v>764</v>
      </c>
      <c r="F182" s="59" t="s">
        <v>765</v>
      </c>
      <c r="G182" s="62">
        <v>46062.0</v>
      </c>
      <c r="H182" s="56">
        <v>94.0</v>
      </c>
      <c r="I182" s="58" t="s">
        <v>37</v>
      </c>
      <c r="J182" s="64"/>
      <c r="K182" s="60" t="s">
        <v>37</v>
      </c>
      <c r="L182" s="58"/>
      <c r="M182" s="58"/>
      <c r="N182" s="58"/>
      <c r="O182" s="58"/>
      <c r="P182" s="58"/>
      <c r="Q182" s="58"/>
      <c r="R182" s="58"/>
      <c r="S182" s="58"/>
      <c r="T182" s="58"/>
      <c r="U182" s="58"/>
      <c r="V182" s="58"/>
      <c r="W182" s="58"/>
      <c r="X182" s="58"/>
      <c r="Y182" s="58"/>
      <c r="Z182" s="58"/>
    </row>
    <row r="183">
      <c r="A183" s="45" t="s">
        <v>766</v>
      </c>
      <c r="B183" s="46" t="s">
        <v>767</v>
      </c>
      <c r="C183" s="47">
        <v>2022.0</v>
      </c>
      <c r="D183" s="46" t="s">
        <v>52</v>
      </c>
      <c r="E183" s="46" t="s">
        <v>125</v>
      </c>
      <c r="F183" s="45" t="s">
        <v>768</v>
      </c>
      <c r="G183" s="48">
        <v>46062.0</v>
      </c>
      <c r="H183" s="49">
        <v>3.0</v>
      </c>
      <c r="I183" s="50" t="s">
        <v>769</v>
      </c>
      <c r="J183" s="65">
        <v>46065.0</v>
      </c>
      <c r="K183" s="46" t="s">
        <v>56</v>
      </c>
      <c r="L183" s="50"/>
      <c r="M183" s="50"/>
      <c r="N183" s="50"/>
      <c r="O183" s="50"/>
      <c r="P183" s="50"/>
      <c r="Q183" s="50"/>
      <c r="R183" s="50"/>
      <c r="S183" s="50"/>
      <c r="T183" s="50"/>
      <c r="U183" s="50"/>
      <c r="V183" s="50"/>
      <c r="W183" s="50"/>
      <c r="X183" s="50"/>
      <c r="Y183" s="50"/>
      <c r="Z183" s="50"/>
    </row>
    <row r="184">
      <c r="A184" s="59" t="s">
        <v>770</v>
      </c>
      <c r="B184" s="60" t="s">
        <v>94</v>
      </c>
      <c r="C184" s="61">
        <v>2022.0</v>
      </c>
      <c r="D184" s="60" t="s">
        <v>52</v>
      </c>
      <c r="E184" s="60" t="s">
        <v>95</v>
      </c>
      <c r="F184" s="59" t="s">
        <v>96</v>
      </c>
      <c r="G184" s="62">
        <v>46062.0</v>
      </c>
      <c r="H184" s="56">
        <v>1.0</v>
      </c>
      <c r="I184" s="58" t="s">
        <v>771</v>
      </c>
      <c r="J184" s="63">
        <v>46063.0</v>
      </c>
      <c r="K184" s="60" t="s">
        <v>56</v>
      </c>
      <c r="L184" s="58"/>
      <c r="M184" s="58"/>
      <c r="N184" s="58"/>
      <c r="O184" s="58"/>
      <c r="P184" s="58"/>
      <c r="Q184" s="58"/>
      <c r="R184" s="58"/>
      <c r="S184" s="58"/>
      <c r="T184" s="58"/>
      <c r="U184" s="58"/>
      <c r="V184" s="58"/>
      <c r="W184" s="58"/>
      <c r="X184" s="58"/>
      <c r="Y184" s="58"/>
      <c r="Z184" s="58"/>
    </row>
    <row r="185">
      <c r="A185" s="45" t="s">
        <v>772</v>
      </c>
      <c r="B185" s="46" t="s">
        <v>680</v>
      </c>
      <c r="C185" s="50"/>
      <c r="D185" s="46" t="s">
        <v>14</v>
      </c>
      <c r="E185" s="46" t="s">
        <v>773</v>
      </c>
      <c r="F185" s="46" t="s">
        <v>682</v>
      </c>
      <c r="G185" s="48">
        <v>46063.0</v>
      </c>
      <c r="H185" s="49">
        <v>0.0</v>
      </c>
      <c r="I185" s="50" t="s">
        <v>84</v>
      </c>
      <c r="J185" s="65">
        <v>46063.0</v>
      </c>
      <c r="K185" s="46" t="s">
        <v>84</v>
      </c>
      <c r="L185" s="50"/>
      <c r="M185" s="50"/>
      <c r="N185" s="50"/>
      <c r="O185" s="50"/>
      <c r="P185" s="50"/>
      <c r="Q185" s="50"/>
      <c r="R185" s="50"/>
      <c r="S185" s="50"/>
      <c r="T185" s="50"/>
      <c r="U185" s="50"/>
      <c r="V185" s="50"/>
      <c r="W185" s="50"/>
      <c r="X185" s="50"/>
      <c r="Y185" s="50"/>
      <c r="Z185" s="50"/>
    </row>
    <row r="186">
      <c r="A186" s="59" t="s">
        <v>774</v>
      </c>
      <c r="B186" s="60" t="s">
        <v>775</v>
      </c>
      <c r="C186" s="58"/>
      <c r="D186" s="60" t="s">
        <v>52</v>
      </c>
      <c r="E186" s="60" t="s">
        <v>487</v>
      </c>
      <c r="F186" s="59" t="s">
        <v>776</v>
      </c>
      <c r="G186" s="62">
        <v>46063.0</v>
      </c>
      <c r="H186" s="56">
        <v>0.0</v>
      </c>
      <c r="I186" s="58" t="s">
        <v>17</v>
      </c>
      <c r="J186" s="63">
        <v>46063.0</v>
      </c>
      <c r="K186" s="60" t="s">
        <v>17</v>
      </c>
      <c r="L186" s="58"/>
      <c r="M186" s="58"/>
      <c r="N186" s="58"/>
      <c r="O186" s="58"/>
      <c r="P186" s="58"/>
      <c r="Q186" s="58"/>
      <c r="R186" s="58"/>
      <c r="S186" s="58"/>
      <c r="T186" s="58"/>
      <c r="U186" s="58"/>
      <c r="V186" s="58"/>
      <c r="W186" s="58"/>
      <c r="X186" s="58"/>
      <c r="Y186" s="58"/>
      <c r="Z186" s="58"/>
    </row>
    <row r="187">
      <c r="A187" s="76" t="s">
        <v>777</v>
      </c>
      <c r="B187" s="77" t="s">
        <v>778</v>
      </c>
      <c r="C187" s="78">
        <v>2013.0</v>
      </c>
      <c r="D187" s="77" t="s">
        <v>27</v>
      </c>
      <c r="E187" s="77" t="s">
        <v>183</v>
      </c>
      <c r="F187" s="76" t="s">
        <v>779</v>
      </c>
      <c r="G187" s="79">
        <v>46216.0</v>
      </c>
      <c r="H187" s="49">
        <v>1.0</v>
      </c>
      <c r="I187" s="80" t="s">
        <v>780</v>
      </c>
      <c r="J187" s="81">
        <v>46217.0</v>
      </c>
      <c r="K187" s="77" t="s">
        <v>44</v>
      </c>
      <c r="L187" s="80">
        <v>90823.0</v>
      </c>
      <c r="M187" s="50"/>
      <c r="N187" s="50"/>
      <c r="O187" s="50"/>
      <c r="P187" s="50"/>
      <c r="Q187" s="50"/>
      <c r="R187" s="50"/>
      <c r="S187" s="50"/>
      <c r="T187" s="50"/>
      <c r="U187" s="50"/>
      <c r="V187" s="50"/>
      <c r="W187" s="50"/>
      <c r="X187" s="50"/>
      <c r="Y187" s="50"/>
      <c r="Z187" s="50"/>
    </row>
    <row r="188">
      <c r="A188" s="59" t="s">
        <v>781</v>
      </c>
      <c r="B188" s="60" t="s">
        <v>782</v>
      </c>
      <c r="C188" s="61">
        <v>2018.0</v>
      </c>
      <c r="D188" s="60" t="s">
        <v>52</v>
      </c>
      <c r="E188" s="60" t="s">
        <v>106</v>
      </c>
      <c r="F188" s="59" t="s">
        <v>783</v>
      </c>
      <c r="G188" s="62">
        <v>46063.0</v>
      </c>
      <c r="H188" s="56">
        <v>0.0</v>
      </c>
      <c r="I188" s="58" t="s">
        <v>784</v>
      </c>
      <c r="J188" s="63">
        <v>46063.0</v>
      </c>
      <c r="K188" s="60" t="s">
        <v>56</v>
      </c>
      <c r="L188" s="58"/>
      <c r="M188" s="58"/>
      <c r="N188" s="58"/>
      <c r="O188" s="58"/>
      <c r="P188" s="58"/>
      <c r="Q188" s="58"/>
      <c r="R188" s="58"/>
      <c r="S188" s="58"/>
      <c r="T188" s="58"/>
      <c r="U188" s="58"/>
      <c r="V188" s="58"/>
      <c r="W188" s="58"/>
      <c r="X188" s="58"/>
      <c r="Y188" s="58"/>
      <c r="Z188" s="58"/>
    </row>
    <row r="189">
      <c r="A189" s="45" t="s">
        <v>785</v>
      </c>
      <c r="B189" s="46" t="s">
        <v>786</v>
      </c>
      <c r="C189" s="47">
        <v>2019.0</v>
      </c>
      <c r="D189" s="46" t="s">
        <v>75</v>
      </c>
      <c r="E189" s="46" t="s">
        <v>183</v>
      </c>
      <c r="F189" s="45" t="s">
        <v>787</v>
      </c>
      <c r="G189" s="48">
        <v>46063.0</v>
      </c>
      <c r="H189" s="49">
        <v>0.0</v>
      </c>
      <c r="I189" s="50" t="s">
        <v>84</v>
      </c>
      <c r="J189" s="65">
        <v>46063.0</v>
      </c>
      <c r="K189" s="46" t="s">
        <v>84</v>
      </c>
      <c r="L189" s="50"/>
      <c r="M189" s="50"/>
      <c r="N189" s="50"/>
      <c r="O189" s="50"/>
      <c r="P189" s="50"/>
      <c r="Q189" s="50"/>
      <c r="R189" s="50"/>
      <c r="S189" s="50"/>
      <c r="T189" s="50"/>
      <c r="U189" s="50"/>
      <c r="V189" s="50"/>
      <c r="W189" s="50"/>
      <c r="X189" s="50"/>
      <c r="Y189" s="50"/>
      <c r="Z189" s="50"/>
    </row>
    <row r="190">
      <c r="A190" s="59" t="s">
        <v>788</v>
      </c>
      <c r="B190" s="60" t="s">
        <v>789</v>
      </c>
      <c r="C190" s="58"/>
      <c r="D190" s="60" t="s">
        <v>447</v>
      </c>
      <c r="E190" s="60" t="s">
        <v>82</v>
      </c>
      <c r="F190" s="59" t="s">
        <v>544</v>
      </c>
      <c r="G190" s="62">
        <v>46063.0</v>
      </c>
      <c r="H190" s="56">
        <v>0.0</v>
      </c>
      <c r="I190" s="58" t="s">
        <v>56</v>
      </c>
      <c r="J190" s="63">
        <v>46063.0</v>
      </c>
      <c r="K190" s="60" t="s">
        <v>56</v>
      </c>
      <c r="L190" s="58"/>
      <c r="M190" s="58"/>
      <c r="N190" s="58"/>
      <c r="O190" s="58"/>
      <c r="P190" s="58"/>
      <c r="Q190" s="58"/>
      <c r="R190" s="58"/>
      <c r="S190" s="58"/>
      <c r="T190" s="58"/>
      <c r="U190" s="58"/>
      <c r="V190" s="58"/>
      <c r="W190" s="58"/>
      <c r="X190" s="58"/>
      <c r="Y190" s="58"/>
      <c r="Z190" s="58"/>
    </row>
    <row r="191">
      <c r="A191" s="76" t="s">
        <v>790</v>
      </c>
      <c r="B191" s="77" t="s">
        <v>791</v>
      </c>
      <c r="C191" s="78">
        <v>2022.0</v>
      </c>
      <c r="D191" s="77" t="s">
        <v>40</v>
      </c>
      <c r="E191" s="77" t="s">
        <v>792</v>
      </c>
      <c r="F191" s="76" t="s">
        <v>793</v>
      </c>
      <c r="G191" s="79">
        <v>46202.0</v>
      </c>
      <c r="H191" s="49">
        <v>10.0</v>
      </c>
      <c r="I191" s="80" t="s">
        <v>794</v>
      </c>
      <c r="J191" s="81">
        <v>46218.0</v>
      </c>
      <c r="K191" s="77" t="s">
        <v>114</v>
      </c>
      <c r="L191" s="80">
        <v>120099.0</v>
      </c>
      <c r="M191" s="50"/>
      <c r="N191" s="50"/>
      <c r="O191" s="50"/>
      <c r="P191" s="50"/>
      <c r="Q191" s="50"/>
      <c r="R191" s="50"/>
      <c r="S191" s="50"/>
      <c r="T191" s="50"/>
      <c r="U191" s="50"/>
      <c r="V191" s="50"/>
      <c r="W191" s="50"/>
      <c r="X191" s="50"/>
      <c r="Y191" s="50"/>
      <c r="Z191" s="50"/>
    </row>
    <row r="192">
      <c r="A192" s="59" t="s">
        <v>795</v>
      </c>
      <c r="B192" s="60" t="s">
        <v>796</v>
      </c>
      <c r="C192" s="58"/>
      <c r="D192" s="60" t="s">
        <v>14</v>
      </c>
      <c r="E192" s="60" t="s">
        <v>797</v>
      </c>
      <c r="F192" s="60" t="s">
        <v>798</v>
      </c>
      <c r="G192" s="62">
        <v>46063.0</v>
      </c>
      <c r="H192" s="56">
        <v>0.0</v>
      </c>
      <c r="I192" s="58" t="s">
        <v>37</v>
      </c>
      <c r="J192" s="63">
        <v>46063.0</v>
      </c>
      <c r="K192" s="60" t="s">
        <v>37</v>
      </c>
      <c r="L192" s="58"/>
      <c r="M192" s="58"/>
      <c r="N192" s="58"/>
      <c r="O192" s="58"/>
      <c r="P192" s="58"/>
      <c r="Q192" s="58"/>
      <c r="R192" s="58"/>
      <c r="S192" s="58"/>
      <c r="T192" s="58"/>
      <c r="U192" s="58"/>
      <c r="V192" s="58"/>
      <c r="W192" s="58"/>
      <c r="X192" s="58"/>
      <c r="Y192" s="58"/>
      <c r="Z192" s="58"/>
    </row>
    <row r="193">
      <c r="A193" s="45" t="s">
        <v>799</v>
      </c>
      <c r="B193" s="46" t="s">
        <v>664</v>
      </c>
      <c r="C193" s="47">
        <v>2014.0</v>
      </c>
      <c r="D193" s="46" t="s">
        <v>105</v>
      </c>
      <c r="E193" s="46" t="s">
        <v>169</v>
      </c>
      <c r="F193" s="45" t="s">
        <v>665</v>
      </c>
      <c r="G193" s="48">
        <v>46063.0</v>
      </c>
      <c r="H193" s="49">
        <v>93.0</v>
      </c>
      <c r="I193" s="50" t="s">
        <v>800</v>
      </c>
      <c r="J193" s="51"/>
      <c r="K193" s="46" t="s">
        <v>56</v>
      </c>
      <c r="L193" s="50"/>
      <c r="M193" s="50"/>
      <c r="N193" s="50"/>
      <c r="O193" s="50"/>
      <c r="P193" s="50"/>
      <c r="Q193" s="50"/>
      <c r="R193" s="50"/>
      <c r="S193" s="50"/>
      <c r="T193" s="50"/>
      <c r="U193" s="50"/>
      <c r="V193" s="50"/>
      <c r="W193" s="50"/>
      <c r="X193" s="50"/>
      <c r="Y193" s="50"/>
      <c r="Z193" s="50"/>
    </row>
    <row r="194">
      <c r="A194" s="59" t="s">
        <v>801</v>
      </c>
      <c r="B194" s="60" t="s">
        <v>172</v>
      </c>
      <c r="C194" s="61">
        <v>2022.0</v>
      </c>
      <c r="D194" s="60" t="s">
        <v>52</v>
      </c>
      <c r="E194" s="60" t="s">
        <v>802</v>
      </c>
      <c r="F194" s="59" t="s">
        <v>174</v>
      </c>
      <c r="G194" s="62">
        <v>46064.0</v>
      </c>
      <c r="H194" s="56">
        <v>0.0</v>
      </c>
      <c r="I194" s="58" t="s">
        <v>37</v>
      </c>
      <c r="J194" s="63">
        <v>46064.0</v>
      </c>
      <c r="K194" s="60" t="s">
        <v>37</v>
      </c>
      <c r="L194" s="58"/>
      <c r="M194" s="58"/>
      <c r="N194" s="58"/>
      <c r="O194" s="58"/>
      <c r="P194" s="58"/>
      <c r="Q194" s="58"/>
      <c r="R194" s="58"/>
      <c r="S194" s="58"/>
      <c r="T194" s="58"/>
      <c r="U194" s="58"/>
      <c r="V194" s="58"/>
      <c r="W194" s="58"/>
      <c r="X194" s="58"/>
      <c r="Y194" s="58"/>
      <c r="Z194" s="58"/>
    </row>
    <row r="195">
      <c r="A195" s="45" t="s">
        <v>803</v>
      </c>
      <c r="B195" s="46" t="s">
        <v>804</v>
      </c>
      <c r="C195" s="47">
        <v>2022.0</v>
      </c>
      <c r="D195" s="46" t="s">
        <v>52</v>
      </c>
      <c r="E195" s="46" t="s">
        <v>805</v>
      </c>
      <c r="F195" s="45" t="s">
        <v>806</v>
      </c>
      <c r="G195" s="48">
        <v>46064.0</v>
      </c>
      <c r="H195" s="49">
        <v>0.0</v>
      </c>
      <c r="I195" s="50" t="s">
        <v>807</v>
      </c>
      <c r="J195" s="65">
        <v>46064.0</v>
      </c>
      <c r="K195" s="46" t="s">
        <v>56</v>
      </c>
      <c r="L195" s="50"/>
      <c r="M195" s="50"/>
      <c r="N195" s="50"/>
      <c r="O195" s="50"/>
      <c r="P195" s="50"/>
      <c r="Q195" s="50"/>
      <c r="R195" s="50"/>
      <c r="S195" s="50"/>
      <c r="T195" s="50"/>
      <c r="U195" s="50"/>
      <c r="V195" s="50"/>
      <c r="W195" s="50"/>
      <c r="X195" s="50"/>
      <c r="Y195" s="50"/>
      <c r="Z195" s="50"/>
    </row>
    <row r="196">
      <c r="A196" s="59" t="s">
        <v>808</v>
      </c>
      <c r="B196" s="60" t="s">
        <v>809</v>
      </c>
      <c r="C196" s="58"/>
      <c r="D196" s="60" t="s">
        <v>52</v>
      </c>
      <c r="E196" s="60" t="s">
        <v>810</v>
      </c>
      <c r="F196" s="59" t="s">
        <v>811</v>
      </c>
      <c r="G196" s="62">
        <v>46065.0</v>
      </c>
      <c r="H196" s="56">
        <v>0.0</v>
      </c>
      <c r="I196" s="58" t="s">
        <v>17</v>
      </c>
      <c r="J196" s="63">
        <v>46065.0</v>
      </c>
      <c r="K196" s="60" t="s">
        <v>17</v>
      </c>
      <c r="L196" s="58"/>
      <c r="M196" s="58"/>
      <c r="N196" s="58"/>
      <c r="O196" s="58"/>
      <c r="P196" s="58"/>
      <c r="Q196" s="58"/>
      <c r="R196" s="58"/>
      <c r="S196" s="58"/>
      <c r="T196" s="58"/>
      <c r="U196" s="58"/>
      <c r="V196" s="58"/>
      <c r="W196" s="58"/>
      <c r="X196" s="58"/>
      <c r="Y196" s="58"/>
      <c r="Z196" s="58"/>
    </row>
    <row r="197">
      <c r="A197" s="45" t="s">
        <v>812</v>
      </c>
      <c r="B197" s="46" t="s">
        <v>813</v>
      </c>
      <c r="C197" s="50"/>
      <c r="D197" s="46" t="s">
        <v>814</v>
      </c>
      <c r="E197" s="46" t="s">
        <v>815</v>
      </c>
      <c r="F197" s="45" t="s">
        <v>816</v>
      </c>
      <c r="G197" s="48">
        <v>46065.0</v>
      </c>
      <c r="H197" s="49">
        <v>0.0</v>
      </c>
      <c r="I197" s="50" t="s">
        <v>17</v>
      </c>
      <c r="J197" s="65">
        <v>46065.0</v>
      </c>
      <c r="K197" s="46" t="s">
        <v>17</v>
      </c>
      <c r="L197" s="50"/>
      <c r="M197" s="50"/>
      <c r="N197" s="50"/>
      <c r="O197" s="50"/>
      <c r="P197" s="50"/>
      <c r="Q197" s="50"/>
      <c r="R197" s="50"/>
      <c r="S197" s="50"/>
      <c r="T197" s="50"/>
      <c r="U197" s="50"/>
      <c r="V197" s="50"/>
      <c r="W197" s="50"/>
      <c r="X197" s="50"/>
      <c r="Y197" s="50"/>
      <c r="Z197" s="50"/>
    </row>
    <row r="198">
      <c r="A198" s="59" t="s">
        <v>817</v>
      </c>
      <c r="B198" s="60" t="s">
        <v>39</v>
      </c>
      <c r="C198" s="61">
        <v>2022.0</v>
      </c>
      <c r="D198" s="60" t="s">
        <v>52</v>
      </c>
      <c r="E198" s="60" t="s">
        <v>41</v>
      </c>
      <c r="F198" s="59" t="s">
        <v>42</v>
      </c>
      <c r="G198" s="62">
        <v>46065.0</v>
      </c>
      <c r="H198" s="56">
        <v>0.0</v>
      </c>
      <c r="I198" s="58" t="s">
        <v>818</v>
      </c>
      <c r="J198" s="63">
        <v>46065.0</v>
      </c>
      <c r="K198" s="60" t="s">
        <v>56</v>
      </c>
      <c r="L198" s="58"/>
      <c r="M198" s="58"/>
      <c r="N198" s="58"/>
      <c r="O198" s="58"/>
      <c r="P198" s="58"/>
      <c r="Q198" s="58"/>
      <c r="R198" s="58"/>
      <c r="S198" s="58"/>
      <c r="T198" s="58"/>
      <c r="U198" s="58"/>
      <c r="V198" s="58"/>
      <c r="W198" s="58"/>
      <c r="X198" s="58"/>
      <c r="Y198" s="58"/>
      <c r="Z198" s="58"/>
    </row>
    <row r="199">
      <c r="A199" s="45" t="s">
        <v>819</v>
      </c>
      <c r="B199" s="46" t="s">
        <v>820</v>
      </c>
      <c r="C199" s="47">
        <v>2022.0</v>
      </c>
      <c r="D199" s="46" t="s">
        <v>52</v>
      </c>
      <c r="E199" s="46" t="s">
        <v>821</v>
      </c>
      <c r="F199" s="45" t="s">
        <v>822</v>
      </c>
      <c r="G199" s="48">
        <v>46065.0</v>
      </c>
      <c r="H199" s="49">
        <v>0.0</v>
      </c>
      <c r="I199" s="50" t="s">
        <v>823</v>
      </c>
      <c r="J199" s="65">
        <v>46065.0</v>
      </c>
      <c r="K199" s="46" t="s">
        <v>56</v>
      </c>
      <c r="L199" s="50"/>
      <c r="M199" s="50"/>
      <c r="N199" s="50"/>
      <c r="O199" s="50"/>
      <c r="P199" s="50"/>
      <c r="Q199" s="50"/>
      <c r="R199" s="50"/>
      <c r="S199" s="50"/>
      <c r="T199" s="50"/>
      <c r="U199" s="50"/>
      <c r="V199" s="50"/>
      <c r="W199" s="50"/>
      <c r="X199" s="50"/>
      <c r="Y199" s="50"/>
      <c r="Z199" s="50"/>
    </row>
    <row r="200">
      <c r="A200" s="59" t="s">
        <v>824</v>
      </c>
      <c r="B200" s="60" t="s">
        <v>825</v>
      </c>
      <c r="C200" s="61">
        <v>2022.0</v>
      </c>
      <c r="D200" s="60" t="s">
        <v>136</v>
      </c>
      <c r="E200" s="60" t="s">
        <v>826</v>
      </c>
      <c r="F200" s="59" t="s">
        <v>827</v>
      </c>
      <c r="G200" s="62">
        <v>46065.0</v>
      </c>
      <c r="H200" s="56">
        <v>0.0</v>
      </c>
      <c r="I200" s="58" t="s">
        <v>84</v>
      </c>
      <c r="J200" s="63">
        <v>46065.0</v>
      </c>
      <c r="K200" s="60" t="s">
        <v>84</v>
      </c>
      <c r="L200" s="58"/>
      <c r="M200" s="58"/>
      <c r="N200" s="58"/>
      <c r="O200" s="58"/>
      <c r="P200" s="58"/>
      <c r="Q200" s="58"/>
      <c r="R200" s="58"/>
      <c r="S200" s="58"/>
      <c r="T200" s="58"/>
      <c r="U200" s="58"/>
      <c r="V200" s="58"/>
      <c r="W200" s="58"/>
      <c r="X200" s="58"/>
      <c r="Y200" s="58"/>
      <c r="Z200" s="58"/>
    </row>
    <row r="201">
      <c r="A201" s="45" t="s">
        <v>828</v>
      </c>
      <c r="B201" s="46" t="s">
        <v>829</v>
      </c>
      <c r="C201" s="47">
        <v>2022.0</v>
      </c>
      <c r="D201" s="46" t="s">
        <v>52</v>
      </c>
      <c r="E201" s="46" t="s">
        <v>99</v>
      </c>
      <c r="F201" s="45" t="s">
        <v>830</v>
      </c>
      <c r="G201" s="48">
        <v>46065.0</v>
      </c>
      <c r="H201" s="49">
        <v>0.0</v>
      </c>
      <c r="I201" s="50" t="s">
        <v>831</v>
      </c>
      <c r="J201" s="65">
        <v>46065.0</v>
      </c>
      <c r="K201" s="46" t="s">
        <v>56</v>
      </c>
      <c r="L201" s="50"/>
      <c r="M201" s="50"/>
      <c r="N201" s="50"/>
      <c r="O201" s="50"/>
      <c r="P201" s="50"/>
      <c r="Q201" s="50"/>
      <c r="R201" s="50"/>
      <c r="S201" s="50"/>
      <c r="T201" s="50"/>
      <c r="U201" s="50"/>
      <c r="V201" s="50"/>
      <c r="W201" s="50"/>
      <c r="X201" s="50"/>
      <c r="Y201" s="50"/>
      <c r="Z201" s="50"/>
    </row>
    <row r="202">
      <c r="A202" s="59" t="s">
        <v>832</v>
      </c>
      <c r="B202" s="60" t="s">
        <v>833</v>
      </c>
      <c r="C202" s="58"/>
      <c r="D202" s="60" t="s">
        <v>52</v>
      </c>
      <c r="E202" s="60" t="s">
        <v>834</v>
      </c>
      <c r="F202" s="59" t="s">
        <v>835</v>
      </c>
      <c r="G202" s="62">
        <v>46065.0</v>
      </c>
      <c r="H202" s="56">
        <v>0.0</v>
      </c>
      <c r="I202" s="58" t="s">
        <v>37</v>
      </c>
      <c r="J202" s="63">
        <v>46065.0</v>
      </c>
      <c r="K202" s="60" t="s">
        <v>37</v>
      </c>
      <c r="L202" s="58"/>
      <c r="M202" s="58"/>
      <c r="N202" s="58"/>
      <c r="O202" s="58"/>
      <c r="P202" s="58"/>
      <c r="Q202" s="58"/>
      <c r="R202" s="58"/>
      <c r="S202" s="58"/>
      <c r="T202" s="58"/>
      <c r="U202" s="58"/>
      <c r="V202" s="58"/>
      <c r="W202" s="58"/>
      <c r="X202" s="58"/>
      <c r="Y202" s="58"/>
      <c r="Z202" s="58"/>
    </row>
    <row r="203">
      <c r="A203" s="45" t="s">
        <v>836</v>
      </c>
      <c r="B203" s="46" t="s">
        <v>837</v>
      </c>
      <c r="C203" s="47">
        <v>2022.0</v>
      </c>
      <c r="D203" s="46" t="s">
        <v>52</v>
      </c>
      <c r="E203" s="46" t="s">
        <v>183</v>
      </c>
      <c r="F203" s="45" t="s">
        <v>838</v>
      </c>
      <c r="G203" s="48">
        <v>46065.0</v>
      </c>
      <c r="H203" s="49">
        <v>0.0</v>
      </c>
      <c r="I203" s="50" t="s">
        <v>839</v>
      </c>
      <c r="J203" s="65">
        <v>46065.0</v>
      </c>
      <c r="K203" s="46" t="s">
        <v>56</v>
      </c>
      <c r="L203" s="50"/>
      <c r="M203" s="50"/>
      <c r="N203" s="50"/>
      <c r="O203" s="50"/>
      <c r="P203" s="50"/>
      <c r="Q203" s="50"/>
      <c r="R203" s="50"/>
      <c r="S203" s="50"/>
      <c r="T203" s="50"/>
      <c r="U203" s="50"/>
      <c r="V203" s="50"/>
      <c r="W203" s="50"/>
      <c r="X203" s="50"/>
      <c r="Y203" s="50"/>
      <c r="Z203" s="50"/>
    </row>
    <row r="204">
      <c r="A204" s="59" t="s">
        <v>840</v>
      </c>
      <c r="B204" s="60" t="s">
        <v>705</v>
      </c>
      <c r="C204" s="61">
        <v>2022.0</v>
      </c>
      <c r="D204" s="60" t="s">
        <v>52</v>
      </c>
      <c r="E204" s="60" t="s">
        <v>169</v>
      </c>
      <c r="F204" s="59" t="s">
        <v>706</v>
      </c>
      <c r="G204" s="62">
        <v>46065.0</v>
      </c>
      <c r="H204" s="56">
        <v>0.0</v>
      </c>
      <c r="I204" s="58" t="s">
        <v>841</v>
      </c>
      <c r="J204" s="63">
        <v>46065.0</v>
      </c>
      <c r="K204" s="60" t="s">
        <v>56</v>
      </c>
      <c r="L204" s="58"/>
      <c r="M204" s="58"/>
      <c r="N204" s="58"/>
      <c r="O204" s="58"/>
      <c r="P204" s="58"/>
      <c r="Q204" s="58"/>
      <c r="R204" s="58"/>
      <c r="S204" s="58"/>
      <c r="T204" s="58"/>
      <c r="U204" s="58"/>
      <c r="V204" s="58"/>
      <c r="W204" s="58"/>
      <c r="X204" s="58"/>
      <c r="Y204" s="58"/>
      <c r="Z204" s="58"/>
    </row>
    <row r="205">
      <c r="A205" s="45" t="s">
        <v>842</v>
      </c>
      <c r="B205" s="46" t="s">
        <v>843</v>
      </c>
      <c r="C205" s="50"/>
      <c r="D205" s="46" t="s">
        <v>14</v>
      </c>
      <c r="E205" s="46" t="s">
        <v>844</v>
      </c>
      <c r="F205" s="45" t="s">
        <v>845</v>
      </c>
      <c r="G205" s="48">
        <v>46066.0</v>
      </c>
      <c r="H205" s="49">
        <v>0.0</v>
      </c>
      <c r="I205" s="50" t="s">
        <v>17</v>
      </c>
      <c r="J205" s="65">
        <v>46066.0</v>
      </c>
      <c r="K205" s="46" t="s">
        <v>17</v>
      </c>
      <c r="L205" s="50"/>
      <c r="M205" s="50"/>
      <c r="N205" s="50"/>
      <c r="O205" s="50"/>
      <c r="P205" s="50"/>
      <c r="Q205" s="50"/>
      <c r="R205" s="50"/>
      <c r="S205" s="50"/>
      <c r="T205" s="50"/>
      <c r="U205" s="50"/>
      <c r="V205" s="50"/>
      <c r="W205" s="50"/>
      <c r="X205" s="50"/>
      <c r="Y205" s="50"/>
      <c r="Z205" s="50"/>
    </row>
    <row r="206">
      <c r="A206" s="59" t="s">
        <v>846</v>
      </c>
      <c r="B206" s="60" t="s">
        <v>691</v>
      </c>
      <c r="C206" s="58"/>
      <c r="D206" s="60" t="s">
        <v>165</v>
      </c>
      <c r="E206" s="60" t="s">
        <v>847</v>
      </c>
      <c r="F206" s="59" t="s">
        <v>692</v>
      </c>
      <c r="G206" s="62">
        <v>46066.0</v>
      </c>
      <c r="H206" s="56">
        <v>4.0</v>
      </c>
      <c r="I206" s="58" t="s">
        <v>37</v>
      </c>
      <c r="J206" s="63">
        <v>46070.0</v>
      </c>
      <c r="K206" s="60" t="s">
        <v>37</v>
      </c>
      <c r="L206" s="58"/>
      <c r="M206" s="58"/>
      <c r="N206" s="58"/>
      <c r="O206" s="58"/>
      <c r="P206" s="58"/>
      <c r="Q206" s="58"/>
      <c r="R206" s="58"/>
      <c r="S206" s="58"/>
      <c r="T206" s="58"/>
      <c r="U206" s="58"/>
      <c r="V206" s="58"/>
      <c r="W206" s="58"/>
      <c r="X206" s="58"/>
      <c r="Y206" s="58"/>
      <c r="Z206" s="58"/>
    </row>
    <row r="207">
      <c r="A207" s="45" t="s">
        <v>848</v>
      </c>
      <c r="B207" s="46" t="s">
        <v>687</v>
      </c>
      <c r="C207" s="50"/>
      <c r="D207" s="46" t="s">
        <v>165</v>
      </c>
      <c r="E207" s="46" t="s">
        <v>847</v>
      </c>
      <c r="F207" s="46" t="s">
        <v>849</v>
      </c>
      <c r="G207" s="48">
        <v>46066.0</v>
      </c>
      <c r="H207" s="49">
        <v>4.0</v>
      </c>
      <c r="I207" s="50" t="s">
        <v>37</v>
      </c>
      <c r="J207" s="65">
        <v>46070.0</v>
      </c>
      <c r="K207" s="46" t="s">
        <v>37</v>
      </c>
      <c r="L207" s="50"/>
      <c r="M207" s="50"/>
      <c r="N207" s="50"/>
      <c r="O207" s="50"/>
      <c r="P207" s="50"/>
      <c r="Q207" s="50"/>
      <c r="R207" s="50"/>
      <c r="S207" s="50"/>
      <c r="T207" s="50"/>
      <c r="U207" s="50"/>
      <c r="V207" s="50"/>
      <c r="W207" s="50"/>
      <c r="X207" s="50"/>
      <c r="Y207" s="50"/>
      <c r="Z207" s="50"/>
    </row>
    <row r="208">
      <c r="A208" s="59" t="s">
        <v>850</v>
      </c>
      <c r="B208" s="60" t="s">
        <v>98</v>
      </c>
      <c r="C208" s="61">
        <v>2022.0</v>
      </c>
      <c r="D208" s="60" t="s">
        <v>52</v>
      </c>
      <c r="E208" s="60" t="s">
        <v>95</v>
      </c>
      <c r="F208" s="59" t="s">
        <v>100</v>
      </c>
      <c r="G208" s="62">
        <v>46066.0</v>
      </c>
      <c r="H208" s="56">
        <v>0.0</v>
      </c>
      <c r="I208" s="58" t="s">
        <v>56</v>
      </c>
      <c r="J208" s="63">
        <v>46066.0</v>
      </c>
      <c r="K208" s="60" t="s">
        <v>56</v>
      </c>
      <c r="L208" s="58"/>
      <c r="M208" s="58"/>
      <c r="N208" s="58"/>
      <c r="O208" s="58"/>
      <c r="P208" s="58"/>
      <c r="Q208" s="58"/>
      <c r="R208" s="58"/>
      <c r="S208" s="58"/>
      <c r="T208" s="58"/>
      <c r="U208" s="58"/>
      <c r="V208" s="58"/>
      <c r="W208" s="58"/>
      <c r="X208" s="58"/>
      <c r="Y208" s="58"/>
      <c r="Z208" s="58"/>
    </row>
    <row r="209">
      <c r="A209" s="45" t="s">
        <v>851</v>
      </c>
      <c r="B209" s="46" t="s">
        <v>705</v>
      </c>
      <c r="C209" s="47">
        <v>2022.0</v>
      </c>
      <c r="D209" s="46" t="s">
        <v>52</v>
      </c>
      <c r="E209" s="46" t="s">
        <v>169</v>
      </c>
      <c r="F209" s="45" t="s">
        <v>706</v>
      </c>
      <c r="G209" s="48">
        <v>46066.0</v>
      </c>
      <c r="H209" s="49">
        <v>0.0</v>
      </c>
      <c r="I209" s="50" t="s">
        <v>852</v>
      </c>
      <c r="J209" s="65">
        <v>46066.0</v>
      </c>
      <c r="K209" s="46" t="s">
        <v>56</v>
      </c>
      <c r="L209" s="50"/>
      <c r="M209" s="50"/>
      <c r="N209" s="50"/>
      <c r="O209" s="50"/>
      <c r="P209" s="50"/>
      <c r="Q209" s="50"/>
      <c r="R209" s="50"/>
      <c r="S209" s="50"/>
      <c r="T209" s="50"/>
      <c r="U209" s="50"/>
      <c r="V209" s="50"/>
      <c r="W209" s="50"/>
      <c r="X209" s="50"/>
      <c r="Y209" s="50"/>
      <c r="Z209" s="50"/>
    </row>
    <row r="210">
      <c r="A210" s="59" t="s">
        <v>853</v>
      </c>
      <c r="B210" s="60" t="s">
        <v>854</v>
      </c>
      <c r="C210" s="61">
        <v>2022.0</v>
      </c>
      <c r="D210" s="60" t="s">
        <v>52</v>
      </c>
      <c r="E210" s="60" t="s">
        <v>855</v>
      </c>
      <c r="F210" s="59" t="s">
        <v>856</v>
      </c>
      <c r="G210" s="62">
        <v>46066.0</v>
      </c>
      <c r="H210" s="56">
        <v>0.0</v>
      </c>
      <c r="I210" s="58" t="s">
        <v>857</v>
      </c>
      <c r="J210" s="63">
        <v>46066.0</v>
      </c>
      <c r="K210" s="60" t="s">
        <v>56</v>
      </c>
      <c r="L210" s="58"/>
      <c r="M210" s="58"/>
      <c r="N210" s="58"/>
      <c r="O210" s="58"/>
      <c r="P210" s="58"/>
      <c r="Q210" s="58"/>
      <c r="R210" s="58"/>
      <c r="S210" s="58"/>
      <c r="T210" s="58"/>
      <c r="U210" s="58"/>
      <c r="V210" s="58"/>
      <c r="W210" s="58"/>
      <c r="X210" s="58"/>
      <c r="Y210" s="58"/>
      <c r="Z210" s="58"/>
    </row>
    <row r="211">
      <c r="A211" s="76" t="s">
        <v>858</v>
      </c>
      <c r="B211" s="77" t="s">
        <v>859</v>
      </c>
      <c r="C211" s="78">
        <v>2020.0</v>
      </c>
      <c r="D211" s="77" t="s">
        <v>239</v>
      </c>
      <c r="E211" s="77" t="s">
        <v>860</v>
      </c>
      <c r="F211" s="76" t="s">
        <v>861</v>
      </c>
      <c r="G211" s="79">
        <v>46157.0</v>
      </c>
      <c r="H211" s="49">
        <v>0.0</v>
      </c>
      <c r="I211" s="80" t="s">
        <v>862</v>
      </c>
      <c r="J211" s="81">
        <v>46157.0</v>
      </c>
      <c r="K211" s="77" t="s">
        <v>24</v>
      </c>
      <c r="L211" s="80">
        <v>166137.0</v>
      </c>
      <c r="M211" s="50"/>
      <c r="N211" s="50"/>
      <c r="O211" s="50"/>
      <c r="P211" s="50"/>
      <c r="Q211" s="50"/>
      <c r="R211" s="50"/>
      <c r="S211" s="50"/>
      <c r="T211" s="50"/>
      <c r="U211" s="50"/>
      <c r="V211" s="50"/>
      <c r="W211" s="50"/>
      <c r="X211" s="50"/>
      <c r="Y211" s="50"/>
      <c r="Z211" s="50"/>
    </row>
    <row r="212">
      <c r="A212" s="59" t="s">
        <v>863</v>
      </c>
      <c r="B212" s="60" t="s">
        <v>129</v>
      </c>
      <c r="C212" s="61">
        <v>2014.0</v>
      </c>
      <c r="D212" s="60" t="s">
        <v>52</v>
      </c>
      <c r="E212" s="60" t="s">
        <v>125</v>
      </c>
      <c r="F212" s="59" t="s">
        <v>132</v>
      </c>
      <c r="G212" s="62">
        <v>46066.0</v>
      </c>
      <c r="H212" s="56">
        <v>5.0</v>
      </c>
      <c r="I212" s="58" t="s">
        <v>668</v>
      </c>
      <c r="J212" s="63">
        <v>46071.0</v>
      </c>
      <c r="K212" s="60" t="s">
        <v>56</v>
      </c>
      <c r="L212" s="58"/>
      <c r="M212" s="58"/>
      <c r="N212" s="58"/>
      <c r="O212" s="58"/>
      <c r="P212" s="58"/>
      <c r="Q212" s="58"/>
      <c r="R212" s="58"/>
      <c r="S212" s="58"/>
      <c r="T212" s="58"/>
      <c r="U212" s="58"/>
      <c r="V212" s="58"/>
      <c r="W212" s="58"/>
      <c r="X212" s="58"/>
      <c r="Y212" s="58"/>
      <c r="Z212" s="58"/>
    </row>
    <row r="213">
      <c r="A213" s="45" t="s">
        <v>864</v>
      </c>
      <c r="B213" s="46" t="s">
        <v>865</v>
      </c>
      <c r="C213" s="50"/>
      <c r="D213" s="46" t="s">
        <v>130</v>
      </c>
      <c r="E213" s="46" t="s">
        <v>866</v>
      </c>
      <c r="F213" s="45" t="s">
        <v>867</v>
      </c>
      <c r="G213" s="48">
        <v>46066.0</v>
      </c>
      <c r="H213" s="49">
        <v>0.0</v>
      </c>
      <c r="I213" s="50" t="s">
        <v>56</v>
      </c>
      <c r="J213" s="65">
        <v>46066.0</v>
      </c>
      <c r="K213" s="46" t="s">
        <v>56</v>
      </c>
      <c r="L213" s="50"/>
      <c r="M213" s="50"/>
      <c r="N213" s="50"/>
      <c r="O213" s="50"/>
      <c r="P213" s="50"/>
      <c r="Q213" s="50"/>
      <c r="R213" s="50"/>
      <c r="S213" s="50"/>
      <c r="T213" s="50"/>
      <c r="U213" s="50"/>
      <c r="V213" s="50"/>
      <c r="W213" s="50"/>
      <c r="X213" s="50"/>
      <c r="Y213" s="50"/>
      <c r="Z213" s="50"/>
    </row>
    <row r="214">
      <c r="A214" s="59" t="s">
        <v>868</v>
      </c>
      <c r="B214" s="60" t="s">
        <v>869</v>
      </c>
      <c r="C214" s="61">
        <v>2022.0</v>
      </c>
      <c r="D214" s="60" t="s">
        <v>14</v>
      </c>
      <c r="E214" s="60" t="s">
        <v>70</v>
      </c>
      <c r="F214" s="59" t="s">
        <v>870</v>
      </c>
      <c r="G214" s="62">
        <v>46066.0</v>
      </c>
      <c r="H214" s="56">
        <v>0.0</v>
      </c>
      <c r="I214" s="58" t="s">
        <v>871</v>
      </c>
      <c r="J214" s="63">
        <v>46066.0</v>
      </c>
      <c r="K214" s="60" t="s">
        <v>56</v>
      </c>
      <c r="L214" s="58"/>
      <c r="M214" s="58"/>
      <c r="N214" s="58"/>
      <c r="O214" s="58"/>
      <c r="P214" s="58"/>
      <c r="Q214" s="58"/>
      <c r="R214" s="58"/>
      <c r="S214" s="58"/>
      <c r="T214" s="58"/>
      <c r="U214" s="58"/>
      <c r="V214" s="58"/>
      <c r="W214" s="58"/>
      <c r="X214" s="58"/>
      <c r="Y214" s="58"/>
      <c r="Z214" s="58"/>
    </row>
    <row r="215">
      <c r="A215" s="45" t="s">
        <v>872</v>
      </c>
      <c r="B215" s="46" t="s">
        <v>820</v>
      </c>
      <c r="C215" s="47">
        <v>2022.0</v>
      </c>
      <c r="D215" s="46" t="s">
        <v>52</v>
      </c>
      <c r="E215" s="46" t="s">
        <v>873</v>
      </c>
      <c r="F215" s="45" t="s">
        <v>822</v>
      </c>
      <c r="G215" s="48">
        <v>46066.0</v>
      </c>
      <c r="H215" s="49">
        <v>0.0</v>
      </c>
      <c r="I215" s="50" t="s">
        <v>56</v>
      </c>
      <c r="J215" s="65">
        <v>46066.0</v>
      </c>
      <c r="K215" s="46" t="s">
        <v>56</v>
      </c>
      <c r="L215" s="50"/>
      <c r="M215" s="50"/>
      <c r="N215" s="50"/>
      <c r="O215" s="50"/>
      <c r="P215" s="50"/>
      <c r="Q215" s="50"/>
      <c r="R215" s="50"/>
      <c r="S215" s="50"/>
      <c r="T215" s="50"/>
      <c r="U215" s="50"/>
      <c r="V215" s="50"/>
      <c r="W215" s="50"/>
      <c r="X215" s="50"/>
      <c r="Y215" s="50"/>
      <c r="Z215" s="50"/>
    </row>
    <row r="216">
      <c r="A216" s="59" t="s">
        <v>874</v>
      </c>
      <c r="B216" s="60" t="s">
        <v>875</v>
      </c>
      <c r="C216" s="61">
        <v>2022.0</v>
      </c>
      <c r="D216" s="60" t="s">
        <v>52</v>
      </c>
      <c r="E216" s="60" t="s">
        <v>547</v>
      </c>
      <c r="F216" s="59" t="s">
        <v>876</v>
      </c>
      <c r="G216" s="62">
        <v>46066.0</v>
      </c>
      <c r="H216" s="56">
        <v>0.0</v>
      </c>
      <c r="I216" s="58" t="s">
        <v>877</v>
      </c>
      <c r="J216" s="87">
        <v>46066.0</v>
      </c>
      <c r="K216" s="60" t="s">
        <v>56</v>
      </c>
      <c r="L216" s="58"/>
      <c r="M216" s="58"/>
      <c r="N216" s="58"/>
      <c r="O216" s="58"/>
      <c r="P216" s="58"/>
      <c r="Q216" s="58"/>
      <c r="R216" s="58"/>
      <c r="S216" s="58"/>
      <c r="T216" s="58"/>
      <c r="U216" s="58"/>
      <c r="V216" s="58"/>
      <c r="W216" s="58"/>
      <c r="X216" s="58"/>
      <c r="Y216" s="58"/>
      <c r="Z216" s="58"/>
    </row>
    <row r="217">
      <c r="A217" s="76" t="s">
        <v>878</v>
      </c>
      <c r="B217" s="77" t="s">
        <v>879</v>
      </c>
      <c r="C217" s="78">
        <v>2018.0</v>
      </c>
      <c r="D217" s="77" t="s">
        <v>182</v>
      </c>
      <c r="E217" s="77" t="s">
        <v>277</v>
      </c>
      <c r="F217" s="76" t="s">
        <v>880</v>
      </c>
      <c r="G217" s="79">
        <v>46218.0</v>
      </c>
      <c r="H217" s="49">
        <v>3.0</v>
      </c>
      <c r="I217" s="80" t="s">
        <v>881</v>
      </c>
      <c r="J217" s="81">
        <v>46220.0</v>
      </c>
      <c r="K217" s="77" t="s">
        <v>44</v>
      </c>
      <c r="L217" s="80">
        <v>34235.0</v>
      </c>
      <c r="M217" s="50"/>
      <c r="N217" s="50"/>
      <c r="O217" s="50"/>
      <c r="P217" s="50"/>
      <c r="Q217" s="50"/>
      <c r="R217" s="50"/>
      <c r="S217" s="50"/>
      <c r="T217" s="50"/>
      <c r="U217" s="50"/>
      <c r="V217" s="50"/>
      <c r="W217" s="50"/>
      <c r="X217" s="50"/>
      <c r="Y217" s="50"/>
      <c r="Z217" s="50"/>
    </row>
    <row r="218">
      <c r="A218" s="52" t="s">
        <v>882</v>
      </c>
      <c r="B218" s="53" t="s">
        <v>883</v>
      </c>
      <c r="C218" s="66">
        <v>2014.0</v>
      </c>
      <c r="D218" s="53" t="s">
        <v>251</v>
      </c>
      <c r="E218" s="53" t="s">
        <v>884</v>
      </c>
      <c r="F218" s="52" t="s">
        <v>885</v>
      </c>
      <c r="G218" s="55">
        <v>46192.0</v>
      </c>
      <c r="H218" s="56">
        <v>6.0</v>
      </c>
      <c r="I218" s="54" t="s">
        <v>886</v>
      </c>
      <c r="J218" s="84">
        <v>46192.0</v>
      </c>
      <c r="K218" s="53" t="s">
        <v>31</v>
      </c>
      <c r="L218" s="54">
        <v>187237.0</v>
      </c>
      <c r="M218" s="58"/>
      <c r="N218" s="58"/>
      <c r="O218" s="58"/>
      <c r="P218" s="58"/>
      <c r="Q218" s="58"/>
      <c r="R218" s="58"/>
      <c r="S218" s="58"/>
      <c r="T218" s="58"/>
      <c r="U218" s="58"/>
      <c r="V218" s="58"/>
      <c r="W218" s="58"/>
      <c r="X218" s="58"/>
      <c r="Y218" s="58"/>
      <c r="Z218" s="58"/>
    </row>
    <row r="219">
      <c r="A219" s="45" t="s">
        <v>887</v>
      </c>
      <c r="B219" s="46" t="s">
        <v>888</v>
      </c>
      <c r="C219" s="50"/>
      <c r="D219" s="46" t="s">
        <v>14</v>
      </c>
      <c r="E219" s="46" t="s">
        <v>889</v>
      </c>
      <c r="F219" s="45" t="s">
        <v>890</v>
      </c>
      <c r="G219" s="48">
        <v>46070.0</v>
      </c>
      <c r="H219" s="49">
        <v>0.0</v>
      </c>
      <c r="I219" s="50" t="s">
        <v>37</v>
      </c>
      <c r="J219" s="65">
        <v>46070.0</v>
      </c>
      <c r="K219" s="46" t="s">
        <v>37</v>
      </c>
      <c r="L219" s="50"/>
      <c r="M219" s="50"/>
      <c r="N219" s="50"/>
      <c r="O219" s="50"/>
      <c r="P219" s="50"/>
      <c r="Q219" s="50"/>
      <c r="R219" s="50"/>
      <c r="S219" s="50"/>
      <c r="T219" s="50"/>
      <c r="U219" s="50"/>
      <c r="V219" s="50"/>
      <c r="W219" s="50"/>
      <c r="X219" s="50"/>
      <c r="Y219" s="50"/>
      <c r="Z219" s="50"/>
    </row>
    <row r="220">
      <c r="A220" s="59" t="s">
        <v>891</v>
      </c>
      <c r="B220" s="60" t="s">
        <v>892</v>
      </c>
      <c r="C220" s="58"/>
      <c r="D220" s="60" t="s">
        <v>165</v>
      </c>
      <c r="E220" s="60" t="s">
        <v>834</v>
      </c>
      <c r="F220" s="59" t="s">
        <v>893</v>
      </c>
      <c r="G220" s="62">
        <v>46070.0</v>
      </c>
      <c r="H220" s="56">
        <v>0.0</v>
      </c>
      <c r="I220" s="58" t="s">
        <v>37</v>
      </c>
      <c r="J220" s="63">
        <v>46070.0</v>
      </c>
      <c r="K220" s="60" t="s">
        <v>37</v>
      </c>
      <c r="L220" s="58"/>
      <c r="M220" s="58"/>
      <c r="N220" s="58"/>
      <c r="O220" s="58"/>
      <c r="P220" s="58"/>
      <c r="Q220" s="58"/>
      <c r="R220" s="58"/>
      <c r="S220" s="58"/>
      <c r="T220" s="58"/>
      <c r="U220" s="58"/>
      <c r="V220" s="58"/>
      <c r="W220" s="58"/>
      <c r="X220" s="58"/>
      <c r="Y220" s="58"/>
      <c r="Z220" s="58"/>
    </row>
    <row r="221">
      <c r="A221" s="45" t="s">
        <v>894</v>
      </c>
      <c r="B221" s="46" t="s">
        <v>895</v>
      </c>
      <c r="C221" s="50"/>
      <c r="D221" s="46" t="s">
        <v>896</v>
      </c>
      <c r="E221" s="46" t="s">
        <v>160</v>
      </c>
      <c r="F221" s="45" t="s">
        <v>897</v>
      </c>
      <c r="G221" s="48">
        <v>46070.0</v>
      </c>
      <c r="H221" s="49">
        <v>86.0</v>
      </c>
      <c r="I221" s="50" t="s">
        <v>56</v>
      </c>
      <c r="J221" s="51"/>
      <c r="K221" s="46" t="s">
        <v>56</v>
      </c>
      <c r="L221" s="50"/>
      <c r="M221" s="50"/>
      <c r="N221" s="50"/>
      <c r="O221" s="50"/>
      <c r="P221" s="50"/>
      <c r="Q221" s="50"/>
      <c r="R221" s="50"/>
      <c r="S221" s="50"/>
      <c r="T221" s="50"/>
      <c r="U221" s="50"/>
      <c r="V221" s="50"/>
      <c r="W221" s="50"/>
      <c r="X221" s="50"/>
      <c r="Y221" s="50"/>
      <c r="Z221" s="50"/>
    </row>
    <row r="222">
      <c r="A222" s="59" t="s">
        <v>898</v>
      </c>
      <c r="B222" s="60" t="s">
        <v>759</v>
      </c>
      <c r="C222" s="61">
        <v>2022.0</v>
      </c>
      <c r="D222" s="60" t="s">
        <v>52</v>
      </c>
      <c r="E222" s="60" t="s">
        <v>805</v>
      </c>
      <c r="F222" s="59" t="s">
        <v>760</v>
      </c>
      <c r="G222" s="62">
        <v>46070.0</v>
      </c>
      <c r="H222" s="56">
        <v>0.0</v>
      </c>
      <c r="I222" s="58" t="s">
        <v>899</v>
      </c>
      <c r="J222" s="63">
        <v>46070.0</v>
      </c>
      <c r="K222" s="60" t="s">
        <v>56</v>
      </c>
      <c r="L222" s="58"/>
      <c r="M222" s="58"/>
      <c r="N222" s="58"/>
      <c r="O222" s="58"/>
      <c r="P222" s="58"/>
      <c r="Q222" s="58"/>
      <c r="R222" s="58"/>
      <c r="S222" s="58"/>
      <c r="T222" s="58"/>
      <c r="U222" s="58"/>
      <c r="V222" s="58"/>
      <c r="W222" s="58"/>
      <c r="X222" s="58"/>
      <c r="Y222" s="58"/>
      <c r="Z222" s="58"/>
    </row>
    <row r="223">
      <c r="A223" s="45" t="s">
        <v>900</v>
      </c>
      <c r="B223" s="46" t="s">
        <v>901</v>
      </c>
      <c r="C223" s="50"/>
      <c r="D223" s="46" t="s">
        <v>902</v>
      </c>
      <c r="E223" s="46" t="s">
        <v>903</v>
      </c>
      <c r="F223" s="45" t="s">
        <v>904</v>
      </c>
      <c r="G223" s="48">
        <v>46071.0</v>
      </c>
      <c r="H223" s="49">
        <v>0.0</v>
      </c>
      <c r="I223" s="50" t="s">
        <v>733</v>
      </c>
      <c r="J223" s="65">
        <v>46071.0</v>
      </c>
      <c r="K223" s="46" t="s">
        <v>733</v>
      </c>
      <c r="L223" s="50"/>
      <c r="M223" s="50"/>
      <c r="N223" s="50"/>
      <c r="O223" s="50"/>
      <c r="P223" s="50"/>
      <c r="Q223" s="50"/>
      <c r="R223" s="50"/>
      <c r="S223" s="50"/>
      <c r="T223" s="50"/>
      <c r="U223" s="50"/>
      <c r="V223" s="50"/>
      <c r="W223" s="50"/>
      <c r="X223" s="50"/>
      <c r="Y223" s="50"/>
      <c r="Z223" s="50"/>
    </row>
    <row r="224">
      <c r="A224" s="59" t="s">
        <v>905</v>
      </c>
      <c r="B224" s="60" t="s">
        <v>906</v>
      </c>
      <c r="C224" s="58"/>
      <c r="D224" s="60" t="s">
        <v>197</v>
      </c>
      <c r="E224" s="60" t="s">
        <v>907</v>
      </c>
      <c r="F224" s="59" t="s">
        <v>908</v>
      </c>
      <c r="G224" s="62">
        <v>46071.0</v>
      </c>
      <c r="H224" s="56">
        <v>0.0</v>
      </c>
      <c r="I224" s="58" t="s">
        <v>37</v>
      </c>
      <c r="J224" s="63">
        <v>46071.0</v>
      </c>
      <c r="K224" s="60" t="s">
        <v>37</v>
      </c>
      <c r="L224" s="58"/>
      <c r="M224" s="58"/>
      <c r="N224" s="58"/>
      <c r="O224" s="58"/>
      <c r="P224" s="58"/>
      <c r="Q224" s="58"/>
      <c r="R224" s="58"/>
      <c r="S224" s="58"/>
      <c r="T224" s="58"/>
      <c r="U224" s="58"/>
      <c r="V224" s="58"/>
      <c r="W224" s="58"/>
      <c r="X224" s="58"/>
      <c r="Y224" s="58"/>
      <c r="Z224" s="58"/>
    </row>
    <row r="225">
      <c r="A225" s="76" t="s">
        <v>909</v>
      </c>
      <c r="B225" s="77" t="s">
        <v>910</v>
      </c>
      <c r="C225" s="78">
        <v>2018.0</v>
      </c>
      <c r="D225" s="77" t="s">
        <v>911</v>
      </c>
      <c r="E225" s="77" t="s">
        <v>912</v>
      </c>
      <c r="F225" s="76" t="s">
        <v>913</v>
      </c>
      <c r="G225" s="79">
        <v>46220.0</v>
      </c>
      <c r="H225" s="49">
        <v>0.0</v>
      </c>
      <c r="I225" s="80" t="s">
        <v>496</v>
      </c>
      <c r="J225" s="81">
        <v>46223.0</v>
      </c>
      <c r="K225" s="77" t="s">
        <v>44</v>
      </c>
      <c r="L225" s="80">
        <v>71079.0</v>
      </c>
      <c r="M225" s="50"/>
      <c r="N225" s="50"/>
      <c r="O225" s="50"/>
      <c r="P225" s="50"/>
      <c r="Q225" s="50"/>
      <c r="R225" s="50"/>
      <c r="S225" s="50"/>
      <c r="T225" s="50"/>
      <c r="U225" s="50"/>
      <c r="V225" s="50"/>
      <c r="W225" s="50"/>
      <c r="X225" s="50"/>
      <c r="Y225" s="50"/>
      <c r="Z225" s="50"/>
    </row>
    <row r="226">
      <c r="A226" s="52" t="s">
        <v>914</v>
      </c>
      <c r="B226" s="53" t="s">
        <v>915</v>
      </c>
      <c r="C226" s="66">
        <v>2022.0</v>
      </c>
      <c r="D226" s="53" t="s">
        <v>629</v>
      </c>
      <c r="E226" s="53" t="s">
        <v>912</v>
      </c>
      <c r="F226" s="52" t="s">
        <v>916</v>
      </c>
      <c r="G226" s="55">
        <v>46206.0</v>
      </c>
      <c r="H226" s="56">
        <v>0.0</v>
      </c>
      <c r="I226" s="54" t="s">
        <v>917</v>
      </c>
      <c r="J226" s="63"/>
      <c r="K226" s="53" t="s">
        <v>84</v>
      </c>
      <c r="L226" s="54">
        <v>66521.0</v>
      </c>
      <c r="M226" s="58"/>
      <c r="N226" s="58"/>
      <c r="O226" s="58"/>
      <c r="P226" s="58"/>
      <c r="Q226" s="58"/>
      <c r="R226" s="58"/>
      <c r="S226" s="58"/>
      <c r="T226" s="58"/>
      <c r="U226" s="58"/>
      <c r="V226" s="58"/>
      <c r="W226" s="58"/>
      <c r="X226" s="58"/>
      <c r="Y226" s="58"/>
      <c r="Z226" s="58"/>
    </row>
    <row r="227">
      <c r="A227" s="45" t="s">
        <v>918</v>
      </c>
      <c r="B227" s="46" t="s">
        <v>919</v>
      </c>
      <c r="C227" s="50"/>
      <c r="D227" s="46" t="s">
        <v>920</v>
      </c>
      <c r="E227" s="46" t="s">
        <v>736</v>
      </c>
      <c r="F227" s="45" t="s">
        <v>921</v>
      </c>
      <c r="G227" s="48">
        <v>46071.0</v>
      </c>
      <c r="H227" s="49">
        <v>85.0</v>
      </c>
      <c r="I227" s="50" t="s">
        <v>56</v>
      </c>
      <c r="J227" s="51"/>
      <c r="K227" s="46" t="s">
        <v>56</v>
      </c>
      <c r="L227" s="50"/>
      <c r="M227" s="50"/>
      <c r="N227" s="50"/>
      <c r="O227" s="50"/>
      <c r="P227" s="50"/>
      <c r="Q227" s="50"/>
      <c r="R227" s="50"/>
      <c r="S227" s="50"/>
      <c r="T227" s="50"/>
      <c r="U227" s="50"/>
      <c r="V227" s="50"/>
      <c r="W227" s="50"/>
      <c r="X227" s="50"/>
      <c r="Y227" s="50"/>
      <c r="Z227" s="50"/>
    </row>
    <row r="228">
      <c r="A228" s="69">
        <v>1.0</v>
      </c>
      <c r="B228" s="68" t="s">
        <v>922</v>
      </c>
      <c r="C228" s="69">
        <v>1978.0</v>
      </c>
      <c r="D228" s="68" t="s">
        <v>923</v>
      </c>
      <c r="E228" s="68" t="s">
        <v>70</v>
      </c>
      <c r="F228" s="88"/>
      <c r="G228" s="71">
        <v>46072.0</v>
      </c>
      <c r="H228" s="72">
        <f t="shared" ref="H228:H230" si="1">IF(G228="","",IF(J228="",TODAY()-G228,J228-G228))</f>
        <v>53</v>
      </c>
      <c r="I228" s="73" t="s">
        <v>924</v>
      </c>
      <c r="J228" s="74">
        <v>46125.0</v>
      </c>
      <c r="K228" s="73"/>
      <c r="L228" s="75"/>
      <c r="M228" s="75"/>
      <c r="N228" s="75"/>
      <c r="O228" s="75"/>
      <c r="P228" s="75"/>
      <c r="Q228" s="75"/>
      <c r="R228" s="75"/>
      <c r="S228" s="75"/>
      <c r="T228" s="75"/>
      <c r="U228" s="75"/>
      <c r="V228" s="75"/>
      <c r="W228" s="75"/>
      <c r="X228" s="75"/>
      <c r="Y228" s="75"/>
      <c r="Z228" s="75"/>
    </row>
    <row r="229">
      <c r="A229" s="89">
        <v>17374.0</v>
      </c>
      <c r="B229" s="90" t="s">
        <v>605</v>
      </c>
      <c r="C229" s="91">
        <v>2019.0</v>
      </c>
      <c r="D229" s="90" t="s">
        <v>182</v>
      </c>
      <c r="E229" s="90" t="s">
        <v>47</v>
      </c>
      <c r="F229" s="92"/>
      <c r="G229" s="93">
        <v>46072.0</v>
      </c>
      <c r="H229" s="94">
        <f t="shared" si="1"/>
        <v>12</v>
      </c>
      <c r="I229" s="95" t="s">
        <v>925</v>
      </c>
      <c r="J229" s="96">
        <v>46084.0</v>
      </c>
      <c r="K229" s="95" t="s">
        <v>31</v>
      </c>
      <c r="L229" s="97">
        <v>151661.0</v>
      </c>
      <c r="M229" s="98"/>
      <c r="N229" s="98"/>
      <c r="O229" s="98"/>
      <c r="P229" s="98"/>
      <c r="Q229" s="98"/>
      <c r="R229" s="98"/>
      <c r="S229" s="98"/>
      <c r="T229" s="98"/>
      <c r="U229" s="98"/>
      <c r="V229" s="98"/>
      <c r="W229" s="98"/>
      <c r="X229" s="98"/>
      <c r="Y229" s="98"/>
      <c r="Z229" s="98"/>
    </row>
    <row r="230">
      <c r="A230" s="69">
        <v>17510.0</v>
      </c>
      <c r="B230" s="68" t="s">
        <v>926</v>
      </c>
      <c r="C230" s="69">
        <v>2019.0</v>
      </c>
      <c r="D230" s="68" t="s">
        <v>927</v>
      </c>
      <c r="E230" s="68" t="s">
        <v>928</v>
      </c>
      <c r="F230" s="88"/>
      <c r="G230" s="71">
        <v>46072.0</v>
      </c>
      <c r="H230" s="72">
        <f t="shared" si="1"/>
        <v>153</v>
      </c>
      <c r="I230" s="73" t="s">
        <v>929</v>
      </c>
      <c r="J230" s="75"/>
      <c r="K230" s="73"/>
      <c r="L230" s="75"/>
      <c r="M230" s="75"/>
      <c r="N230" s="75"/>
      <c r="O230" s="75"/>
      <c r="P230" s="75"/>
      <c r="Q230" s="75"/>
      <c r="R230" s="75"/>
      <c r="S230" s="75"/>
      <c r="T230" s="75"/>
      <c r="U230" s="75"/>
      <c r="V230" s="75"/>
      <c r="W230" s="75"/>
      <c r="X230" s="75"/>
      <c r="Y230" s="75"/>
      <c r="Z230" s="75"/>
    </row>
    <row r="231">
      <c r="A231" s="45" t="s">
        <v>930</v>
      </c>
      <c r="B231" s="46" t="s">
        <v>922</v>
      </c>
      <c r="C231" s="50"/>
      <c r="D231" s="46" t="s">
        <v>923</v>
      </c>
      <c r="E231" s="46" t="s">
        <v>70</v>
      </c>
      <c r="F231" s="99"/>
      <c r="G231" s="100">
        <v>46072.0</v>
      </c>
      <c r="H231" s="49">
        <v>84.0</v>
      </c>
      <c r="I231" s="50" t="s">
        <v>24</v>
      </c>
      <c r="J231" s="51"/>
      <c r="K231" s="46" t="s">
        <v>24</v>
      </c>
      <c r="L231" s="50"/>
      <c r="M231" s="50"/>
      <c r="N231" s="50"/>
      <c r="O231" s="50"/>
      <c r="P231" s="50"/>
      <c r="Q231" s="50"/>
      <c r="R231" s="50"/>
      <c r="S231" s="50"/>
      <c r="T231" s="50"/>
      <c r="U231" s="50"/>
      <c r="V231" s="50"/>
      <c r="W231" s="50"/>
      <c r="X231" s="50"/>
      <c r="Y231" s="50"/>
      <c r="Z231" s="50"/>
    </row>
    <row r="232">
      <c r="A232" s="59" t="s">
        <v>931</v>
      </c>
      <c r="B232" s="60" t="s">
        <v>932</v>
      </c>
      <c r="C232" s="58"/>
      <c r="D232" s="60" t="s">
        <v>34</v>
      </c>
      <c r="E232" s="60" t="s">
        <v>933</v>
      </c>
      <c r="F232" s="59" t="s">
        <v>934</v>
      </c>
      <c r="G232" s="62">
        <v>46072.0</v>
      </c>
      <c r="H232" s="56">
        <v>7.0</v>
      </c>
      <c r="I232" s="58" t="s">
        <v>37</v>
      </c>
      <c r="J232" s="63">
        <v>46079.0</v>
      </c>
      <c r="K232" s="60" t="s">
        <v>37</v>
      </c>
      <c r="L232" s="58"/>
      <c r="M232" s="58"/>
      <c r="N232" s="58"/>
      <c r="O232" s="58"/>
      <c r="P232" s="58"/>
      <c r="Q232" s="58"/>
      <c r="R232" s="58"/>
      <c r="S232" s="58"/>
      <c r="T232" s="58"/>
      <c r="U232" s="58"/>
      <c r="V232" s="58"/>
      <c r="W232" s="58"/>
      <c r="X232" s="58"/>
      <c r="Y232" s="58"/>
      <c r="Z232" s="58"/>
    </row>
    <row r="233">
      <c r="A233" s="45" t="s">
        <v>935</v>
      </c>
      <c r="B233" s="46" t="s">
        <v>936</v>
      </c>
      <c r="C233" s="50"/>
      <c r="D233" s="46" t="s">
        <v>14</v>
      </c>
      <c r="E233" s="46" t="s">
        <v>257</v>
      </c>
      <c r="F233" s="45" t="s">
        <v>937</v>
      </c>
      <c r="G233" s="48">
        <v>46072.0</v>
      </c>
      <c r="H233" s="49">
        <v>4.0</v>
      </c>
      <c r="I233" s="50" t="s">
        <v>37</v>
      </c>
      <c r="J233" s="65">
        <v>46076.0</v>
      </c>
      <c r="K233" s="46" t="s">
        <v>37</v>
      </c>
      <c r="L233" s="50"/>
      <c r="M233" s="50"/>
      <c r="N233" s="50"/>
      <c r="O233" s="50"/>
      <c r="P233" s="50"/>
      <c r="Q233" s="50"/>
      <c r="R233" s="50"/>
      <c r="S233" s="50"/>
      <c r="T233" s="50"/>
      <c r="U233" s="50"/>
      <c r="V233" s="50"/>
      <c r="W233" s="50"/>
      <c r="X233" s="50"/>
      <c r="Y233" s="50"/>
      <c r="Z233" s="50"/>
    </row>
    <row r="234">
      <c r="A234" s="59" t="s">
        <v>938</v>
      </c>
      <c r="B234" s="60" t="s">
        <v>939</v>
      </c>
      <c r="C234" s="58"/>
      <c r="D234" s="60" t="s">
        <v>105</v>
      </c>
      <c r="E234" s="60" t="s">
        <v>940</v>
      </c>
      <c r="F234" s="59" t="s">
        <v>941</v>
      </c>
      <c r="G234" s="62">
        <v>46072.0</v>
      </c>
      <c r="H234" s="56">
        <v>0.0</v>
      </c>
      <c r="I234" s="58" t="s">
        <v>37</v>
      </c>
      <c r="J234" s="63">
        <v>46072.0</v>
      </c>
      <c r="K234" s="60" t="s">
        <v>37</v>
      </c>
      <c r="L234" s="58"/>
      <c r="M234" s="58"/>
      <c r="N234" s="58"/>
      <c r="O234" s="58"/>
      <c r="P234" s="58"/>
      <c r="Q234" s="58"/>
      <c r="R234" s="58"/>
      <c r="S234" s="58"/>
      <c r="T234" s="58"/>
      <c r="U234" s="58"/>
      <c r="V234" s="58"/>
      <c r="W234" s="58"/>
      <c r="X234" s="58"/>
      <c r="Y234" s="58"/>
      <c r="Z234" s="58"/>
    </row>
    <row r="235">
      <c r="A235" s="45" t="s">
        <v>942</v>
      </c>
      <c r="B235" s="46" t="s">
        <v>634</v>
      </c>
      <c r="C235" s="47">
        <v>2015.0</v>
      </c>
      <c r="D235" s="46" t="s">
        <v>14</v>
      </c>
      <c r="E235" s="46" t="s">
        <v>82</v>
      </c>
      <c r="F235" s="45" t="s">
        <v>635</v>
      </c>
      <c r="G235" s="48">
        <v>46072.0</v>
      </c>
      <c r="H235" s="49">
        <v>5.0</v>
      </c>
      <c r="I235" s="50" t="s">
        <v>943</v>
      </c>
      <c r="J235" s="65">
        <v>46077.0</v>
      </c>
      <c r="K235" s="46" t="s">
        <v>56</v>
      </c>
      <c r="L235" s="50"/>
      <c r="M235" s="50"/>
      <c r="N235" s="50"/>
      <c r="O235" s="50"/>
      <c r="P235" s="50"/>
      <c r="Q235" s="50"/>
      <c r="R235" s="50"/>
      <c r="S235" s="50"/>
      <c r="T235" s="50"/>
      <c r="U235" s="50"/>
      <c r="V235" s="50"/>
      <c r="W235" s="50"/>
      <c r="X235" s="50"/>
      <c r="Y235" s="50"/>
      <c r="Z235" s="50"/>
    </row>
    <row r="236">
      <c r="A236" s="59" t="s">
        <v>944</v>
      </c>
      <c r="B236" s="60" t="s">
        <v>945</v>
      </c>
      <c r="C236" s="58"/>
      <c r="D236" s="60" t="s">
        <v>946</v>
      </c>
      <c r="E236" s="60" t="s">
        <v>947</v>
      </c>
      <c r="F236" s="59" t="s">
        <v>948</v>
      </c>
      <c r="G236" s="62">
        <v>46072.0</v>
      </c>
      <c r="H236" s="56">
        <v>0.0</v>
      </c>
      <c r="I236" s="58" t="s">
        <v>37</v>
      </c>
      <c r="J236" s="63">
        <v>46072.0</v>
      </c>
      <c r="K236" s="60" t="s">
        <v>37</v>
      </c>
      <c r="L236" s="58"/>
      <c r="M236" s="58"/>
      <c r="N236" s="58"/>
      <c r="O236" s="58"/>
      <c r="P236" s="58"/>
      <c r="Q236" s="58"/>
      <c r="R236" s="58"/>
      <c r="S236" s="58"/>
      <c r="T236" s="58"/>
      <c r="U236" s="58"/>
      <c r="V236" s="58"/>
      <c r="W236" s="58"/>
      <c r="X236" s="58"/>
      <c r="Y236" s="58"/>
      <c r="Z236" s="58"/>
    </row>
    <row r="237">
      <c r="A237" s="76" t="s">
        <v>949</v>
      </c>
      <c r="B237" s="77" t="s">
        <v>950</v>
      </c>
      <c r="C237" s="78">
        <v>2015.0</v>
      </c>
      <c r="D237" s="77" t="s">
        <v>182</v>
      </c>
      <c r="E237" s="77" t="s">
        <v>70</v>
      </c>
      <c r="F237" s="76" t="s">
        <v>951</v>
      </c>
      <c r="G237" s="79">
        <v>46156.0</v>
      </c>
      <c r="H237" s="49">
        <v>7.0</v>
      </c>
      <c r="I237" s="80" t="s">
        <v>952</v>
      </c>
      <c r="J237" s="81">
        <v>46205.0</v>
      </c>
      <c r="K237" s="77" t="s">
        <v>31</v>
      </c>
      <c r="L237" s="83">
        <v>128036.0</v>
      </c>
      <c r="M237" s="50"/>
      <c r="N237" s="50"/>
      <c r="O237" s="50"/>
      <c r="P237" s="50"/>
      <c r="Q237" s="50"/>
      <c r="R237" s="50"/>
      <c r="S237" s="50"/>
      <c r="T237" s="50"/>
      <c r="U237" s="50"/>
      <c r="V237" s="50"/>
      <c r="W237" s="50"/>
      <c r="X237" s="50"/>
      <c r="Y237" s="50"/>
      <c r="Z237" s="50"/>
    </row>
    <row r="238">
      <c r="A238" s="59" t="s">
        <v>953</v>
      </c>
      <c r="B238" s="60" t="s">
        <v>954</v>
      </c>
      <c r="C238" s="61">
        <v>2015.0</v>
      </c>
      <c r="D238" s="60" t="s">
        <v>52</v>
      </c>
      <c r="E238" s="60" t="s">
        <v>399</v>
      </c>
      <c r="F238" s="59" t="s">
        <v>955</v>
      </c>
      <c r="G238" s="62">
        <v>46072.0</v>
      </c>
      <c r="H238" s="56">
        <v>1.0</v>
      </c>
      <c r="I238" s="58" t="s">
        <v>956</v>
      </c>
      <c r="J238" s="63">
        <v>46073.0</v>
      </c>
      <c r="K238" s="60" t="s">
        <v>56</v>
      </c>
      <c r="L238" s="58"/>
      <c r="M238" s="58"/>
      <c r="N238" s="58"/>
      <c r="O238" s="58"/>
      <c r="P238" s="58"/>
      <c r="Q238" s="58"/>
      <c r="R238" s="58"/>
      <c r="S238" s="58"/>
      <c r="T238" s="58"/>
      <c r="U238" s="58"/>
      <c r="V238" s="58"/>
      <c r="W238" s="58"/>
      <c r="X238" s="58"/>
      <c r="Y238" s="58"/>
      <c r="Z238" s="58"/>
    </row>
    <row r="239">
      <c r="A239" s="45" t="s">
        <v>957</v>
      </c>
      <c r="B239" s="46" t="s">
        <v>926</v>
      </c>
      <c r="C239" s="50"/>
      <c r="D239" s="46" t="s">
        <v>958</v>
      </c>
      <c r="E239" s="46" t="s">
        <v>928</v>
      </c>
      <c r="F239" s="45" t="s">
        <v>959</v>
      </c>
      <c r="G239" s="48">
        <v>46072.0</v>
      </c>
      <c r="H239" s="49">
        <v>0.0</v>
      </c>
      <c r="I239" s="50" t="s">
        <v>655</v>
      </c>
      <c r="J239" s="65">
        <v>46072.0</v>
      </c>
      <c r="K239" s="46" t="s">
        <v>655</v>
      </c>
      <c r="L239" s="50"/>
      <c r="M239" s="50"/>
      <c r="N239" s="50"/>
      <c r="O239" s="50"/>
      <c r="P239" s="50"/>
      <c r="Q239" s="50"/>
      <c r="R239" s="50"/>
      <c r="S239" s="50"/>
      <c r="T239" s="50"/>
      <c r="U239" s="50"/>
      <c r="V239" s="50"/>
      <c r="W239" s="50"/>
      <c r="X239" s="50"/>
      <c r="Y239" s="50"/>
      <c r="Z239" s="50"/>
    </row>
    <row r="240">
      <c r="A240" s="59" t="s">
        <v>960</v>
      </c>
      <c r="B240" s="60" t="s">
        <v>961</v>
      </c>
      <c r="C240" s="61">
        <v>2018.0</v>
      </c>
      <c r="D240" s="60" t="s">
        <v>14</v>
      </c>
      <c r="E240" s="60" t="s">
        <v>962</v>
      </c>
      <c r="F240" s="59" t="s">
        <v>963</v>
      </c>
      <c r="G240" s="62">
        <v>46072.0</v>
      </c>
      <c r="H240" s="56">
        <v>0.0</v>
      </c>
      <c r="I240" s="58" t="s">
        <v>56</v>
      </c>
      <c r="J240" s="63">
        <v>46072.0</v>
      </c>
      <c r="K240" s="60" t="s">
        <v>56</v>
      </c>
      <c r="L240" s="58"/>
      <c r="M240" s="58"/>
      <c r="N240" s="58"/>
      <c r="O240" s="58"/>
      <c r="P240" s="58"/>
      <c r="Q240" s="58"/>
      <c r="R240" s="58"/>
      <c r="S240" s="58"/>
      <c r="T240" s="58"/>
      <c r="U240" s="58"/>
      <c r="V240" s="58"/>
      <c r="W240" s="58"/>
      <c r="X240" s="58"/>
      <c r="Y240" s="58"/>
      <c r="Z240" s="58"/>
    </row>
    <row r="241">
      <c r="A241" s="45" t="s">
        <v>964</v>
      </c>
      <c r="B241" s="46" t="s">
        <v>965</v>
      </c>
      <c r="C241" s="47">
        <v>2022.0</v>
      </c>
      <c r="D241" s="46" t="s">
        <v>52</v>
      </c>
      <c r="E241" s="46" t="s">
        <v>399</v>
      </c>
      <c r="F241" s="45" t="s">
        <v>966</v>
      </c>
      <c r="G241" s="48">
        <v>46073.0</v>
      </c>
      <c r="H241" s="49">
        <v>0.0</v>
      </c>
      <c r="I241" s="50" t="s">
        <v>56</v>
      </c>
      <c r="J241" s="65">
        <v>46073.0</v>
      </c>
      <c r="K241" s="46" t="s">
        <v>56</v>
      </c>
      <c r="L241" s="50"/>
      <c r="M241" s="50"/>
      <c r="N241" s="50"/>
      <c r="O241" s="50"/>
      <c r="P241" s="50"/>
      <c r="Q241" s="50"/>
      <c r="R241" s="50"/>
      <c r="S241" s="50"/>
      <c r="T241" s="50"/>
      <c r="U241" s="50"/>
      <c r="V241" s="50"/>
      <c r="W241" s="50"/>
      <c r="X241" s="50"/>
      <c r="Y241" s="50"/>
      <c r="Z241" s="50"/>
    </row>
    <row r="242">
      <c r="A242" s="59" t="s">
        <v>967</v>
      </c>
      <c r="B242" s="60" t="s">
        <v>968</v>
      </c>
      <c r="C242" s="58"/>
      <c r="D242" s="60" t="s">
        <v>302</v>
      </c>
      <c r="E242" s="60" t="s">
        <v>969</v>
      </c>
      <c r="F242" s="59" t="s">
        <v>970</v>
      </c>
      <c r="G242" s="62">
        <v>46073.0</v>
      </c>
      <c r="H242" s="56">
        <v>0.0</v>
      </c>
      <c r="I242" s="58" t="s">
        <v>655</v>
      </c>
      <c r="J242" s="63">
        <v>46073.0</v>
      </c>
      <c r="K242" s="60" t="s">
        <v>655</v>
      </c>
      <c r="L242" s="58"/>
      <c r="M242" s="58"/>
      <c r="N242" s="58"/>
      <c r="O242" s="58"/>
      <c r="P242" s="58"/>
      <c r="Q242" s="58"/>
      <c r="R242" s="58"/>
      <c r="S242" s="58"/>
      <c r="T242" s="58"/>
      <c r="U242" s="58"/>
      <c r="V242" s="58"/>
      <c r="W242" s="58"/>
      <c r="X242" s="58"/>
      <c r="Y242" s="58"/>
      <c r="Z242" s="58"/>
    </row>
    <row r="243">
      <c r="A243" s="45" t="s">
        <v>971</v>
      </c>
      <c r="B243" s="46" t="s">
        <v>972</v>
      </c>
      <c r="C243" s="50"/>
      <c r="D243" s="46" t="s">
        <v>75</v>
      </c>
      <c r="E243" s="46" t="s">
        <v>973</v>
      </c>
      <c r="F243" s="45" t="s">
        <v>974</v>
      </c>
      <c r="G243" s="48">
        <v>46073.0</v>
      </c>
      <c r="H243" s="49">
        <v>0.0</v>
      </c>
      <c r="I243" s="50" t="s">
        <v>655</v>
      </c>
      <c r="J243" s="65">
        <v>46073.0</v>
      </c>
      <c r="K243" s="46" t="s">
        <v>655</v>
      </c>
      <c r="L243" s="50"/>
      <c r="M243" s="50"/>
      <c r="N243" s="50"/>
      <c r="O243" s="50"/>
      <c r="P243" s="50"/>
      <c r="Q243" s="50"/>
      <c r="R243" s="50"/>
      <c r="S243" s="50"/>
      <c r="T243" s="50"/>
      <c r="U243" s="50"/>
      <c r="V243" s="50"/>
      <c r="W243" s="50"/>
      <c r="X243" s="50"/>
      <c r="Y243" s="50"/>
      <c r="Z243" s="50"/>
    </row>
    <row r="244">
      <c r="A244" s="52" t="s">
        <v>975</v>
      </c>
      <c r="B244" s="53" t="s">
        <v>976</v>
      </c>
      <c r="C244" s="54">
        <v>2022.0</v>
      </c>
      <c r="D244" s="53" t="s">
        <v>977</v>
      </c>
      <c r="E244" s="53" t="s">
        <v>70</v>
      </c>
      <c r="F244" s="52" t="s">
        <v>978</v>
      </c>
      <c r="G244" s="55">
        <v>46218.0</v>
      </c>
      <c r="H244" s="56">
        <v>0.0</v>
      </c>
      <c r="I244" s="54" t="s">
        <v>979</v>
      </c>
      <c r="J244" s="84">
        <v>46218.0</v>
      </c>
      <c r="K244" s="53" t="s">
        <v>24</v>
      </c>
      <c r="L244" s="54">
        <v>36968.0</v>
      </c>
      <c r="M244" s="58"/>
      <c r="N244" s="58"/>
      <c r="O244" s="58"/>
      <c r="P244" s="58"/>
      <c r="Q244" s="58"/>
      <c r="R244" s="58"/>
      <c r="S244" s="58"/>
      <c r="T244" s="58"/>
      <c r="U244" s="58"/>
      <c r="V244" s="58"/>
      <c r="W244" s="58"/>
      <c r="X244" s="58"/>
      <c r="Y244" s="58"/>
      <c r="Z244" s="58"/>
    </row>
    <row r="245">
      <c r="A245" s="45" t="s">
        <v>980</v>
      </c>
      <c r="B245" s="46" t="s">
        <v>981</v>
      </c>
      <c r="C245" s="50"/>
      <c r="D245" s="46" t="s">
        <v>52</v>
      </c>
      <c r="E245" s="46" t="s">
        <v>982</v>
      </c>
      <c r="F245" s="45" t="s">
        <v>983</v>
      </c>
      <c r="G245" s="48">
        <v>46073.0</v>
      </c>
      <c r="H245" s="49">
        <v>0.0</v>
      </c>
      <c r="I245" s="50" t="s">
        <v>655</v>
      </c>
      <c r="J245" s="65">
        <v>46073.0</v>
      </c>
      <c r="K245" s="46" t="s">
        <v>655</v>
      </c>
      <c r="L245" s="50"/>
      <c r="M245" s="50"/>
      <c r="N245" s="50"/>
      <c r="O245" s="50"/>
      <c r="P245" s="50"/>
      <c r="Q245" s="50"/>
      <c r="R245" s="50"/>
      <c r="S245" s="50"/>
      <c r="T245" s="50"/>
      <c r="U245" s="50"/>
      <c r="V245" s="50"/>
      <c r="W245" s="50"/>
      <c r="X245" s="50"/>
      <c r="Y245" s="50"/>
      <c r="Z245" s="50"/>
    </row>
    <row r="246">
      <c r="A246" s="52" t="s">
        <v>984</v>
      </c>
      <c r="B246" s="53" t="s">
        <v>985</v>
      </c>
      <c r="C246" s="66">
        <v>2014.0</v>
      </c>
      <c r="D246" s="53" t="s">
        <v>251</v>
      </c>
      <c r="E246" s="53" t="s">
        <v>47</v>
      </c>
      <c r="F246" s="59"/>
      <c r="G246" s="55">
        <v>46142.0</v>
      </c>
      <c r="H246" s="56">
        <v>83.0</v>
      </c>
      <c r="I246" s="54" t="s">
        <v>986</v>
      </c>
      <c r="J246" s="57">
        <v>46218.0</v>
      </c>
      <c r="K246" s="53" t="s">
        <v>24</v>
      </c>
      <c r="L246" s="85">
        <v>195799.0</v>
      </c>
      <c r="M246" s="58"/>
      <c r="N246" s="58"/>
      <c r="O246" s="58"/>
      <c r="P246" s="58"/>
      <c r="Q246" s="58"/>
      <c r="R246" s="58"/>
      <c r="S246" s="58"/>
      <c r="T246" s="58"/>
      <c r="U246" s="58"/>
      <c r="V246" s="58"/>
      <c r="W246" s="58"/>
      <c r="X246" s="58"/>
      <c r="Y246" s="58"/>
      <c r="Z246" s="58"/>
    </row>
    <row r="247">
      <c r="A247" s="91">
        <v>17537.0</v>
      </c>
      <c r="B247" s="90" t="s">
        <v>550</v>
      </c>
      <c r="C247" s="91">
        <v>2019.0</v>
      </c>
      <c r="D247" s="90" t="s">
        <v>182</v>
      </c>
      <c r="E247" s="90" t="s">
        <v>70</v>
      </c>
      <c r="F247" s="101"/>
      <c r="G247" s="93">
        <v>46076.0</v>
      </c>
      <c r="H247" s="94">
        <f>IF(G247="","",IF(J247="",TODAY()-G247,J247-G247))</f>
        <v>8</v>
      </c>
      <c r="I247" s="95" t="s">
        <v>551</v>
      </c>
      <c r="J247" s="96">
        <v>46084.0</v>
      </c>
      <c r="K247" s="95" t="s">
        <v>31</v>
      </c>
      <c r="L247" s="95">
        <v>11362.0</v>
      </c>
      <c r="M247" s="98"/>
      <c r="N247" s="98"/>
      <c r="O247" s="98"/>
      <c r="P247" s="98"/>
      <c r="Q247" s="98"/>
      <c r="R247" s="98"/>
      <c r="S247" s="98"/>
      <c r="T247" s="98"/>
      <c r="U247" s="98"/>
      <c r="V247" s="98"/>
      <c r="W247" s="98"/>
      <c r="X247" s="98"/>
      <c r="Y247" s="98"/>
      <c r="Z247" s="98"/>
    </row>
    <row r="248">
      <c r="A248" s="59" t="s">
        <v>987</v>
      </c>
      <c r="B248" s="60" t="s">
        <v>988</v>
      </c>
      <c r="C248" s="58"/>
      <c r="D248" s="60" t="s">
        <v>136</v>
      </c>
      <c r="E248" s="60" t="s">
        <v>235</v>
      </c>
      <c r="F248" s="59" t="s">
        <v>989</v>
      </c>
      <c r="G248" s="62">
        <v>46076.0</v>
      </c>
      <c r="H248" s="56">
        <v>0.0</v>
      </c>
      <c r="I248" s="58" t="s">
        <v>990</v>
      </c>
      <c r="J248" s="63">
        <v>46076.0</v>
      </c>
      <c r="K248" s="60" t="s">
        <v>990</v>
      </c>
      <c r="L248" s="58"/>
      <c r="M248" s="58"/>
      <c r="N248" s="58"/>
      <c r="O248" s="58"/>
      <c r="P248" s="58"/>
      <c r="Q248" s="58"/>
      <c r="R248" s="58"/>
      <c r="S248" s="58"/>
      <c r="T248" s="58"/>
      <c r="U248" s="58"/>
      <c r="V248" s="58"/>
      <c r="W248" s="58"/>
      <c r="X248" s="58"/>
      <c r="Y248" s="58"/>
      <c r="Z248" s="58"/>
    </row>
    <row r="249">
      <c r="A249" s="76" t="s">
        <v>991</v>
      </c>
      <c r="B249" s="77" t="s">
        <v>992</v>
      </c>
      <c r="C249" s="78">
        <v>2020.0</v>
      </c>
      <c r="D249" s="77" t="s">
        <v>536</v>
      </c>
      <c r="E249" s="77" t="s">
        <v>173</v>
      </c>
      <c r="F249" s="76" t="s">
        <v>993</v>
      </c>
      <c r="G249" s="79">
        <v>46195.0</v>
      </c>
      <c r="H249" s="49">
        <v>80.0</v>
      </c>
      <c r="I249" s="80" t="s">
        <v>994</v>
      </c>
      <c r="J249" s="82">
        <v>46204.0</v>
      </c>
      <c r="K249" s="77" t="s">
        <v>24</v>
      </c>
      <c r="L249" s="80">
        <v>93317.0</v>
      </c>
      <c r="M249" s="50"/>
      <c r="N249" s="50"/>
      <c r="O249" s="50"/>
      <c r="P249" s="50"/>
      <c r="Q249" s="50"/>
      <c r="R249" s="50"/>
      <c r="S249" s="50"/>
      <c r="T249" s="50"/>
      <c r="U249" s="50"/>
      <c r="V249" s="50"/>
      <c r="W249" s="50"/>
      <c r="X249" s="50"/>
      <c r="Y249" s="50"/>
      <c r="Z249" s="50"/>
    </row>
    <row r="250">
      <c r="A250" s="59" t="s">
        <v>995</v>
      </c>
      <c r="B250" s="60" t="s">
        <v>767</v>
      </c>
      <c r="C250" s="61">
        <v>2022.0</v>
      </c>
      <c r="D250" s="60" t="s">
        <v>52</v>
      </c>
      <c r="E250" s="60" t="s">
        <v>293</v>
      </c>
      <c r="F250" s="59" t="s">
        <v>768</v>
      </c>
      <c r="G250" s="62">
        <v>46076.0</v>
      </c>
      <c r="H250" s="56">
        <v>0.0</v>
      </c>
      <c r="I250" s="58" t="s">
        <v>37</v>
      </c>
      <c r="J250" s="63">
        <v>46076.0</v>
      </c>
      <c r="K250" s="60" t="s">
        <v>37</v>
      </c>
      <c r="L250" s="58"/>
      <c r="M250" s="58"/>
      <c r="N250" s="58"/>
      <c r="O250" s="58"/>
      <c r="P250" s="58"/>
      <c r="Q250" s="58"/>
      <c r="R250" s="58"/>
      <c r="S250" s="58"/>
      <c r="T250" s="58"/>
      <c r="U250" s="58"/>
      <c r="V250" s="58"/>
      <c r="W250" s="58"/>
      <c r="X250" s="58"/>
      <c r="Y250" s="58"/>
      <c r="Z250" s="58"/>
    </row>
    <row r="251">
      <c r="A251" s="45" t="s">
        <v>996</v>
      </c>
      <c r="B251" s="46" t="s">
        <v>215</v>
      </c>
      <c r="C251" s="47">
        <v>2022.0</v>
      </c>
      <c r="D251" s="46" t="s">
        <v>52</v>
      </c>
      <c r="E251" s="46" t="s">
        <v>95</v>
      </c>
      <c r="F251" s="45" t="s">
        <v>216</v>
      </c>
      <c r="G251" s="48">
        <v>46076.0</v>
      </c>
      <c r="H251" s="49">
        <v>0.0</v>
      </c>
      <c r="I251" s="50" t="s">
        <v>997</v>
      </c>
      <c r="J251" s="65">
        <v>46076.0</v>
      </c>
      <c r="K251" s="46" t="s">
        <v>56</v>
      </c>
      <c r="L251" s="50"/>
      <c r="M251" s="50"/>
      <c r="N251" s="50"/>
      <c r="O251" s="50"/>
      <c r="P251" s="50"/>
      <c r="Q251" s="50"/>
      <c r="R251" s="50"/>
      <c r="S251" s="50"/>
      <c r="T251" s="50"/>
      <c r="U251" s="50"/>
      <c r="V251" s="50"/>
      <c r="W251" s="50"/>
      <c r="X251" s="50"/>
      <c r="Y251" s="50"/>
      <c r="Z251" s="50"/>
    </row>
    <row r="252">
      <c r="A252" s="59" t="s">
        <v>998</v>
      </c>
      <c r="B252" s="60" t="s">
        <v>999</v>
      </c>
      <c r="C252" s="58"/>
      <c r="D252" s="60" t="s">
        <v>75</v>
      </c>
      <c r="E252" s="60" t="s">
        <v>507</v>
      </c>
      <c r="F252" s="59" t="s">
        <v>1000</v>
      </c>
      <c r="G252" s="62">
        <v>46076.0</v>
      </c>
      <c r="H252" s="56">
        <v>0.0</v>
      </c>
      <c r="I252" s="58" t="s">
        <v>37</v>
      </c>
      <c r="J252" s="63">
        <v>46076.0</v>
      </c>
      <c r="K252" s="60" t="s">
        <v>37</v>
      </c>
      <c r="L252" s="58"/>
      <c r="M252" s="58"/>
      <c r="N252" s="58"/>
      <c r="O252" s="58"/>
      <c r="P252" s="58"/>
      <c r="Q252" s="58"/>
      <c r="R252" s="58"/>
      <c r="S252" s="58"/>
      <c r="T252" s="58"/>
      <c r="U252" s="58"/>
      <c r="V252" s="58"/>
      <c r="W252" s="58"/>
      <c r="X252" s="58"/>
      <c r="Y252" s="58"/>
      <c r="Z252" s="58"/>
    </row>
    <row r="253">
      <c r="A253" s="45" t="s">
        <v>1001</v>
      </c>
      <c r="B253" s="46" t="s">
        <v>1002</v>
      </c>
      <c r="C253" s="50"/>
      <c r="D253" s="46" t="s">
        <v>52</v>
      </c>
      <c r="E253" s="46" t="s">
        <v>438</v>
      </c>
      <c r="F253" s="45" t="s">
        <v>1003</v>
      </c>
      <c r="G253" s="48">
        <v>46076.0</v>
      </c>
      <c r="H253" s="49">
        <v>31.0</v>
      </c>
      <c r="I253" s="50" t="s">
        <v>37</v>
      </c>
      <c r="J253" s="65">
        <v>46107.0</v>
      </c>
      <c r="K253" s="46" t="s">
        <v>37</v>
      </c>
      <c r="L253" s="50"/>
      <c r="M253" s="50"/>
      <c r="N253" s="50"/>
      <c r="O253" s="50"/>
      <c r="P253" s="50"/>
      <c r="Q253" s="50"/>
      <c r="R253" s="50"/>
      <c r="S253" s="50"/>
      <c r="T253" s="50"/>
      <c r="U253" s="50"/>
      <c r="V253" s="50"/>
      <c r="W253" s="50"/>
      <c r="X253" s="50"/>
      <c r="Y253" s="50"/>
      <c r="Z253" s="50"/>
    </row>
    <row r="254">
      <c r="A254" s="52" t="s">
        <v>1004</v>
      </c>
      <c r="B254" s="53" t="s">
        <v>1005</v>
      </c>
      <c r="C254" s="66">
        <v>2022.0</v>
      </c>
      <c r="D254" s="53" t="s">
        <v>40</v>
      </c>
      <c r="E254" s="53" t="s">
        <v>207</v>
      </c>
      <c r="F254" s="52" t="s">
        <v>1006</v>
      </c>
      <c r="G254" s="55">
        <v>46185.0</v>
      </c>
      <c r="H254" s="56">
        <v>80.0</v>
      </c>
      <c r="I254" s="54" t="s">
        <v>1007</v>
      </c>
      <c r="J254" s="57">
        <v>46199.0</v>
      </c>
      <c r="K254" s="53" t="s">
        <v>24</v>
      </c>
      <c r="L254" s="54">
        <v>54432.0</v>
      </c>
      <c r="M254" s="58"/>
      <c r="N254" s="58"/>
      <c r="O254" s="58"/>
      <c r="P254" s="58"/>
      <c r="Q254" s="58"/>
      <c r="R254" s="58"/>
      <c r="S254" s="58"/>
      <c r="T254" s="58"/>
      <c r="U254" s="58"/>
      <c r="V254" s="58"/>
      <c r="W254" s="58"/>
      <c r="X254" s="58"/>
      <c r="Y254" s="58"/>
      <c r="Z254" s="58"/>
    </row>
    <row r="255">
      <c r="A255" s="45" t="s">
        <v>1008</v>
      </c>
      <c r="B255" s="46" t="s">
        <v>1009</v>
      </c>
      <c r="C255" s="47">
        <v>2022.0</v>
      </c>
      <c r="D255" s="46" t="s">
        <v>136</v>
      </c>
      <c r="E255" s="46" t="s">
        <v>82</v>
      </c>
      <c r="F255" s="45" t="s">
        <v>1010</v>
      </c>
      <c r="G255" s="48">
        <v>46076.0</v>
      </c>
      <c r="H255" s="49">
        <v>80.0</v>
      </c>
      <c r="I255" s="50" t="s">
        <v>78</v>
      </c>
      <c r="J255" s="51"/>
      <c r="K255" s="46" t="s">
        <v>78</v>
      </c>
      <c r="L255" s="50"/>
      <c r="M255" s="50"/>
      <c r="N255" s="50"/>
      <c r="O255" s="50"/>
      <c r="P255" s="50"/>
      <c r="Q255" s="50"/>
      <c r="R255" s="50"/>
      <c r="S255" s="50"/>
      <c r="T255" s="50"/>
      <c r="U255" s="50"/>
      <c r="V255" s="50"/>
      <c r="W255" s="50"/>
      <c r="X255" s="50"/>
      <c r="Y255" s="50"/>
      <c r="Z255" s="50"/>
    </row>
    <row r="256">
      <c r="A256" s="59" t="s">
        <v>1011</v>
      </c>
      <c r="B256" s="60" t="s">
        <v>1012</v>
      </c>
      <c r="C256" s="58"/>
      <c r="D256" s="60" t="s">
        <v>14</v>
      </c>
      <c r="E256" s="60" t="s">
        <v>1013</v>
      </c>
      <c r="F256" s="59" t="s">
        <v>1014</v>
      </c>
      <c r="G256" s="62">
        <v>46076.0</v>
      </c>
      <c r="H256" s="56">
        <v>0.0</v>
      </c>
      <c r="I256" s="58" t="s">
        <v>37</v>
      </c>
      <c r="J256" s="63">
        <v>46076.0</v>
      </c>
      <c r="K256" s="60" t="s">
        <v>37</v>
      </c>
      <c r="L256" s="58"/>
      <c r="M256" s="58"/>
      <c r="N256" s="58"/>
      <c r="O256" s="58"/>
      <c r="P256" s="58"/>
      <c r="Q256" s="58"/>
      <c r="R256" s="58"/>
      <c r="S256" s="58"/>
      <c r="T256" s="58"/>
      <c r="U256" s="58"/>
      <c r="V256" s="58"/>
      <c r="W256" s="58"/>
      <c r="X256" s="58"/>
      <c r="Y256" s="58"/>
      <c r="Z256" s="58"/>
    </row>
    <row r="257">
      <c r="A257" s="45" t="s">
        <v>549</v>
      </c>
      <c r="B257" s="46" t="s">
        <v>550</v>
      </c>
      <c r="C257" s="47">
        <v>2020.0</v>
      </c>
      <c r="D257" s="46" t="s">
        <v>14</v>
      </c>
      <c r="E257" s="46" t="s">
        <v>70</v>
      </c>
      <c r="F257" s="45" t="s">
        <v>1015</v>
      </c>
      <c r="G257" s="48">
        <v>46076.0</v>
      </c>
      <c r="H257" s="49">
        <v>0.0</v>
      </c>
      <c r="I257" s="50" t="s">
        <v>1016</v>
      </c>
      <c r="J257" s="65">
        <v>46076.0</v>
      </c>
      <c r="K257" s="46" t="s">
        <v>56</v>
      </c>
      <c r="L257" s="50"/>
      <c r="M257" s="50"/>
      <c r="N257" s="50"/>
      <c r="O257" s="50"/>
      <c r="P257" s="50"/>
      <c r="Q257" s="50"/>
      <c r="R257" s="50"/>
      <c r="S257" s="50"/>
      <c r="T257" s="50"/>
      <c r="U257" s="50"/>
      <c r="V257" s="50"/>
      <c r="W257" s="50"/>
      <c r="X257" s="50"/>
      <c r="Y257" s="50"/>
      <c r="Z257" s="50"/>
    </row>
    <row r="258">
      <c r="A258" s="69">
        <v>17541.0</v>
      </c>
      <c r="B258" s="68" t="s">
        <v>1017</v>
      </c>
      <c r="C258" s="69">
        <v>2015.0</v>
      </c>
      <c r="D258" s="68" t="s">
        <v>1018</v>
      </c>
      <c r="E258" s="68" t="s">
        <v>160</v>
      </c>
      <c r="F258" s="88"/>
      <c r="G258" s="71">
        <v>46077.0</v>
      </c>
      <c r="H258" s="72">
        <f>IF(G258="","",IF(J258="",TODAY()-G258,J258-G258))</f>
        <v>6</v>
      </c>
      <c r="I258" s="73" t="s">
        <v>496</v>
      </c>
      <c r="J258" s="74">
        <v>46083.0</v>
      </c>
      <c r="K258" s="73"/>
      <c r="L258" s="75"/>
      <c r="M258" s="75"/>
      <c r="N258" s="75"/>
      <c r="O258" s="75"/>
      <c r="P258" s="75"/>
      <c r="Q258" s="75"/>
      <c r="R258" s="75"/>
      <c r="S258" s="75"/>
      <c r="T258" s="75"/>
      <c r="U258" s="75"/>
      <c r="V258" s="75"/>
      <c r="W258" s="75"/>
      <c r="X258" s="75"/>
      <c r="Y258" s="75"/>
      <c r="Z258" s="75"/>
    </row>
    <row r="259">
      <c r="A259" s="45" t="s">
        <v>1019</v>
      </c>
      <c r="B259" s="46" t="s">
        <v>1020</v>
      </c>
      <c r="C259" s="50"/>
      <c r="D259" s="46" t="s">
        <v>14</v>
      </c>
      <c r="E259" s="46" t="s">
        <v>1021</v>
      </c>
      <c r="F259" s="45" t="s">
        <v>1022</v>
      </c>
      <c r="G259" s="48">
        <v>46077.0</v>
      </c>
      <c r="H259" s="49">
        <v>1.0</v>
      </c>
      <c r="I259" s="50" t="s">
        <v>56</v>
      </c>
      <c r="J259" s="65">
        <v>46078.0</v>
      </c>
      <c r="K259" s="46" t="s">
        <v>56</v>
      </c>
      <c r="L259" s="50"/>
      <c r="M259" s="50"/>
      <c r="N259" s="50"/>
      <c r="O259" s="50"/>
      <c r="P259" s="50"/>
      <c r="Q259" s="50"/>
      <c r="R259" s="50"/>
      <c r="S259" s="50"/>
      <c r="T259" s="50"/>
      <c r="U259" s="50"/>
      <c r="V259" s="50"/>
      <c r="W259" s="50"/>
      <c r="X259" s="50"/>
      <c r="Y259" s="50"/>
      <c r="Z259" s="50"/>
    </row>
    <row r="260">
      <c r="A260" s="59" t="s">
        <v>1023</v>
      </c>
      <c r="B260" s="60" t="s">
        <v>717</v>
      </c>
      <c r="C260" s="61">
        <v>2022.0</v>
      </c>
      <c r="D260" s="60" t="s">
        <v>136</v>
      </c>
      <c r="E260" s="60" t="s">
        <v>1024</v>
      </c>
      <c r="F260" s="59" t="s">
        <v>719</v>
      </c>
      <c r="G260" s="62">
        <v>46077.0</v>
      </c>
      <c r="H260" s="56">
        <v>1.0</v>
      </c>
      <c r="I260" s="58" t="s">
        <v>1025</v>
      </c>
      <c r="J260" s="63">
        <v>46078.0</v>
      </c>
      <c r="K260" s="60" t="s">
        <v>56</v>
      </c>
      <c r="L260" s="58"/>
      <c r="M260" s="58"/>
      <c r="N260" s="58"/>
      <c r="O260" s="58"/>
      <c r="P260" s="58"/>
      <c r="Q260" s="58"/>
      <c r="R260" s="58"/>
      <c r="S260" s="58"/>
      <c r="T260" s="58"/>
      <c r="U260" s="58"/>
      <c r="V260" s="58"/>
      <c r="W260" s="58"/>
      <c r="X260" s="58"/>
      <c r="Y260" s="58"/>
      <c r="Z260" s="58"/>
    </row>
    <row r="261">
      <c r="A261" s="45" t="s">
        <v>1026</v>
      </c>
      <c r="B261" s="46" t="s">
        <v>1027</v>
      </c>
      <c r="C261" s="50"/>
      <c r="D261" s="46" t="s">
        <v>52</v>
      </c>
      <c r="E261" s="46" t="s">
        <v>1028</v>
      </c>
      <c r="F261" s="45" t="s">
        <v>1029</v>
      </c>
      <c r="G261" s="48">
        <v>46077.0</v>
      </c>
      <c r="H261" s="49">
        <v>2.0</v>
      </c>
      <c r="I261" s="50" t="s">
        <v>1030</v>
      </c>
      <c r="J261" s="65">
        <v>46079.0</v>
      </c>
      <c r="K261" s="46" t="s">
        <v>1030</v>
      </c>
      <c r="L261" s="50"/>
      <c r="M261" s="50"/>
      <c r="N261" s="50"/>
      <c r="O261" s="50"/>
      <c r="P261" s="50"/>
      <c r="Q261" s="50"/>
      <c r="R261" s="50"/>
      <c r="S261" s="50"/>
      <c r="T261" s="50"/>
      <c r="U261" s="50"/>
      <c r="V261" s="50"/>
      <c r="W261" s="50"/>
      <c r="X261" s="50"/>
      <c r="Y261" s="50"/>
      <c r="Z261" s="50"/>
    </row>
    <row r="262">
      <c r="A262" s="59" t="s">
        <v>1031</v>
      </c>
      <c r="B262" s="60" t="s">
        <v>1017</v>
      </c>
      <c r="C262" s="61">
        <v>2015.0</v>
      </c>
      <c r="D262" s="60" t="s">
        <v>52</v>
      </c>
      <c r="E262" s="60" t="s">
        <v>1032</v>
      </c>
      <c r="F262" s="59" t="s">
        <v>1033</v>
      </c>
      <c r="G262" s="62">
        <v>46077.0</v>
      </c>
      <c r="H262" s="56">
        <v>0.0</v>
      </c>
      <c r="I262" s="58" t="s">
        <v>56</v>
      </c>
      <c r="J262" s="63">
        <v>46077.0</v>
      </c>
      <c r="K262" s="60" t="s">
        <v>56</v>
      </c>
      <c r="L262" s="58"/>
      <c r="M262" s="58"/>
      <c r="N262" s="58"/>
      <c r="O262" s="58"/>
      <c r="P262" s="58"/>
      <c r="Q262" s="58"/>
      <c r="R262" s="58"/>
      <c r="S262" s="58"/>
      <c r="T262" s="58"/>
      <c r="U262" s="58"/>
      <c r="V262" s="58"/>
      <c r="W262" s="58"/>
      <c r="X262" s="58"/>
      <c r="Y262" s="58"/>
      <c r="Z262" s="58"/>
    </row>
    <row r="263">
      <c r="A263" s="91">
        <v>17544.0</v>
      </c>
      <c r="B263" s="90" t="s">
        <v>1034</v>
      </c>
      <c r="C263" s="91">
        <v>2017.0</v>
      </c>
      <c r="D263" s="90" t="s">
        <v>911</v>
      </c>
      <c r="E263" s="90" t="s">
        <v>1035</v>
      </c>
      <c r="F263" s="102"/>
      <c r="G263" s="93">
        <v>46078.0</v>
      </c>
      <c r="H263" s="94">
        <f t="shared" ref="H263:H264" si="2">IF(G263="","",IF(J263="",TODAY()-G263,J263-G263))</f>
        <v>1</v>
      </c>
      <c r="I263" s="95" t="s">
        <v>1036</v>
      </c>
      <c r="J263" s="96">
        <v>46079.0</v>
      </c>
      <c r="K263" s="95" t="s">
        <v>1037</v>
      </c>
      <c r="L263" s="98"/>
      <c r="M263" s="98"/>
      <c r="N263" s="98"/>
      <c r="O263" s="98"/>
      <c r="P263" s="98"/>
      <c r="Q263" s="98"/>
      <c r="R263" s="98"/>
      <c r="S263" s="98"/>
      <c r="T263" s="98"/>
      <c r="U263" s="98"/>
      <c r="V263" s="98"/>
      <c r="W263" s="98"/>
      <c r="X263" s="98"/>
      <c r="Y263" s="98"/>
      <c r="Z263" s="98"/>
    </row>
    <row r="264">
      <c r="A264" s="69" t="s">
        <v>1038</v>
      </c>
      <c r="B264" s="68" t="s">
        <v>215</v>
      </c>
      <c r="C264" s="69">
        <v>2021.0</v>
      </c>
      <c r="D264" s="68" t="s">
        <v>40</v>
      </c>
      <c r="E264" s="68" t="s">
        <v>70</v>
      </c>
      <c r="F264" s="88"/>
      <c r="G264" s="71">
        <v>46078.0</v>
      </c>
      <c r="H264" s="72">
        <f t="shared" si="2"/>
        <v>2</v>
      </c>
      <c r="I264" s="73" t="s">
        <v>1039</v>
      </c>
      <c r="J264" s="74">
        <v>46080.0</v>
      </c>
      <c r="K264" s="73" t="s">
        <v>37</v>
      </c>
      <c r="L264" s="103">
        <v>26315.0</v>
      </c>
      <c r="M264" s="75"/>
      <c r="N264" s="75"/>
      <c r="O264" s="75"/>
      <c r="P264" s="75"/>
      <c r="Q264" s="75"/>
      <c r="R264" s="75"/>
      <c r="S264" s="75"/>
      <c r="T264" s="75"/>
      <c r="U264" s="75"/>
      <c r="V264" s="75"/>
      <c r="W264" s="75"/>
      <c r="X264" s="75"/>
      <c r="Y264" s="75"/>
      <c r="Z264" s="75"/>
    </row>
    <row r="265">
      <c r="A265" s="45" t="s">
        <v>1040</v>
      </c>
      <c r="B265" s="46" t="s">
        <v>1034</v>
      </c>
      <c r="C265" s="50"/>
      <c r="D265" s="46" t="s">
        <v>14</v>
      </c>
      <c r="E265" s="46" t="s">
        <v>1035</v>
      </c>
      <c r="F265" s="45" t="s">
        <v>1041</v>
      </c>
      <c r="G265" s="48">
        <v>46078.0</v>
      </c>
      <c r="H265" s="49">
        <v>1.0</v>
      </c>
      <c r="I265" s="50" t="s">
        <v>37</v>
      </c>
      <c r="J265" s="65">
        <v>46079.0</v>
      </c>
      <c r="K265" s="46" t="s">
        <v>37</v>
      </c>
      <c r="L265" s="50"/>
      <c r="M265" s="50"/>
      <c r="N265" s="50"/>
      <c r="O265" s="50"/>
      <c r="P265" s="50"/>
      <c r="Q265" s="50"/>
      <c r="R265" s="50"/>
      <c r="S265" s="50"/>
      <c r="T265" s="50"/>
      <c r="U265" s="50"/>
      <c r="V265" s="50"/>
      <c r="W265" s="50"/>
      <c r="X265" s="50"/>
      <c r="Y265" s="50"/>
      <c r="Z265" s="50"/>
    </row>
    <row r="266">
      <c r="A266" s="59" t="s">
        <v>1042</v>
      </c>
      <c r="B266" s="60" t="s">
        <v>1043</v>
      </c>
      <c r="C266" s="58"/>
      <c r="D266" s="60" t="s">
        <v>256</v>
      </c>
      <c r="E266" s="60" t="s">
        <v>1035</v>
      </c>
      <c r="F266" s="59" t="s">
        <v>1044</v>
      </c>
      <c r="G266" s="62">
        <v>46078.0</v>
      </c>
      <c r="H266" s="56">
        <v>0.0</v>
      </c>
      <c r="I266" s="58" t="s">
        <v>37</v>
      </c>
      <c r="J266" s="63">
        <v>46078.0</v>
      </c>
      <c r="K266" s="60" t="s">
        <v>37</v>
      </c>
      <c r="L266" s="58"/>
      <c r="M266" s="58"/>
      <c r="N266" s="58"/>
      <c r="O266" s="58"/>
      <c r="P266" s="58"/>
      <c r="Q266" s="58"/>
      <c r="R266" s="58"/>
      <c r="S266" s="58"/>
      <c r="T266" s="58"/>
      <c r="U266" s="58"/>
      <c r="V266" s="58"/>
      <c r="W266" s="58"/>
      <c r="X266" s="58"/>
      <c r="Y266" s="58"/>
      <c r="Z266" s="58"/>
    </row>
    <row r="267">
      <c r="A267" s="104" t="s">
        <v>1045</v>
      </c>
      <c r="B267" s="105" t="s">
        <v>1046</v>
      </c>
      <c r="C267" s="47">
        <v>2022.0</v>
      </c>
      <c r="D267" s="105" t="s">
        <v>52</v>
      </c>
      <c r="E267" s="105" t="s">
        <v>82</v>
      </c>
      <c r="F267" s="104" t="s">
        <v>1047</v>
      </c>
      <c r="G267" s="48">
        <v>46078.0</v>
      </c>
      <c r="H267" s="49">
        <v>0.0</v>
      </c>
      <c r="I267" s="50" t="s">
        <v>84</v>
      </c>
      <c r="J267" s="65">
        <v>46078.0</v>
      </c>
      <c r="K267" s="105" t="s">
        <v>84</v>
      </c>
      <c r="L267" s="50"/>
      <c r="M267" s="50"/>
      <c r="N267" s="50"/>
      <c r="O267" s="50"/>
      <c r="P267" s="50"/>
      <c r="Q267" s="50"/>
      <c r="R267" s="50"/>
      <c r="S267" s="50"/>
      <c r="T267" s="50"/>
      <c r="U267" s="50"/>
      <c r="V267" s="50"/>
      <c r="W267" s="50"/>
      <c r="X267" s="50"/>
      <c r="Y267" s="50"/>
      <c r="Z267" s="50"/>
    </row>
    <row r="268">
      <c r="A268" s="106" t="s">
        <v>1048</v>
      </c>
      <c r="B268" s="107" t="s">
        <v>1049</v>
      </c>
      <c r="C268" s="61">
        <v>2022.0</v>
      </c>
      <c r="D268" s="107" t="s">
        <v>52</v>
      </c>
      <c r="E268" s="107" t="s">
        <v>912</v>
      </c>
      <c r="F268" s="106" t="s">
        <v>1050</v>
      </c>
      <c r="G268" s="62">
        <v>46078.0</v>
      </c>
      <c r="H268" s="56">
        <v>78.0</v>
      </c>
      <c r="I268" s="58" t="s">
        <v>56</v>
      </c>
      <c r="J268" s="64"/>
      <c r="K268" s="107" t="s">
        <v>56</v>
      </c>
      <c r="L268" s="58"/>
      <c r="M268" s="58"/>
      <c r="N268" s="58"/>
      <c r="O268" s="58"/>
      <c r="P268" s="58"/>
      <c r="Q268" s="58"/>
      <c r="R268" s="58"/>
      <c r="S268" s="58"/>
      <c r="T268" s="58"/>
      <c r="U268" s="58"/>
      <c r="V268" s="58"/>
      <c r="W268" s="58"/>
      <c r="X268" s="58"/>
      <c r="Y268" s="58"/>
      <c r="Z268" s="58"/>
    </row>
    <row r="269">
      <c r="A269" s="108" t="s">
        <v>1051</v>
      </c>
      <c r="B269" s="109" t="s">
        <v>1052</v>
      </c>
      <c r="C269" s="78">
        <v>2022.0</v>
      </c>
      <c r="D269" s="109" t="s">
        <v>292</v>
      </c>
      <c r="E269" s="109" t="s">
        <v>912</v>
      </c>
      <c r="F269" s="108" t="s">
        <v>1053</v>
      </c>
      <c r="G269" s="79">
        <v>46160.0</v>
      </c>
      <c r="H269" s="49">
        <v>0.0</v>
      </c>
      <c r="I269" s="80" t="s">
        <v>1054</v>
      </c>
      <c r="J269" s="81">
        <v>46164.0</v>
      </c>
      <c r="K269" s="109" t="s">
        <v>24</v>
      </c>
      <c r="L269" s="80">
        <v>48052.0</v>
      </c>
      <c r="M269" s="50"/>
      <c r="N269" s="50"/>
      <c r="O269" s="50"/>
      <c r="P269" s="50"/>
      <c r="Q269" s="50"/>
      <c r="R269" s="50"/>
      <c r="S269" s="50"/>
      <c r="T269" s="50"/>
      <c r="U269" s="50"/>
      <c r="V269" s="50"/>
      <c r="W269" s="50"/>
      <c r="X269" s="50"/>
      <c r="Y269" s="50"/>
      <c r="Z269" s="50"/>
    </row>
    <row r="270">
      <c r="A270" s="106" t="s">
        <v>1055</v>
      </c>
      <c r="B270" s="107" t="s">
        <v>1056</v>
      </c>
      <c r="C270" s="61">
        <v>2022.0</v>
      </c>
      <c r="D270" s="107" t="s">
        <v>136</v>
      </c>
      <c r="E270" s="107" t="s">
        <v>1057</v>
      </c>
      <c r="F270" s="106" t="s">
        <v>1058</v>
      </c>
      <c r="G270" s="62">
        <v>46078.0</v>
      </c>
      <c r="H270" s="56">
        <v>0.0</v>
      </c>
      <c r="I270" s="58" t="s">
        <v>84</v>
      </c>
      <c r="J270" s="63">
        <v>46078.0</v>
      </c>
      <c r="K270" s="107" t="s">
        <v>84</v>
      </c>
      <c r="L270" s="58"/>
      <c r="M270" s="58"/>
      <c r="N270" s="58"/>
      <c r="O270" s="58"/>
      <c r="P270" s="58"/>
      <c r="Q270" s="58"/>
      <c r="R270" s="58"/>
      <c r="S270" s="58"/>
      <c r="T270" s="58"/>
      <c r="U270" s="58"/>
      <c r="V270" s="58"/>
      <c r="W270" s="58"/>
      <c r="X270" s="58"/>
      <c r="Y270" s="58"/>
      <c r="Z270" s="58"/>
    </row>
    <row r="271">
      <c r="A271" s="104" t="s">
        <v>1059</v>
      </c>
      <c r="B271" s="105" t="s">
        <v>1060</v>
      </c>
      <c r="C271" s="50"/>
      <c r="D271" s="105" t="s">
        <v>447</v>
      </c>
      <c r="E271" s="105" t="s">
        <v>137</v>
      </c>
      <c r="F271" s="104" t="s">
        <v>1061</v>
      </c>
      <c r="G271" s="100">
        <v>46078.0</v>
      </c>
      <c r="H271" s="49">
        <v>78.0</v>
      </c>
      <c r="I271" s="50" t="s">
        <v>56</v>
      </c>
      <c r="J271" s="51"/>
      <c r="K271" s="105" t="s">
        <v>56</v>
      </c>
      <c r="L271" s="50"/>
      <c r="M271" s="50"/>
      <c r="N271" s="50"/>
      <c r="O271" s="50"/>
      <c r="P271" s="50"/>
      <c r="Q271" s="50"/>
      <c r="R271" s="50"/>
      <c r="S271" s="50"/>
      <c r="T271" s="50"/>
      <c r="U271" s="50"/>
      <c r="V271" s="50"/>
      <c r="W271" s="50"/>
      <c r="X271" s="50"/>
      <c r="Y271" s="50"/>
      <c r="Z271" s="50"/>
    </row>
    <row r="272">
      <c r="A272" s="106" t="s">
        <v>1059</v>
      </c>
      <c r="B272" s="107" t="s">
        <v>1060</v>
      </c>
      <c r="C272" s="58"/>
      <c r="D272" s="107" t="s">
        <v>447</v>
      </c>
      <c r="E272" s="107" t="s">
        <v>137</v>
      </c>
      <c r="F272" s="106" t="s">
        <v>1061</v>
      </c>
      <c r="G272" s="62">
        <v>46078.0</v>
      </c>
      <c r="H272" s="56">
        <v>0.0</v>
      </c>
      <c r="I272" s="58" t="s">
        <v>56</v>
      </c>
      <c r="J272" s="63">
        <v>46078.0</v>
      </c>
      <c r="K272" s="107" t="s">
        <v>56</v>
      </c>
      <c r="L272" s="58"/>
      <c r="M272" s="58"/>
      <c r="N272" s="58"/>
      <c r="O272" s="58"/>
      <c r="P272" s="58"/>
      <c r="Q272" s="58"/>
      <c r="R272" s="58"/>
      <c r="S272" s="58"/>
      <c r="T272" s="58"/>
      <c r="U272" s="58"/>
      <c r="V272" s="58"/>
      <c r="W272" s="58"/>
      <c r="X272" s="58"/>
      <c r="Y272" s="58"/>
      <c r="Z272" s="58"/>
    </row>
    <row r="273">
      <c r="A273" s="91">
        <v>17558.0</v>
      </c>
      <c r="B273" s="90" t="s">
        <v>1062</v>
      </c>
      <c r="C273" s="91">
        <v>2022.0</v>
      </c>
      <c r="D273" s="90" t="s">
        <v>911</v>
      </c>
      <c r="E273" s="90" t="s">
        <v>567</v>
      </c>
      <c r="F273" s="101" t="s">
        <v>1063</v>
      </c>
      <c r="G273" s="93">
        <v>46079.0</v>
      </c>
      <c r="H273" s="94">
        <f t="shared" ref="H273:H281" si="3">IF(G273="","",IF(J273="",TODAY()-G273,J273-G273))</f>
        <v>1</v>
      </c>
      <c r="I273" s="95" t="s">
        <v>1064</v>
      </c>
      <c r="J273" s="96">
        <v>46080.0</v>
      </c>
      <c r="K273" s="95"/>
      <c r="L273" s="98"/>
      <c r="M273" s="98"/>
      <c r="N273" s="98"/>
      <c r="O273" s="98"/>
      <c r="P273" s="98"/>
      <c r="Q273" s="98"/>
      <c r="R273" s="98"/>
      <c r="S273" s="98"/>
      <c r="T273" s="98"/>
      <c r="U273" s="98"/>
      <c r="V273" s="98"/>
      <c r="W273" s="98"/>
      <c r="X273" s="98"/>
      <c r="Y273" s="98"/>
      <c r="Z273" s="98"/>
    </row>
    <row r="274">
      <c r="A274" s="69">
        <v>17559.0</v>
      </c>
      <c r="B274" s="68" t="s">
        <v>1065</v>
      </c>
      <c r="C274" s="69">
        <v>2013.0</v>
      </c>
      <c r="D274" s="68" t="s">
        <v>27</v>
      </c>
      <c r="E274" s="68" t="s">
        <v>70</v>
      </c>
      <c r="F274" s="70" t="s">
        <v>1066</v>
      </c>
      <c r="G274" s="71">
        <v>46079.0</v>
      </c>
      <c r="H274" s="72">
        <f t="shared" si="3"/>
        <v>1</v>
      </c>
      <c r="I274" s="73" t="s">
        <v>1067</v>
      </c>
      <c r="J274" s="74">
        <v>46080.0</v>
      </c>
      <c r="K274" s="73"/>
      <c r="L274" s="75"/>
      <c r="M274" s="103"/>
      <c r="N274" s="103"/>
      <c r="O274" s="103"/>
      <c r="P274" s="103"/>
      <c r="Q274" s="103"/>
      <c r="R274" s="103"/>
      <c r="S274" s="103"/>
      <c r="T274" s="103"/>
      <c r="U274" s="103"/>
      <c r="V274" s="103"/>
      <c r="W274" s="103"/>
      <c r="X274" s="103"/>
      <c r="Y274" s="103"/>
      <c r="Z274" s="103"/>
    </row>
    <row r="275">
      <c r="A275" s="91">
        <v>17560.0</v>
      </c>
      <c r="B275" s="90" t="s">
        <v>1068</v>
      </c>
      <c r="C275" s="91">
        <v>20222.0</v>
      </c>
      <c r="D275" s="90" t="s">
        <v>292</v>
      </c>
      <c r="E275" s="90" t="s">
        <v>1069</v>
      </c>
      <c r="F275" s="101" t="s">
        <v>1070</v>
      </c>
      <c r="G275" s="93">
        <v>46079.0</v>
      </c>
      <c r="H275" s="94">
        <f t="shared" si="3"/>
        <v>1</v>
      </c>
      <c r="I275" s="95" t="s">
        <v>1071</v>
      </c>
      <c r="J275" s="96">
        <v>46080.0</v>
      </c>
      <c r="K275" s="95"/>
      <c r="L275" s="98"/>
      <c r="M275" s="98"/>
      <c r="N275" s="98"/>
      <c r="O275" s="98"/>
      <c r="P275" s="98"/>
      <c r="Q275" s="98"/>
      <c r="R275" s="98"/>
      <c r="S275" s="98"/>
      <c r="T275" s="98"/>
      <c r="U275" s="98"/>
      <c r="V275" s="98"/>
      <c r="W275" s="98"/>
      <c r="X275" s="98"/>
      <c r="Y275" s="98"/>
      <c r="Z275" s="98"/>
    </row>
    <row r="276">
      <c r="A276" s="69">
        <v>18141.0</v>
      </c>
      <c r="B276" s="68" t="s">
        <v>1072</v>
      </c>
      <c r="C276" s="69">
        <v>2022.0</v>
      </c>
      <c r="D276" s="68" t="s">
        <v>245</v>
      </c>
      <c r="E276" s="68" t="s">
        <v>28</v>
      </c>
      <c r="F276" s="70" t="s">
        <v>1073</v>
      </c>
      <c r="G276" s="71">
        <v>46170.0</v>
      </c>
      <c r="H276" s="72">
        <f t="shared" si="3"/>
        <v>12</v>
      </c>
      <c r="I276" s="73" t="s">
        <v>1074</v>
      </c>
      <c r="J276" s="74">
        <v>46182.0</v>
      </c>
      <c r="K276" s="73" t="s">
        <v>31</v>
      </c>
      <c r="L276" s="103">
        <v>58879.0</v>
      </c>
      <c r="M276" s="75"/>
      <c r="N276" s="75"/>
      <c r="O276" s="75"/>
      <c r="P276" s="75"/>
      <c r="Q276" s="75"/>
      <c r="R276" s="75"/>
      <c r="S276" s="75"/>
      <c r="T276" s="75"/>
      <c r="U276" s="75"/>
      <c r="V276" s="75"/>
      <c r="W276" s="75"/>
      <c r="X276" s="75"/>
      <c r="Y276" s="75"/>
      <c r="Z276" s="75"/>
    </row>
    <row r="277">
      <c r="A277" s="91">
        <v>17564.0</v>
      </c>
      <c r="B277" s="90" t="s">
        <v>1075</v>
      </c>
      <c r="C277" s="91">
        <v>2019.0</v>
      </c>
      <c r="D277" s="90" t="s">
        <v>1076</v>
      </c>
      <c r="E277" s="90" t="s">
        <v>598</v>
      </c>
      <c r="F277" s="101" t="s">
        <v>1077</v>
      </c>
      <c r="G277" s="93">
        <v>46079.0</v>
      </c>
      <c r="H277" s="94">
        <f t="shared" si="3"/>
        <v>0</v>
      </c>
      <c r="I277" s="95" t="s">
        <v>1078</v>
      </c>
      <c r="J277" s="96">
        <v>46079.0</v>
      </c>
      <c r="K277" s="95"/>
      <c r="L277" s="98"/>
      <c r="M277" s="97"/>
      <c r="N277" s="97"/>
      <c r="O277" s="97"/>
      <c r="P277" s="97"/>
      <c r="Q277" s="97"/>
      <c r="R277" s="97"/>
      <c r="S277" s="97"/>
      <c r="T277" s="97"/>
      <c r="U277" s="97"/>
      <c r="V277" s="97"/>
      <c r="W277" s="97"/>
      <c r="X277" s="97"/>
      <c r="Y277" s="97"/>
      <c r="Z277" s="97"/>
    </row>
    <row r="278">
      <c r="A278" s="69">
        <v>17567.0</v>
      </c>
      <c r="B278" s="68" t="s">
        <v>1079</v>
      </c>
      <c r="C278" s="69">
        <v>2012.0</v>
      </c>
      <c r="D278" s="68" t="s">
        <v>1080</v>
      </c>
      <c r="E278" s="68" t="s">
        <v>277</v>
      </c>
      <c r="F278" s="70" t="s">
        <v>1081</v>
      </c>
      <c r="G278" s="71">
        <v>46079.0</v>
      </c>
      <c r="H278" s="72">
        <f t="shared" si="3"/>
        <v>0</v>
      </c>
      <c r="I278" s="73" t="s">
        <v>1082</v>
      </c>
      <c r="J278" s="74">
        <v>46079.0</v>
      </c>
      <c r="K278" s="73" t="s">
        <v>31</v>
      </c>
      <c r="L278" s="103">
        <v>48018.0</v>
      </c>
      <c r="M278" s="103"/>
      <c r="N278" s="103"/>
      <c r="O278" s="103"/>
      <c r="P278" s="103"/>
      <c r="Q278" s="103"/>
      <c r="R278" s="103"/>
      <c r="S278" s="103"/>
      <c r="T278" s="103"/>
      <c r="U278" s="103"/>
      <c r="V278" s="103"/>
      <c r="W278" s="103"/>
      <c r="X278" s="103"/>
      <c r="Y278" s="103"/>
      <c r="Z278" s="103"/>
    </row>
    <row r="279">
      <c r="A279" s="91">
        <v>17570.0</v>
      </c>
      <c r="B279" s="90" t="s">
        <v>1083</v>
      </c>
      <c r="C279" s="91">
        <v>2022.0</v>
      </c>
      <c r="D279" s="90" t="s">
        <v>911</v>
      </c>
      <c r="E279" s="90" t="s">
        <v>438</v>
      </c>
      <c r="F279" s="101" t="s">
        <v>1084</v>
      </c>
      <c r="G279" s="93">
        <v>46079.0</v>
      </c>
      <c r="H279" s="94">
        <f t="shared" si="3"/>
        <v>0</v>
      </c>
      <c r="I279" s="95" t="s">
        <v>1085</v>
      </c>
      <c r="J279" s="96">
        <v>46079.0</v>
      </c>
      <c r="K279" s="95"/>
      <c r="L279" s="98"/>
      <c r="M279" s="98"/>
      <c r="N279" s="98"/>
      <c r="O279" s="98"/>
      <c r="P279" s="98"/>
      <c r="Q279" s="98"/>
      <c r="R279" s="98"/>
      <c r="S279" s="98"/>
      <c r="T279" s="98"/>
      <c r="U279" s="98"/>
      <c r="V279" s="98"/>
      <c r="W279" s="98"/>
      <c r="X279" s="98"/>
      <c r="Y279" s="98"/>
      <c r="Z279" s="98"/>
    </row>
    <row r="280">
      <c r="A280" s="69">
        <v>18402.0</v>
      </c>
      <c r="B280" s="68" t="s">
        <v>1086</v>
      </c>
      <c r="C280" s="69">
        <v>2008.0</v>
      </c>
      <c r="D280" s="68" t="s">
        <v>1087</v>
      </c>
      <c r="E280" s="68" t="s">
        <v>160</v>
      </c>
      <c r="F280" s="70" t="s">
        <v>1088</v>
      </c>
      <c r="G280" s="71">
        <v>46219.0</v>
      </c>
      <c r="H280" s="72">
        <f t="shared" si="3"/>
        <v>0</v>
      </c>
      <c r="I280" s="73" t="s">
        <v>1089</v>
      </c>
      <c r="J280" s="74">
        <v>46219.0</v>
      </c>
      <c r="K280" s="73" t="s">
        <v>84</v>
      </c>
      <c r="L280" s="73">
        <v>71184.0</v>
      </c>
      <c r="M280" s="75"/>
      <c r="N280" s="75"/>
      <c r="O280" s="75"/>
      <c r="P280" s="75"/>
      <c r="Q280" s="75"/>
      <c r="R280" s="75"/>
      <c r="S280" s="75"/>
      <c r="T280" s="75"/>
      <c r="U280" s="75"/>
      <c r="V280" s="75"/>
      <c r="W280" s="75"/>
      <c r="X280" s="75"/>
      <c r="Y280" s="75"/>
      <c r="Z280" s="75"/>
    </row>
    <row r="281">
      <c r="A281" s="91">
        <v>18114.0</v>
      </c>
      <c r="B281" s="90" t="s">
        <v>1090</v>
      </c>
      <c r="C281" s="91">
        <v>2014.0</v>
      </c>
      <c r="D281" s="90" t="s">
        <v>1091</v>
      </c>
      <c r="E281" s="90" t="s">
        <v>1092</v>
      </c>
      <c r="F281" s="101" t="s">
        <v>1093</v>
      </c>
      <c r="G281" s="93">
        <v>46168.0</v>
      </c>
      <c r="H281" s="94">
        <f t="shared" si="3"/>
        <v>20</v>
      </c>
      <c r="I281" s="95" t="s">
        <v>1094</v>
      </c>
      <c r="J281" s="96">
        <v>46188.0</v>
      </c>
      <c r="K281" s="95" t="s">
        <v>31</v>
      </c>
      <c r="L281" s="97">
        <v>86725.0</v>
      </c>
      <c r="M281" s="98"/>
      <c r="N281" s="98"/>
      <c r="O281" s="98"/>
      <c r="P281" s="98"/>
      <c r="Q281" s="98"/>
      <c r="R281" s="98"/>
      <c r="S281" s="98"/>
      <c r="T281" s="98"/>
      <c r="U281" s="98"/>
      <c r="V281" s="98"/>
      <c r="W281" s="98"/>
      <c r="X281" s="98"/>
      <c r="Y281" s="98"/>
      <c r="Z281" s="98"/>
    </row>
    <row r="282">
      <c r="A282" s="106" t="s">
        <v>1095</v>
      </c>
      <c r="B282" s="107" t="s">
        <v>1062</v>
      </c>
      <c r="C282" s="58"/>
      <c r="D282" s="107" t="s">
        <v>14</v>
      </c>
      <c r="E282" s="107" t="s">
        <v>567</v>
      </c>
      <c r="F282" s="106" t="s">
        <v>1063</v>
      </c>
      <c r="G282" s="87">
        <v>46079.0</v>
      </c>
      <c r="H282" s="56">
        <v>0.0</v>
      </c>
      <c r="I282" s="58" t="s">
        <v>37</v>
      </c>
      <c r="J282" s="63">
        <v>46079.0</v>
      </c>
      <c r="K282" s="107" t="s">
        <v>37</v>
      </c>
      <c r="L282" s="58"/>
      <c r="M282" s="58"/>
      <c r="N282" s="58"/>
      <c r="O282" s="58"/>
      <c r="P282" s="58"/>
      <c r="Q282" s="58"/>
      <c r="R282" s="58"/>
      <c r="S282" s="58"/>
      <c r="T282" s="58"/>
      <c r="U282" s="58"/>
      <c r="V282" s="58"/>
      <c r="W282" s="58"/>
      <c r="X282" s="58"/>
      <c r="Y282" s="58"/>
      <c r="Z282" s="58"/>
    </row>
    <row r="283">
      <c r="A283" s="104" t="s">
        <v>1095</v>
      </c>
      <c r="B283" s="105" t="s">
        <v>1062</v>
      </c>
      <c r="C283" s="50"/>
      <c r="D283" s="105" t="s">
        <v>14</v>
      </c>
      <c r="E283" s="105" t="s">
        <v>567</v>
      </c>
      <c r="F283" s="104" t="s">
        <v>1063</v>
      </c>
      <c r="G283" s="48">
        <v>46079.0</v>
      </c>
      <c r="H283" s="49">
        <v>0.0</v>
      </c>
      <c r="I283" s="50" t="s">
        <v>37</v>
      </c>
      <c r="J283" s="65">
        <v>46079.0</v>
      </c>
      <c r="K283" s="105" t="s">
        <v>37</v>
      </c>
      <c r="L283" s="50"/>
      <c r="M283" s="50"/>
      <c r="N283" s="50"/>
      <c r="O283" s="50"/>
      <c r="P283" s="50"/>
      <c r="Q283" s="50"/>
      <c r="R283" s="50"/>
      <c r="S283" s="50"/>
      <c r="T283" s="50"/>
      <c r="U283" s="50"/>
      <c r="V283" s="50"/>
      <c r="W283" s="50"/>
      <c r="X283" s="50"/>
      <c r="Y283" s="50"/>
      <c r="Z283" s="50"/>
    </row>
    <row r="284">
      <c r="A284" s="106" t="s">
        <v>1096</v>
      </c>
      <c r="B284" s="107" t="s">
        <v>1065</v>
      </c>
      <c r="C284" s="61">
        <v>2013.0</v>
      </c>
      <c r="D284" s="107" t="s">
        <v>105</v>
      </c>
      <c r="E284" s="107" t="s">
        <v>70</v>
      </c>
      <c r="F284" s="106" t="s">
        <v>1066</v>
      </c>
      <c r="G284" s="87">
        <v>46079.0</v>
      </c>
      <c r="H284" s="56">
        <v>77.0</v>
      </c>
      <c r="I284" s="58" t="s">
        <v>56</v>
      </c>
      <c r="J284" s="64"/>
      <c r="K284" s="107" t="s">
        <v>56</v>
      </c>
      <c r="L284" s="58"/>
      <c r="M284" s="58"/>
      <c r="N284" s="58"/>
      <c r="O284" s="58"/>
      <c r="P284" s="58"/>
      <c r="Q284" s="58"/>
      <c r="R284" s="58"/>
      <c r="S284" s="58"/>
      <c r="T284" s="58"/>
      <c r="U284" s="58"/>
      <c r="V284" s="58"/>
      <c r="W284" s="58"/>
      <c r="X284" s="58"/>
      <c r="Y284" s="58"/>
      <c r="Z284" s="58"/>
    </row>
    <row r="285">
      <c r="A285" s="104" t="s">
        <v>1096</v>
      </c>
      <c r="B285" s="105" t="s">
        <v>1065</v>
      </c>
      <c r="C285" s="47">
        <v>2013.0</v>
      </c>
      <c r="D285" s="105" t="s">
        <v>105</v>
      </c>
      <c r="E285" s="105" t="s">
        <v>70</v>
      </c>
      <c r="F285" s="104" t="s">
        <v>1066</v>
      </c>
      <c r="G285" s="48">
        <v>46079.0</v>
      </c>
      <c r="H285" s="49">
        <v>1.0</v>
      </c>
      <c r="I285" s="50" t="s">
        <v>56</v>
      </c>
      <c r="J285" s="65">
        <v>46080.0</v>
      </c>
      <c r="K285" s="105" t="s">
        <v>56</v>
      </c>
      <c r="L285" s="50"/>
      <c r="M285" s="50"/>
      <c r="N285" s="50"/>
      <c r="O285" s="50"/>
      <c r="P285" s="50"/>
      <c r="Q285" s="50"/>
      <c r="R285" s="50"/>
      <c r="S285" s="50"/>
      <c r="T285" s="50"/>
      <c r="U285" s="50"/>
      <c r="V285" s="50"/>
      <c r="W285" s="50"/>
      <c r="X285" s="50"/>
      <c r="Y285" s="50"/>
      <c r="Z285" s="50"/>
    </row>
    <row r="286">
      <c r="A286" s="106" t="s">
        <v>1097</v>
      </c>
      <c r="B286" s="107" t="s">
        <v>1068</v>
      </c>
      <c r="C286" s="58"/>
      <c r="D286" s="107" t="s">
        <v>52</v>
      </c>
      <c r="E286" s="107" t="s">
        <v>1069</v>
      </c>
      <c r="F286" s="106" t="s">
        <v>1070</v>
      </c>
      <c r="G286" s="87">
        <v>46079.0</v>
      </c>
      <c r="H286" s="56">
        <v>0.0</v>
      </c>
      <c r="I286" s="58" t="s">
        <v>84</v>
      </c>
      <c r="J286" s="63">
        <v>46079.0</v>
      </c>
      <c r="K286" s="107" t="s">
        <v>84</v>
      </c>
      <c r="L286" s="58"/>
      <c r="M286" s="58"/>
      <c r="N286" s="58"/>
      <c r="O286" s="58"/>
      <c r="P286" s="58"/>
      <c r="Q286" s="58"/>
      <c r="R286" s="58"/>
      <c r="S286" s="58"/>
      <c r="T286" s="58"/>
      <c r="U286" s="58"/>
      <c r="V286" s="58"/>
      <c r="W286" s="58"/>
      <c r="X286" s="58"/>
      <c r="Y286" s="58"/>
      <c r="Z286" s="58"/>
    </row>
    <row r="287">
      <c r="A287" s="104" t="s">
        <v>1097</v>
      </c>
      <c r="B287" s="105" t="s">
        <v>1068</v>
      </c>
      <c r="C287" s="50"/>
      <c r="D287" s="105" t="s">
        <v>52</v>
      </c>
      <c r="E287" s="105" t="s">
        <v>1069</v>
      </c>
      <c r="F287" s="104" t="s">
        <v>1070</v>
      </c>
      <c r="G287" s="48">
        <v>46079.0</v>
      </c>
      <c r="H287" s="49">
        <v>0.0</v>
      </c>
      <c r="I287" s="50" t="s">
        <v>84</v>
      </c>
      <c r="J287" s="65">
        <v>46079.0</v>
      </c>
      <c r="K287" s="105" t="s">
        <v>84</v>
      </c>
      <c r="L287" s="50"/>
      <c r="M287" s="50"/>
      <c r="N287" s="50"/>
      <c r="O287" s="50"/>
      <c r="P287" s="50"/>
      <c r="Q287" s="50"/>
      <c r="R287" s="50"/>
      <c r="S287" s="50"/>
      <c r="T287" s="50"/>
      <c r="U287" s="50"/>
      <c r="V287" s="50"/>
      <c r="W287" s="50"/>
      <c r="X287" s="50"/>
      <c r="Y287" s="50"/>
      <c r="Z287" s="50"/>
    </row>
    <row r="288">
      <c r="A288" s="106" t="s">
        <v>1098</v>
      </c>
      <c r="B288" s="107" t="s">
        <v>1099</v>
      </c>
      <c r="C288" s="58"/>
      <c r="D288" s="107" t="s">
        <v>14</v>
      </c>
      <c r="E288" s="107" t="s">
        <v>117</v>
      </c>
      <c r="F288" s="106" t="s">
        <v>1100</v>
      </c>
      <c r="G288" s="62">
        <v>46079.0</v>
      </c>
      <c r="H288" s="56">
        <v>0.0</v>
      </c>
      <c r="I288" s="58" t="s">
        <v>655</v>
      </c>
      <c r="J288" s="63">
        <v>46079.0</v>
      </c>
      <c r="K288" s="107" t="s">
        <v>655</v>
      </c>
      <c r="L288" s="58"/>
      <c r="M288" s="58"/>
      <c r="N288" s="58"/>
      <c r="O288" s="58"/>
      <c r="P288" s="58"/>
      <c r="Q288" s="58"/>
      <c r="R288" s="58"/>
      <c r="S288" s="58"/>
      <c r="T288" s="58"/>
      <c r="U288" s="58"/>
      <c r="V288" s="58"/>
      <c r="W288" s="58"/>
      <c r="X288" s="58"/>
      <c r="Y288" s="58"/>
      <c r="Z288" s="58"/>
    </row>
    <row r="289">
      <c r="A289" s="104" t="s">
        <v>1101</v>
      </c>
      <c r="B289" s="105" t="s">
        <v>1072</v>
      </c>
      <c r="C289" s="47">
        <v>2022.0</v>
      </c>
      <c r="D289" s="105" t="s">
        <v>14</v>
      </c>
      <c r="E289" s="105" t="s">
        <v>28</v>
      </c>
      <c r="F289" s="104" t="s">
        <v>1073</v>
      </c>
      <c r="G289" s="100">
        <v>46079.0</v>
      </c>
      <c r="H289" s="49">
        <v>0.0</v>
      </c>
      <c r="I289" s="50" t="s">
        <v>56</v>
      </c>
      <c r="J289" s="65">
        <v>46079.0</v>
      </c>
      <c r="K289" s="105" t="s">
        <v>56</v>
      </c>
      <c r="L289" s="50"/>
      <c r="M289" s="50"/>
      <c r="N289" s="50"/>
      <c r="O289" s="50"/>
      <c r="P289" s="50"/>
      <c r="Q289" s="50"/>
      <c r="R289" s="50"/>
      <c r="S289" s="50"/>
      <c r="T289" s="50"/>
      <c r="U289" s="50"/>
      <c r="V289" s="50"/>
      <c r="W289" s="50"/>
      <c r="X289" s="50"/>
      <c r="Y289" s="50"/>
      <c r="Z289" s="50"/>
    </row>
    <row r="290">
      <c r="A290" s="106" t="s">
        <v>1101</v>
      </c>
      <c r="B290" s="107" t="s">
        <v>1072</v>
      </c>
      <c r="C290" s="61">
        <v>2022.0</v>
      </c>
      <c r="D290" s="107" t="s">
        <v>14</v>
      </c>
      <c r="E290" s="107" t="s">
        <v>28</v>
      </c>
      <c r="F290" s="106" t="s">
        <v>1073</v>
      </c>
      <c r="G290" s="62">
        <v>46079.0</v>
      </c>
      <c r="H290" s="56">
        <v>0.0</v>
      </c>
      <c r="I290" s="58" t="s">
        <v>56</v>
      </c>
      <c r="J290" s="63">
        <v>46079.0</v>
      </c>
      <c r="K290" s="107" t="s">
        <v>56</v>
      </c>
      <c r="L290" s="58"/>
      <c r="M290" s="58"/>
      <c r="N290" s="58"/>
      <c r="O290" s="58"/>
      <c r="P290" s="58"/>
      <c r="Q290" s="58"/>
      <c r="R290" s="58"/>
      <c r="S290" s="58"/>
      <c r="T290" s="58"/>
      <c r="U290" s="58"/>
      <c r="V290" s="58"/>
      <c r="W290" s="58"/>
      <c r="X290" s="58"/>
      <c r="Y290" s="58"/>
      <c r="Z290" s="58"/>
    </row>
    <row r="291">
      <c r="A291" s="108" t="s">
        <v>1102</v>
      </c>
      <c r="B291" s="109" t="s">
        <v>1103</v>
      </c>
      <c r="C291" s="80">
        <v>2014.0</v>
      </c>
      <c r="D291" s="109" t="s">
        <v>1104</v>
      </c>
      <c r="E291" s="109" t="s">
        <v>70</v>
      </c>
      <c r="F291" s="108" t="s">
        <v>1105</v>
      </c>
      <c r="G291" s="79">
        <v>46079.0</v>
      </c>
      <c r="H291" s="49">
        <v>77.0</v>
      </c>
      <c r="I291" s="80" t="s">
        <v>1106</v>
      </c>
      <c r="J291" s="82">
        <v>46217.0</v>
      </c>
      <c r="K291" s="109" t="s">
        <v>24</v>
      </c>
      <c r="L291" s="83">
        <v>114082.0</v>
      </c>
      <c r="M291" s="50"/>
      <c r="N291" s="50"/>
      <c r="O291" s="50"/>
      <c r="P291" s="50"/>
      <c r="Q291" s="50"/>
      <c r="R291" s="50"/>
      <c r="S291" s="50"/>
      <c r="T291" s="50"/>
      <c r="U291" s="50"/>
      <c r="V291" s="50"/>
      <c r="W291" s="50"/>
      <c r="X291" s="50"/>
      <c r="Y291" s="50"/>
      <c r="Z291" s="50"/>
    </row>
    <row r="292">
      <c r="A292" s="59" t="s">
        <v>1107</v>
      </c>
      <c r="B292" s="60" t="s">
        <v>1075</v>
      </c>
      <c r="C292" s="58"/>
      <c r="D292" s="60" t="s">
        <v>514</v>
      </c>
      <c r="E292" s="60" t="s">
        <v>1108</v>
      </c>
      <c r="F292" s="59" t="s">
        <v>1077</v>
      </c>
      <c r="G292" s="87">
        <v>46079.0</v>
      </c>
      <c r="H292" s="56">
        <v>0.0</v>
      </c>
      <c r="I292" s="58" t="s">
        <v>37</v>
      </c>
      <c r="J292" s="63">
        <v>46079.0</v>
      </c>
      <c r="K292" s="60" t="s">
        <v>37</v>
      </c>
      <c r="L292" s="58"/>
      <c r="M292" s="58"/>
      <c r="N292" s="58"/>
      <c r="O292" s="58"/>
      <c r="P292" s="58"/>
      <c r="Q292" s="58"/>
      <c r="R292" s="58"/>
      <c r="S292" s="58"/>
      <c r="T292" s="58"/>
      <c r="U292" s="58"/>
      <c r="V292" s="58"/>
      <c r="W292" s="58"/>
      <c r="X292" s="58"/>
      <c r="Y292" s="58"/>
      <c r="Z292" s="58"/>
    </row>
    <row r="293">
      <c r="A293" s="45" t="s">
        <v>1107</v>
      </c>
      <c r="B293" s="46" t="s">
        <v>1075</v>
      </c>
      <c r="C293" s="50"/>
      <c r="D293" s="46" t="s">
        <v>514</v>
      </c>
      <c r="E293" s="46" t="s">
        <v>1108</v>
      </c>
      <c r="F293" s="45" t="s">
        <v>1077</v>
      </c>
      <c r="G293" s="48">
        <v>46079.0</v>
      </c>
      <c r="H293" s="49">
        <v>0.0</v>
      </c>
      <c r="I293" s="50" t="s">
        <v>37</v>
      </c>
      <c r="J293" s="65">
        <v>46079.0</v>
      </c>
      <c r="K293" s="46" t="s">
        <v>37</v>
      </c>
      <c r="L293" s="50"/>
      <c r="M293" s="50"/>
      <c r="N293" s="50"/>
      <c r="O293" s="50"/>
      <c r="P293" s="50"/>
      <c r="Q293" s="50"/>
      <c r="R293" s="50"/>
      <c r="S293" s="50"/>
      <c r="T293" s="50"/>
      <c r="U293" s="50"/>
      <c r="V293" s="50"/>
      <c r="W293" s="50"/>
      <c r="X293" s="50"/>
      <c r="Y293" s="50"/>
      <c r="Z293" s="50"/>
    </row>
    <row r="294">
      <c r="A294" s="59" t="s">
        <v>1109</v>
      </c>
      <c r="B294" s="60" t="s">
        <v>1090</v>
      </c>
      <c r="C294" s="61">
        <v>2014.0</v>
      </c>
      <c r="D294" s="60" t="s">
        <v>136</v>
      </c>
      <c r="E294" s="60" t="s">
        <v>1110</v>
      </c>
      <c r="F294" s="59" t="s">
        <v>1093</v>
      </c>
      <c r="G294" s="87">
        <v>46079.0</v>
      </c>
      <c r="H294" s="56">
        <v>77.0</v>
      </c>
      <c r="I294" s="58" t="s">
        <v>56</v>
      </c>
      <c r="J294" s="64"/>
      <c r="K294" s="107" t="s">
        <v>56</v>
      </c>
      <c r="L294" s="58"/>
      <c r="M294" s="58"/>
      <c r="N294" s="58"/>
      <c r="O294" s="58"/>
      <c r="P294" s="58"/>
      <c r="Q294" s="58"/>
      <c r="R294" s="58"/>
      <c r="S294" s="58"/>
      <c r="T294" s="58"/>
      <c r="U294" s="58"/>
      <c r="V294" s="58"/>
      <c r="W294" s="58"/>
      <c r="X294" s="58"/>
      <c r="Y294" s="58"/>
      <c r="Z294" s="58"/>
    </row>
    <row r="295">
      <c r="A295" s="45" t="s">
        <v>1109</v>
      </c>
      <c r="B295" s="46" t="s">
        <v>1090</v>
      </c>
      <c r="C295" s="47">
        <v>2014.0</v>
      </c>
      <c r="D295" s="46" t="s">
        <v>136</v>
      </c>
      <c r="E295" s="46" t="s">
        <v>1110</v>
      </c>
      <c r="F295" s="45" t="s">
        <v>1093</v>
      </c>
      <c r="G295" s="48">
        <v>46079.0</v>
      </c>
      <c r="H295" s="49">
        <v>77.0</v>
      </c>
      <c r="I295" s="50" t="s">
        <v>56</v>
      </c>
      <c r="J295" s="51"/>
      <c r="K295" s="105" t="s">
        <v>56</v>
      </c>
      <c r="L295" s="50"/>
      <c r="M295" s="50"/>
      <c r="N295" s="50"/>
      <c r="O295" s="50"/>
      <c r="P295" s="50"/>
      <c r="Q295" s="50"/>
      <c r="R295" s="50"/>
      <c r="S295" s="50"/>
      <c r="T295" s="50"/>
      <c r="U295" s="50"/>
      <c r="V295" s="50"/>
      <c r="W295" s="50"/>
      <c r="X295" s="50"/>
      <c r="Y295" s="50"/>
      <c r="Z295" s="50"/>
    </row>
    <row r="296">
      <c r="A296" s="59" t="s">
        <v>1111</v>
      </c>
      <c r="B296" s="60" t="s">
        <v>1112</v>
      </c>
      <c r="C296" s="58"/>
      <c r="D296" s="60" t="s">
        <v>52</v>
      </c>
      <c r="E296" s="60" t="s">
        <v>1108</v>
      </c>
      <c r="F296" s="59" t="s">
        <v>1113</v>
      </c>
      <c r="G296" s="87">
        <v>46079.0</v>
      </c>
      <c r="H296" s="56">
        <v>0.0</v>
      </c>
      <c r="I296" s="58" t="s">
        <v>56</v>
      </c>
      <c r="J296" s="63">
        <v>46079.0</v>
      </c>
      <c r="K296" s="107" t="s">
        <v>56</v>
      </c>
      <c r="L296" s="58"/>
      <c r="M296" s="58"/>
      <c r="N296" s="58"/>
      <c r="O296" s="58"/>
      <c r="P296" s="58"/>
      <c r="Q296" s="58"/>
      <c r="R296" s="58"/>
      <c r="S296" s="58"/>
      <c r="T296" s="58"/>
      <c r="U296" s="58"/>
      <c r="V296" s="58"/>
      <c r="W296" s="58"/>
      <c r="X296" s="58"/>
      <c r="Y296" s="58"/>
      <c r="Z296" s="58"/>
    </row>
    <row r="297">
      <c r="A297" s="45" t="s">
        <v>1111</v>
      </c>
      <c r="B297" s="46" t="s">
        <v>1112</v>
      </c>
      <c r="C297" s="50"/>
      <c r="D297" s="46" t="s">
        <v>52</v>
      </c>
      <c r="E297" s="46" t="s">
        <v>1108</v>
      </c>
      <c r="F297" s="45" t="s">
        <v>1113</v>
      </c>
      <c r="G297" s="48">
        <v>46079.0</v>
      </c>
      <c r="H297" s="49">
        <v>0.0</v>
      </c>
      <c r="I297" s="50" t="s">
        <v>56</v>
      </c>
      <c r="J297" s="65">
        <v>46079.0</v>
      </c>
      <c r="K297" s="105" t="s">
        <v>56</v>
      </c>
      <c r="L297" s="50"/>
      <c r="M297" s="50"/>
      <c r="N297" s="50"/>
      <c r="O297" s="50"/>
      <c r="P297" s="50"/>
      <c r="Q297" s="50"/>
      <c r="R297" s="50"/>
      <c r="S297" s="50"/>
      <c r="T297" s="50"/>
      <c r="U297" s="50"/>
      <c r="V297" s="50"/>
      <c r="W297" s="50"/>
      <c r="X297" s="50"/>
      <c r="Y297" s="50"/>
      <c r="Z297" s="50"/>
    </row>
    <row r="298">
      <c r="A298" s="59" t="s">
        <v>1114</v>
      </c>
      <c r="B298" s="60" t="s">
        <v>1079</v>
      </c>
      <c r="C298" s="61">
        <v>2012.0</v>
      </c>
      <c r="D298" s="60" t="s">
        <v>324</v>
      </c>
      <c r="E298" s="60" t="s">
        <v>277</v>
      </c>
      <c r="F298" s="59" t="s">
        <v>1081</v>
      </c>
      <c r="G298" s="87">
        <v>46079.0</v>
      </c>
      <c r="H298" s="56">
        <v>77.0</v>
      </c>
      <c r="I298" s="58" t="s">
        <v>56</v>
      </c>
      <c r="J298" s="64"/>
      <c r="K298" s="107" t="s">
        <v>56</v>
      </c>
      <c r="L298" s="58"/>
      <c r="M298" s="58"/>
      <c r="N298" s="58"/>
      <c r="O298" s="58"/>
      <c r="P298" s="58"/>
      <c r="Q298" s="58"/>
      <c r="R298" s="58"/>
      <c r="S298" s="58"/>
      <c r="T298" s="58"/>
      <c r="U298" s="58"/>
      <c r="V298" s="58"/>
      <c r="W298" s="58"/>
      <c r="X298" s="58"/>
      <c r="Y298" s="58"/>
      <c r="Z298" s="58"/>
    </row>
    <row r="299">
      <c r="A299" s="45" t="s">
        <v>1114</v>
      </c>
      <c r="B299" s="46" t="s">
        <v>1079</v>
      </c>
      <c r="C299" s="47">
        <v>2012.0</v>
      </c>
      <c r="D299" s="46" t="s">
        <v>324</v>
      </c>
      <c r="E299" s="46" t="s">
        <v>277</v>
      </c>
      <c r="F299" s="45" t="s">
        <v>1081</v>
      </c>
      <c r="G299" s="48">
        <v>46079.0</v>
      </c>
      <c r="H299" s="49">
        <v>77.0</v>
      </c>
      <c r="I299" s="50" t="s">
        <v>56</v>
      </c>
      <c r="J299" s="51"/>
      <c r="K299" s="105" t="s">
        <v>56</v>
      </c>
      <c r="L299" s="50"/>
      <c r="M299" s="50"/>
      <c r="N299" s="50"/>
      <c r="O299" s="50"/>
      <c r="P299" s="50"/>
      <c r="Q299" s="50"/>
      <c r="R299" s="50"/>
      <c r="S299" s="50"/>
      <c r="T299" s="50"/>
      <c r="U299" s="50"/>
      <c r="V299" s="50"/>
      <c r="W299" s="50"/>
      <c r="X299" s="50"/>
      <c r="Y299" s="50"/>
      <c r="Z299" s="50"/>
    </row>
    <row r="300">
      <c r="A300" s="52" t="s">
        <v>1115</v>
      </c>
      <c r="B300" s="53" t="s">
        <v>1116</v>
      </c>
      <c r="C300" s="66">
        <v>2020.0</v>
      </c>
      <c r="D300" s="53" t="s">
        <v>1117</v>
      </c>
      <c r="E300" s="53" t="s">
        <v>47</v>
      </c>
      <c r="F300" s="52" t="s">
        <v>1118</v>
      </c>
      <c r="G300" s="55">
        <v>46142.0</v>
      </c>
      <c r="H300" s="56">
        <v>77.0</v>
      </c>
      <c r="I300" s="54" t="s">
        <v>1119</v>
      </c>
      <c r="J300" s="57">
        <v>46217.0</v>
      </c>
      <c r="K300" s="53" t="s">
        <v>24</v>
      </c>
      <c r="L300" s="85">
        <v>83154.0</v>
      </c>
      <c r="M300" s="58"/>
      <c r="N300" s="58"/>
      <c r="O300" s="58"/>
      <c r="P300" s="58"/>
      <c r="Q300" s="58"/>
      <c r="R300" s="58"/>
      <c r="S300" s="58"/>
      <c r="T300" s="58"/>
      <c r="U300" s="58"/>
      <c r="V300" s="58"/>
      <c r="W300" s="58"/>
      <c r="X300" s="58"/>
      <c r="Y300" s="58"/>
      <c r="Z300" s="58"/>
    </row>
    <row r="301">
      <c r="A301" s="45" t="s">
        <v>1120</v>
      </c>
      <c r="B301" s="46" t="s">
        <v>1083</v>
      </c>
      <c r="C301" s="50"/>
      <c r="D301" s="46" t="s">
        <v>14</v>
      </c>
      <c r="E301" s="46" t="s">
        <v>438</v>
      </c>
      <c r="F301" s="45" t="s">
        <v>1084</v>
      </c>
      <c r="G301" s="100">
        <v>46079.0</v>
      </c>
      <c r="H301" s="49">
        <v>77.0</v>
      </c>
      <c r="I301" s="50" t="s">
        <v>37</v>
      </c>
      <c r="J301" s="51"/>
      <c r="K301" s="46" t="s">
        <v>37</v>
      </c>
      <c r="L301" s="50"/>
      <c r="M301" s="50"/>
      <c r="N301" s="50"/>
      <c r="O301" s="50"/>
      <c r="P301" s="50"/>
      <c r="Q301" s="50"/>
      <c r="R301" s="50"/>
      <c r="S301" s="50"/>
      <c r="T301" s="50"/>
      <c r="U301" s="50"/>
      <c r="V301" s="50"/>
      <c r="W301" s="50"/>
      <c r="X301" s="50"/>
      <c r="Y301" s="50"/>
      <c r="Z301" s="50"/>
    </row>
    <row r="302">
      <c r="A302" s="59" t="s">
        <v>1120</v>
      </c>
      <c r="B302" s="60" t="s">
        <v>1083</v>
      </c>
      <c r="C302" s="58"/>
      <c r="D302" s="60" t="s">
        <v>14</v>
      </c>
      <c r="E302" s="60" t="s">
        <v>438</v>
      </c>
      <c r="F302" s="59" t="s">
        <v>1084</v>
      </c>
      <c r="G302" s="62">
        <v>46079.0</v>
      </c>
      <c r="H302" s="56">
        <v>0.0</v>
      </c>
      <c r="I302" s="58" t="s">
        <v>37</v>
      </c>
      <c r="J302" s="63">
        <v>46079.0</v>
      </c>
      <c r="K302" s="60" t="s">
        <v>37</v>
      </c>
      <c r="L302" s="58"/>
      <c r="M302" s="58"/>
      <c r="N302" s="58"/>
      <c r="O302" s="58"/>
      <c r="P302" s="58"/>
      <c r="Q302" s="58"/>
      <c r="R302" s="58"/>
      <c r="S302" s="58"/>
      <c r="T302" s="58"/>
      <c r="U302" s="58"/>
      <c r="V302" s="58"/>
      <c r="W302" s="58"/>
      <c r="X302" s="58"/>
      <c r="Y302" s="58"/>
      <c r="Z302" s="58"/>
    </row>
    <row r="303">
      <c r="A303" s="45" t="s">
        <v>1121</v>
      </c>
      <c r="B303" s="46" t="s">
        <v>1086</v>
      </c>
      <c r="C303" s="50"/>
      <c r="D303" s="46" t="s">
        <v>1122</v>
      </c>
      <c r="E303" s="46" t="s">
        <v>1123</v>
      </c>
      <c r="F303" s="45" t="s">
        <v>1088</v>
      </c>
      <c r="G303" s="100">
        <v>46079.0</v>
      </c>
      <c r="H303" s="49">
        <v>77.0</v>
      </c>
      <c r="I303" s="50" t="s">
        <v>56</v>
      </c>
      <c r="J303" s="51"/>
      <c r="K303" s="105" t="s">
        <v>56</v>
      </c>
      <c r="L303" s="50"/>
      <c r="M303" s="50"/>
      <c r="N303" s="50"/>
      <c r="O303" s="50"/>
      <c r="P303" s="50"/>
      <c r="Q303" s="50"/>
      <c r="R303" s="50"/>
      <c r="S303" s="50"/>
      <c r="T303" s="50"/>
      <c r="U303" s="50"/>
      <c r="V303" s="50"/>
      <c r="W303" s="50"/>
      <c r="X303" s="50"/>
      <c r="Y303" s="50"/>
      <c r="Z303" s="50"/>
    </row>
    <row r="304">
      <c r="A304" s="59" t="s">
        <v>1121</v>
      </c>
      <c r="B304" s="60" t="s">
        <v>1086</v>
      </c>
      <c r="C304" s="58"/>
      <c r="D304" s="60" t="s">
        <v>1122</v>
      </c>
      <c r="E304" s="60" t="s">
        <v>1123</v>
      </c>
      <c r="F304" s="59" t="s">
        <v>1088</v>
      </c>
      <c r="G304" s="62">
        <v>46079.0</v>
      </c>
      <c r="H304" s="56">
        <v>77.0</v>
      </c>
      <c r="I304" s="58" t="s">
        <v>56</v>
      </c>
      <c r="J304" s="64"/>
      <c r="K304" s="107" t="s">
        <v>56</v>
      </c>
      <c r="L304" s="58"/>
      <c r="M304" s="58"/>
      <c r="N304" s="58"/>
      <c r="O304" s="58"/>
      <c r="P304" s="58"/>
      <c r="Q304" s="58"/>
      <c r="R304" s="58"/>
      <c r="S304" s="58"/>
      <c r="T304" s="58"/>
      <c r="U304" s="58"/>
      <c r="V304" s="58"/>
      <c r="W304" s="58"/>
      <c r="X304" s="58"/>
      <c r="Y304" s="58"/>
      <c r="Z304" s="58"/>
    </row>
    <row r="305">
      <c r="A305" s="45" t="s">
        <v>1124</v>
      </c>
      <c r="B305" s="46" t="s">
        <v>494</v>
      </c>
      <c r="C305" s="47">
        <v>2022.0</v>
      </c>
      <c r="D305" s="46" t="s">
        <v>52</v>
      </c>
      <c r="E305" s="46" t="s">
        <v>160</v>
      </c>
      <c r="F305" s="45" t="s">
        <v>495</v>
      </c>
      <c r="G305" s="48">
        <v>46080.0</v>
      </c>
      <c r="H305" s="49">
        <v>0.0</v>
      </c>
      <c r="I305" s="50" t="s">
        <v>56</v>
      </c>
      <c r="J305" s="65">
        <v>46080.0</v>
      </c>
      <c r="K305" s="105" t="s">
        <v>56</v>
      </c>
      <c r="L305" s="50"/>
      <c r="M305" s="50"/>
      <c r="N305" s="50"/>
      <c r="O305" s="50"/>
      <c r="P305" s="50"/>
      <c r="Q305" s="50"/>
      <c r="R305" s="50"/>
      <c r="S305" s="50"/>
      <c r="T305" s="50"/>
      <c r="U305" s="50"/>
      <c r="V305" s="50"/>
      <c r="W305" s="50"/>
      <c r="X305" s="50"/>
      <c r="Y305" s="50"/>
      <c r="Z305" s="50"/>
    </row>
    <row r="306">
      <c r="A306" s="52" t="s">
        <v>1125</v>
      </c>
      <c r="B306" s="53" t="s">
        <v>1126</v>
      </c>
      <c r="C306" s="66">
        <v>2022.0</v>
      </c>
      <c r="D306" s="53" t="s">
        <v>239</v>
      </c>
      <c r="E306" s="53" t="s">
        <v>47</v>
      </c>
      <c r="F306" s="52" t="s">
        <v>1127</v>
      </c>
      <c r="G306" s="55">
        <v>46185.0</v>
      </c>
      <c r="H306" s="56">
        <v>0.0</v>
      </c>
      <c r="I306" s="54" t="s">
        <v>1128</v>
      </c>
      <c r="J306" s="84">
        <v>46188.0</v>
      </c>
      <c r="K306" s="110" t="s">
        <v>31</v>
      </c>
      <c r="L306" s="54">
        <v>95884.0</v>
      </c>
      <c r="M306" s="58"/>
      <c r="N306" s="58"/>
      <c r="O306" s="58"/>
      <c r="P306" s="58"/>
      <c r="Q306" s="58"/>
      <c r="R306" s="58"/>
      <c r="S306" s="58"/>
      <c r="T306" s="58"/>
      <c r="U306" s="58"/>
      <c r="V306" s="58"/>
      <c r="W306" s="58"/>
      <c r="X306" s="58"/>
      <c r="Y306" s="58"/>
      <c r="Z306" s="58"/>
    </row>
    <row r="307">
      <c r="A307" s="91">
        <v>17575.0</v>
      </c>
      <c r="B307" s="90" t="s">
        <v>1129</v>
      </c>
      <c r="C307" s="91">
        <v>2022.0</v>
      </c>
      <c r="D307" s="90" t="s">
        <v>911</v>
      </c>
      <c r="E307" s="90" t="s">
        <v>35</v>
      </c>
      <c r="F307" s="101" t="s">
        <v>1130</v>
      </c>
      <c r="G307" s="93">
        <v>46083.0</v>
      </c>
      <c r="H307" s="94">
        <f t="shared" ref="H307:H542" si="4">IF(G307="","",IF(J307="",TODAY()-G307,J307-G307))</f>
        <v>9</v>
      </c>
      <c r="I307" s="95" t="s">
        <v>1131</v>
      </c>
      <c r="J307" s="96">
        <v>46092.0</v>
      </c>
      <c r="K307" s="95"/>
      <c r="L307" s="98"/>
      <c r="M307" s="98"/>
      <c r="N307" s="98"/>
      <c r="O307" s="98"/>
      <c r="P307" s="98"/>
      <c r="Q307" s="98"/>
      <c r="R307" s="98"/>
      <c r="S307" s="98"/>
      <c r="T307" s="98"/>
      <c r="U307" s="98"/>
      <c r="V307" s="98"/>
      <c r="W307" s="98"/>
      <c r="X307" s="98"/>
      <c r="Y307" s="98"/>
      <c r="Z307" s="98"/>
    </row>
    <row r="308">
      <c r="A308" s="69">
        <v>17576.0</v>
      </c>
      <c r="B308" s="68" t="s">
        <v>1132</v>
      </c>
      <c r="C308" s="69">
        <v>2019.0</v>
      </c>
      <c r="D308" s="68" t="s">
        <v>1133</v>
      </c>
      <c r="E308" s="68" t="s">
        <v>1134</v>
      </c>
      <c r="F308" s="70" t="s">
        <v>1135</v>
      </c>
      <c r="G308" s="71">
        <v>46083.0</v>
      </c>
      <c r="H308" s="72">
        <f t="shared" si="4"/>
        <v>4</v>
      </c>
      <c r="I308" s="73" t="s">
        <v>1136</v>
      </c>
      <c r="J308" s="111">
        <v>46087.0</v>
      </c>
      <c r="K308" s="73"/>
      <c r="L308" s="75"/>
      <c r="M308" s="75"/>
      <c r="N308" s="75"/>
      <c r="O308" s="75"/>
      <c r="P308" s="75"/>
      <c r="Q308" s="75"/>
      <c r="R308" s="75"/>
      <c r="S308" s="75"/>
      <c r="T308" s="75"/>
      <c r="U308" s="75"/>
      <c r="V308" s="75"/>
      <c r="W308" s="75"/>
      <c r="X308" s="75"/>
      <c r="Y308" s="75"/>
      <c r="Z308" s="75"/>
    </row>
    <row r="309">
      <c r="A309" s="91">
        <v>17577.0</v>
      </c>
      <c r="B309" s="90" t="s">
        <v>1137</v>
      </c>
      <c r="C309" s="91">
        <v>2018.0</v>
      </c>
      <c r="D309" s="90" t="s">
        <v>182</v>
      </c>
      <c r="E309" s="90" t="s">
        <v>47</v>
      </c>
      <c r="F309" s="101" t="s">
        <v>1138</v>
      </c>
      <c r="G309" s="93">
        <v>46083.0</v>
      </c>
      <c r="H309" s="94">
        <f t="shared" si="4"/>
        <v>142</v>
      </c>
      <c r="I309" s="95" t="s">
        <v>1139</v>
      </c>
      <c r="J309" s="98"/>
      <c r="K309" s="95"/>
      <c r="L309" s="98"/>
      <c r="M309" s="97"/>
      <c r="N309" s="97"/>
      <c r="O309" s="97"/>
      <c r="P309" s="97"/>
      <c r="Q309" s="97"/>
      <c r="R309" s="97"/>
      <c r="S309" s="97"/>
      <c r="T309" s="97"/>
      <c r="U309" s="97"/>
      <c r="V309" s="97"/>
      <c r="W309" s="97"/>
      <c r="X309" s="97"/>
      <c r="Y309" s="97"/>
      <c r="Z309" s="97"/>
    </row>
    <row r="310">
      <c r="A310" s="69">
        <v>17578.0</v>
      </c>
      <c r="B310" s="68" t="s">
        <v>1140</v>
      </c>
      <c r="C310" s="69">
        <v>2022.0</v>
      </c>
      <c r="D310" s="68" t="s">
        <v>1141</v>
      </c>
      <c r="E310" s="68" t="s">
        <v>1142</v>
      </c>
      <c r="F310" s="70" t="s">
        <v>1143</v>
      </c>
      <c r="G310" s="71">
        <v>46083.0</v>
      </c>
      <c r="H310" s="72">
        <f t="shared" si="4"/>
        <v>8</v>
      </c>
      <c r="I310" s="73" t="s">
        <v>1144</v>
      </c>
      <c r="J310" s="74">
        <v>46091.0</v>
      </c>
      <c r="K310" s="73"/>
      <c r="L310" s="75"/>
      <c r="M310" s="75"/>
      <c r="N310" s="75"/>
      <c r="O310" s="75"/>
      <c r="P310" s="75"/>
      <c r="Q310" s="75"/>
      <c r="R310" s="75"/>
      <c r="S310" s="75"/>
      <c r="T310" s="75"/>
      <c r="U310" s="75"/>
      <c r="V310" s="75"/>
      <c r="W310" s="75"/>
      <c r="X310" s="75"/>
      <c r="Y310" s="75"/>
      <c r="Z310" s="75"/>
    </row>
    <row r="311">
      <c r="A311" s="91" t="s">
        <v>1145</v>
      </c>
      <c r="B311" s="90" t="s">
        <v>1146</v>
      </c>
      <c r="C311" s="91">
        <v>2025.0</v>
      </c>
      <c r="D311" s="90" t="s">
        <v>1147</v>
      </c>
      <c r="E311" s="90" t="s">
        <v>1148</v>
      </c>
      <c r="F311" s="101" t="s">
        <v>1149</v>
      </c>
      <c r="G311" s="93">
        <v>46083.0</v>
      </c>
      <c r="H311" s="94">
        <f t="shared" si="4"/>
        <v>9</v>
      </c>
      <c r="I311" s="95" t="s">
        <v>1150</v>
      </c>
      <c r="J311" s="96">
        <v>46092.0</v>
      </c>
      <c r="K311" s="95"/>
      <c r="L311" s="98"/>
      <c r="M311" s="97"/>
      <c r="N311" s="97"/>
      <c r="O311" s="97"/>
      <c r="P311" s="97"/>
      <c r="Q311" s="97"/>
      <c r="R311" s="97"/>
      <c r="S311" s="97"/>
      <c r="T311" s="97"/>
      <c r="U311" s="97"/>
      <c r="V311" s="97"/>
      <c r="W311" s="97"/>
      <c r="X311" s="97"/>
      <c r="Y311" s="97"/>
      <c r="Z311" s="97"/>
    </row>
    <row r="312">
      <c r="A312" s="69">
        <v>17582.0</v>
      </c>
      <c r="B312" s="68" t="s">
        <v>159</v>
      </c>
      <c r="C312" s="69">
        <v>2015.0</v>
      </c>
      <c r="D312" s="68" t="s">
        <v>182</v>
      </c>
      <c r="E312" s="68" t="s">
        <v>160</v>
      </c>
      <c r="F312" s="70" t="s">
        <v>161</v>
      </c>
      <c r="G312" s="71">
        <v>46084.0</v>
      </c>
      <c r="H312" s="72">
        <f t="shared" si="4"/>
        <v>43</v>
      </c>
      <c r="I312" s="73" t="s">
        <v>1151</v>
      </c>
      <c r="J312" s="74">
        <v>46127.0</v>
      </c>
      <c r="K312" s="73" t="s">
        <v>1152</v>
      </c>
      <c r="L312" s="103">
        <v>343203.0</v>
      </c>
      <c r="M312" s="75"/>
      <c r="N312" s="75"/>
      <c r="O312" s="75"/>
      <c r="P312" s="75"/>
      <c r="Q312" s="75"/>
      <c r="R312" s="75"/>
      <c r="S312" s="75"/>
      <c r="T312" s="75"/>
      <c r="U312" s="75"/>
      <c r="V312" s="75"/>
      <c r="W312" s="75"/>
      <c r="X312" s="75"/>
      <c r="Y312" s="75"/>
      <c r="Z312" s="75"/>
    </row>
    <row r="313">
      <c r="A313" s="89">
        <v>17583.0</v>
      </c>
      <c r="B313" s="90" t="s">
        <v>1153</v>
      </c>
      <c r="C313" s="112"/>
      <c r="D313" s="90" t="s">
        <v>292</v>
      </c>
      <c r="E313" s="90" t="s">
        <v>160</v>
      </c>
      <c r="F313" s="92">
        <v>46296.0</v>
      </c>
      <c r="G313" s="93">
        <v>46084.0</v>
      </c>
      <c r="H313" s="94">
        <f t="shared" si="4"/>
        <v>141</v>
      </c>
      <c r="I313" s="95" t="s">
        <v>1154</v>
      </c>
      <c r="J313" s="98"/>
      <c r="K313" s="95"/>
      <c r="L313" s="98"/>
      <c r="M313" s="98"/>
      <c r="N313" s="98"/>
      <c r="O313" s="98"/>
      <c r="P313" s="98"/>
      <c r="Q313" s="98"/>
      <c r="R313" s="98"/>
      <c r="S313" s="98"/>
      <c r="T313" s="98"/>
      <c r="U313" s="98"/>
      <c r="V313" s="98"/>
      <c r="W313" s="98"/>
      <c r="X313" s="98"/>
      <c r="Y313" s="98"/>
      <c r="Z313" s="98"/>
    </row>
    <row r="314">
      <c r="A314" s="69">
        <v>17585.0</v>
      </c>
      <c r="B314" s="68" t="s">
        <v>1155</v>
      </c>
      <c r="C314" s="69">
        <v>2019.0</v>
      </c>
      <c r="D314" s="68" t="s">
        <v>1076</v>
      </c>
      <c r="E314" s="68" t="s">
        <v>928</v>
      </c>
      <c r="F314" s="70" t="s">
        <v>1156</v>
      </c>
      <c r="G314" s="71">
        <v>46084.0</v>
      </c>
      <c r="H314" s="72">
        <f t="shared" si="4"/>
        <v>141</v>
      </c>
      <c r="I314" s="73" t="s">
        <v>1157</v>
      </c>
      <c r="J314" s="75"/>
      <c r="K314" s="73"/>
      <c r="L314" s="75"/>
      <c r="M314" s="103"/>
      <c r="N314" s="103"/>
      <c r="O314" s="103"/>
      <c r="P314" s="103"/>
      <c r="Q314" s="103"/>
      <c r="R314" s="103"/>
      <c r="S314" s="103"/>
      <c r="T314" s="103"/>
      <c r="U314" s="103"/>
      <c r="V314" s="103"/>
      <c r="W314" s="103"/>
      <c r="X314" s="103"/>
      <c r="Y314" s="103"/>
      <c r="Z314" s="103"/>
    </row>
    <row r="315">
      <c r="A315" s="91">
        <v>17586.0</v>
      </c>
      <c r="B315" s="90" t="s">
        <v>1158</v>
      </c>
      <c r="C315" s="91">
        <v>2020.0</v>
      </c>
      <c r="D315" s="90" t="s">
        <v>536</v>
      </c>
      <c r="E315" s="90" t="s">
        <v>792</v>
      </c>
      <c r="F315" s="92">
        <v>46218.0</v>
      </c>
      <c r="G315" s="93">
        <v>46084.0</v>
      </c>
      <c r="H315" s="94">
        <f t="shared" si="4"/>
        <v>2</v>
      </c>
      <c r="I315" s="95" t="s">
        <v>1159</v>
      </c>
      <c r="J315" s="96">
        <v>46086.0</v>
      </c>
      <c r="K315" s="95" t="s">
        <v>31</v>
      </c>
      <c r="L315" s="97">
        <v>126257.0</v>
      </c>
      <c r="M315" s="97"/>
      <c r="N315" s="97"/>
      <c r="O315" s="97"/>
      <c r="P315" s="97"/>
      <c r="Q315" s="97"/>
      <c r="R315" s="97"/>
      <c r="S315" s="97"/>
      <c r="T315" s="97"/>
      <c r="U315" s="97"/>
      <c r="V315" s="97"/>
      <c r="W315" s="97"/>
      <c r="X315" s="97"/>
      <c r="Y315" s="97"/>
      <c r="Z315" s="97"/>
    </row>
    <row r="316">
      <c r="A316" s="69">
        <v>17587.0</v>
      </c>
      <c r="B316" s="68" t="s">
        <v>791</v>
      </c>
      <c r="C316" s="69">
        <v>2022.0</v>
      </c>
      <c r="D316" s="68" t="s">
        <v>40</v>
      </c>
      <c r="E316" s="68" t="s">
        <v>792</v>
      </c>
      <c r="F316" s="70" t="s">
        <v>793</v>
      </c>
      <c r="G316" s="71">
        <v>46084.0</v>
      </c>
      <c r="H316" s="72">
        <f t="shared" si="4"/>
        <v>1</v>
      </c>
      <c r="I316" s="73" t="s">
        <v>1160</v>
      </c>
      <c r="J316" s="74">
        <v>46085.0</v>
      </c>
      <c r="K316" s="73" t="s">
        <v>31</v>
      </c>
      <c r="L316" s="103">
        <v>120067.0</v>
      </c>
      <c r="M316" s="75"/>
      <c r="N316" s="75"/>
      <c r="O316" s="75"/>
      <c r="P316" s="75"/>
      <c r="Q316" s="75"/>
      <c r="R316" s="75"/>
      <c r="S316" s="75"/>
      <c r="T316" s="75"/>
      <c r="U316" s="75"/>
      <c r="V316" s="75"/>
      <c r="W316" s="75"/>
      <c r="X316" s="75"/>
      <c r="Y316" s="75"/>
      <c r="Z316" s="75"/>
    </row>
    <row r="317">
      <c r="A317" s="91">
        <v>17591.0</v>
      </c>
      <c r="B317" s="90" t="s">
        <v>58</v>
      </c>
      <c r="C317" s="91">
        <v>2021.0</v>
      </c>
      <c r="D317" s="90" t="s">
        <v>40</v>
      </c>
      <c r="E317" s="90" t="s">
        <v>53</v>
      </c>
      <c r="F317" s="101" t="s">
        <v>60</v>
      </c>
      <c r="G317" s="93">
        <v>46084.0</v>
      </c>
      <c r="H317" s="94">
        <f t="shared" si="4"/>
        <v>2</v>
      </c>
      <c r="I317" s="95" t="s">
        <v>1161</v>
      </c>
      <c r="J317" s="96">
        <v>46086.0</v>
      </c>
      <c r="K317" s="95"/>
      <c r="L317" s="98"/>
      <c r="M317" s="97"/>
      <c r="N317" s="97"/>
      <c r="O317" s="97"/>
      <c r="P317" s="97"/>
      <c r="Q317" s="97"/>
      <c r="R317" s="97"/>
      <c r="S317" s="97"/>
      <c r="T317" s="97"/>
      <c r="U317" s="97"/>
      <c r="V317" s="97"/>
      <c r="W317" s="97"/>
      <c r="X317" s="97"/>
      <c r="Y317" s="97"/>
      <c r="Z317" s="97"/>
    </row>
    <row r="318">
      <c r="A318" s="69">
        <v>17592.0</v>
      </c>
      <c r="B318" s="68" t="s">
        <v>1162</v>
      </c>
      <c r="C318" s="69">
        <v>2022.0</v>
      </c>
      <c r="D318" s="68" t="s">
        <v>1163</v>
      </c>
      <c r="E318" s="68" t="s">
        <v>1164</v>
      </c>
      <c r="F318" s="70" t="s">
        <v>1165</v>
      </c>
      <c r="G318" s="71">
        <v>46084.0</v>
      </c>
      <c r="H318" s="72">
        <f t="shared" si="4"/>
        <v>27</v>
      </c>
      <c r="I318" s="73" t="s">
        <v>1166</v>
      </c>
      <c r="J318" s="74">
        <v>46111.0</v>
      </c>
      <c r="K318" s="73"/>
      <c r="L318" s="75"/>
      <c r="M318" s="75"/>
      <c r="N318" s="75"/>
      <c r="O318" s="75"/>
      <c r="P318" s="75"/>
      <c r="Q318" s="75"/>
      <c r="R318" s="75"/>
      <c r="S318" s="75"/>
      <c r="T318" s="75"/>
      <c r="U318" s="75"/>
      <c r="V318" s="75"/>
      <c r="W318" s="75"/>
      <c r="X318" s="75"/>
      <c r="Y318" s="75"/>
      <c r="Z318" s="75"/>
    </row>
    <row r="319">
      <c r="A319" s="89">
        <v>16892.0</v>
      </c>
      <c r="B319" s="90" t="s">
        <v>1167</v>
      </c>
      <c r="C319" s="91">
        <v>2015.0</v>
      </c>
      <c r="D319" s="90" t="s">
        <v>911</v>
      </c>
      <c r="E319" s="90" t="s">
        <v>725</v>
      </c>
      <c r="F319" s="101" t="s">
        <v>1168</v>
      </c>
      <c r="G319" s="93">
        <v>46085.0</v>
      </c>
      <c r="H319" s="94">
        <f t="shared" si="4"/>
        <v>0</v>
      </c>
      <c r="I319" s="95" t="s">
        <v>551</v>
      </c>
      <c r="J319" s="96">
        <v>46085.0</v>
      </c>
      <c r="K319" s="95" t="s">
        <v>31</v>
      </c>
      <c r="L319" s="97">
        <v>182698.0</v>
      </c>
      <c r="M319" s="97"/>
      <c r="N319" s="97"/>
      <c r="O319" s="97"/>
      <c r="P319" s="97"/>
      <c r="Q319" s="97"/>
      <c r="R319" s="97"/>
      <c r="S319" s="97"/>
      <c r="T319" s="97"/>
      <c r="U319" s="97"/>
      <c r="V319" s="97"/>
      <c r="W319" s="97"/>
      <c r="X319" s="97"/>
      <c r="Y319" s="97"/>
      <c r="Z319" s="97"/>
    </row>
    <row r="320">
      <c r="A320" s="69">
        <v>17593.0</v>
      </c>
      <c r="B320" s="68" t="s">
        <v>1169</v>
      </c>
      <c r="C320" s="69">
        <v>2015.0</v>
      </c>
      <c r="D320" s="68" t="s">
        <v>1170</v>
      </c>
      <c r="E320" s="68" t="s">
        <v>1171</v>
      </c>
      <c r="F320" s="70" t="s">
        <v>1172</v>
      </c>
      <c r="G320" s="71">
        <v>46085.0</v>
      </c>
      <c r="H320" s="72">
        <f t="shared" si="4"/>
        <v>1</v>
      </c>
      <c r="I320" s="73" t="s">
        <v>1173</v>
      </c>
      <c r="J320" s="74">
        <v>46086.0</v>
      </c>
      <c r="K320" s="73"/>
      <c r="L320" s="75"/>
      <c r="M320" s="75"/>
      <c r="N320" s="75"/>
      <c r="O320" s="75"/>
      <c r="P320" s="75"/>
      <c r="Q320" s="75"/>
      <c r="R320" s="75"/>
      <c r="S320" s="75"/>
      <c r="T320" s="75"/>
      <c r="U320" s="75"/>
      <c r="V320" s="75"/>
      <c r="W320" s="75"/>
      <c r="X320" s="75"/>
      <c r="Y320" s="75"/>
      <c r="Z320" s="75"/>
    </row>
    <row r="321">
      <c r="A321" s="91">
        <v>17594.0</v>
      </c>
      <c r="B321" s="90" t="s">
        <v>388</v>
      </c>
      <c r="C321" s="91">
        <v>2010.0</v>
      </c>
      <c r="D321" s="90" t="s">
        <v>1174</v>
      </c>
      <c r="E321" s="90" t="s">
        <v>70</v>
      </c>
      <c r="F321" s="101" t="s">
        <v>389</v>
      </c>
      <c r="G321" s="93">
        <v>46085.0</v>
      </c>
      <c r="H321" s="94">
        <f t="shared" si="4"/>
        <v>2</v>
      </c>
      <c r="I321" s="95" t="s">
        <v>1175</v>
      </c>
      <c r="J321" s="96">
        <v>46087.0</v>
      </c>
      <c r="K321" s="95"/>
      <c r="L321" s="98"/>
      <c r="M321" s="98"/>
      <c r="N321" s="98"/>
      <c r="O321" s="98"/>
      <c r="P321" s="98"/>
      <c r="Q321" s="98"/>
      <c r="R321" s="98"/>
      <c r="S321" s="98"/>
      <c r="T321" s="98"/>
      <c r="U321" s="98"/>
      <c r="V321" s="98"/>
      <c r="W321" s="98"/>
      <c r="X321" s="98"/>
      <c r="Y321" s="98"/>
      <c r="Z321" s="98"/>
    </row>
    <row r="322">
      <c r="A322" s="67">
        <v>17595.0</v>
      </c>
      <c r="B322" s="68" t="s">
        <v>1176</v>
      </c>
      <c r="C322" s="69">
        <v>2015.0</v>
      </c>
      <c r="D322" s="68" t="s">
        <v>1177</v>
      </c>
      <c r="E322" s="68" t="s">
        <v>137</v>
      </c>
      <c r="F322" s="88"/>
      <c r="G322" s="71">
        <v>46086.0</v>
      </c>
      <c r="H322" s="72">
        <f t="shared" si="4"/>
        <v>0</v>
      </c>
      <c r="I322" s="73" t="s">
        <v>1178</v>
      </c>
      <c r="J322" s="74">
        <v>46086.0</v>
      </c>
      <c r="K322" s="73"/>
      <c r="L322" s="75"/>
      <c r="M322" s="75"/>
      <c r="N322" s="75"/>
      <c r="O322" s="75"/>
      <c r="P322" s="75"/>
      <c r="Q322" s="75"/>
      <c r="R322" s="75"/>
      <c r="S322" s="75"/>
      <c r="T322" s="75"/>
      <c r="U322" s="75"/>
      <c r="V322" s="75"/>
      <c r="W322" s="75"/>
      <c r="X322" s="75"/>
      <c r="Y322" s="75"/>
      <c r="Z322" s="75"/>
    </row>
    <row r="323">
      <c r="A323" s="91">
        <v>17596.0</v>
      </c>
      <c r="B323" s="90" t="s">
        <v>1179</v>
      </c>
      <c r="C323" s="91">
        <v>2013.0</v>
      </c>
      <c r="D323" s="90" t="s">
        <v>27</v>
      </c>
      <c r="E323" s="90" t="s">
        <v>183</v>
      </c>
      <c r="F323" s="101" t="s">
        <v>1180</v>
      </c>
      <c r="G323" s="93">
        <v>46086.0</v>
      </c>
      <c r="H323" s="94">
        <f t="shared" si="4"/>
        <v>0</v>
      </c>
      <c r="I323" s="95" t="s">
        <v>1181</v>
      </c>
      <c r="J323" s="96">
        <v>46086.0</v>
      </c>
      <c r="K323" s="95"/>
      <c r="L323" s="98"/>
      <c r="M323" s="98"/>
      <c r="N323" s="98"/>
      <c r="O323" s="98"/>
      <c r="P323" s="98"/>
      <c r="Q323" s="98"/>
      <c r="R323" s="98"/>
      <c r="S323" s="98"/>
      <c r="T323" s="98"/>
      <c r="U323" s="98"/>
      <c r="V323" s="98"/>
      <c r="W323" s="98"/>
      <c r="X323" s="98"/>
      <c r="Y323" s="98"/>
      <c r="Z323" s="98"/>
    </row>
    <row r="324">
      <c r="A324" s="69">
        <v>17597.0</v>
      </c>
      <c r="B324" s="68" t="s">
        <v>1182</v>
      </c>
      <c r="C324" s="69">
        <v>2019.0</v>
      </c>
      <c r="D324" s="68" t="s">
        <v>1170</v>
      </c>
      <c r="E324" s="68" t="s">
        <v>1183</v>
      </c>
      <c r="F324" s="70" t="s">
        <v>1184</v>
      </c>
      <c r="G324" s="71">
        <v>46086.0</v>
      </c>
      <c r="H324" s="72">
        <f t="shared" si="4"/>
        <v>0</v>
      </c>
      <c r="I324" s="73" t="s">
        <v>1185</v>
      </c>
      <c r="J324" s="74">
        <v>46086.0</v>
      </c>
      <c r="K324" s="73"/>
      <c r="L324" s="75"/>
      <c r="M324" s="75"/>
      <c r="N324" s="75"/>
      <c r="O324" s="75"/>
      <c r="P324" s="75"/>
      <c r="Q324" s="75"/>
      <c r="R324" s="75"/>
      <c r="S324" s="75"/>
      <c r="T324" s="75"/>
      <c r="U324" s="75"/>
      <c r="V324" s="75"/>
      <c r="W324" s="75"/>
      <c r="X324" s="75"/>
      <c r="Y324" s="75"/>
      <c r="Z324" s="75"/>
    </row>
    <row r="325">
      <c r="A325" s="91">
        <v>18308.0</v>
      </c>
      <c r="B325" s="90" t="s">
        <v>1186</v>
      </c>
      <c r="C325" s="91">
        <v>2011.0</v>
      </c>
      <c r="D325" s="90" t="s">
        <v>1187</v>
      </c>
      <c r="E325" s="90" t="s">
        <v>70</v>
      </c>
      <c r="F325" s="101" t="s">
        <v>1188</v>
      </c>
      <c r="G325" s="93">
        <v>46197.0</v>
      </c>
      <c r="H325" s="94">
        <f t="shared" si="4"/>
        <v>28</v>
      </c>
      <c r="I325" s="95" t="s">
        <v>668</v>
      </c>
      <c r="J325" s="96"/>
      <c r="K325" s="95"/>
      <c r="L325" s="98"/>
      <c r="M325" s="98"/>
      <c r="N325" s="98"/>
      <c r="O325" s="98"/>
      <c r="P325" s="98"/>
      <c r="Q325" s="98"/>
      <c r="R325" s="98"/>
      <c r="S325" s="98"/>
      <c r="T325" s="98"/>
      <c r="U325" s="98"/>
      <c r="V325" s="98"/>
      <c r="W325" s="98"/>
      <c r="X325" s="98"/>
      <c r="Y325" s="98"/>
      <c r="Z325" s="98"/>
    </row>
    <row r="326">
      <c r="A326" s="69">
        <v>17602.0</v>
      </c>
      <c r="B326" s="68" t="s">
        <v>1189</v>
      </c>
      <c r="C326" s="69">
        <v>2019.0</v>
      </c>
      <c r="D326" s="68" t="s">
        <v>1170</v>
      </c>
      <c r="E326" s="68" t="s">
        <v>337</v>
      </c>
      <c r="F326" s="70" t="s">
        <v>1190</v>
      </c>
      <c r="G326" s="71">
        <v>46087.0</v>
      </c>
      <c r="H326" s="72">
        <f t="shared" si="4"/>
        <v>0</v>
      </c>
      <c r="I326" s="73" t="s">
        <v>1191</v>
      </c>
      <c r="J326" s="74">
        <v>46087.0</v>
      </c>
      <c r="K326" s="73"/>
      <c r="L326" s="75"/>
      <c r="M326" s="103"/>
      <c r="N326" s="103"/>
      <c r="O326" s="103"/>
      <c r="P326" s="103"/>
      <c r="Q326" s="103"/>
      <c r="R326" s="103"/>
      <c r="S326" s="103"/>
      <c r="T326" s="103"/>
      <c r="U326" s="103"/>
      <c r="V326" s="103"/>
      <c r="W326" s="103"/>
      <c r="X326" s="103"/>
      <c r="Y326" s="103"/>
      <c r="Z326" s="103"/>
    </row>
    <row r="327">
      <c r="A327" s="91">
        <v>17603.0</v>
      </c>
      <c r="B327" s="90" t="s">
        <v>1192</v>
      </c>
      <c r="C327" s="91">
        <v>2019.0</v>
      </c>
      <c r="D327" s="90" t="s">
        <v>1193</v>
      </c>
      <c r="E327" s="90" t="s">
        <v>1194</v>
      </c>
      <c r="F327" s="101" t="s">
        <v>1195</v>
      </c>
      <c r="G327" s="93">
        <v>46087.0</v>
      </c>
      <c r="H327" s="94">
        <f t="shared" si="4"/>
        <v>0</v>
      </c>
      <c r="I327" s="95" t="s">
        <v>1196</v>
      </c>
      <c r="J327" s="96">
        <v>46087.0</v>
      </c>
      <c r="K327" s="95"/>
      <c r="L327" s="98"/>
      <c r="M327" s="98"/>
      <c r="N327" s="98"/>
      <c r="O327" s="98"/>
      <c r="P327" s="98"/>
      <c r="Q327" s="98"/>
      <c r="R327" s="98"/>
      <c r="S327" s="98"/>
      <c r="T327" s="98"/>
      <c r="U327" s="98"/>
      <c r="V327" s="98"/>
      <c r="W327" s="98"/>
      <c r="X327" s="98"/>
      <c r="Y327" s="98"/>
      <c r="Z327" s="98"/>
    </row>
    <row r="328">
      <c r="A328" s="69">
        <v>17604.0</v>
      </c>
      <c r="B328" s="68" t="s">
        <v>1197</v>
      </c>
      <c r="C328" s="69">
        <v>2021.0</v>
      </c>
      <c r="D328" s="68" t="s">
        <v>292</v>
      </c>
      <c r="E328" s="68" t="s">
        <v>912</v>
      </c>
      <c r="F328" s="70" t="s">
        <v>1198</v>
      </c>
      <c r="G328" s="71">
        <v>46087.0</v>
      </c>
      <c r="H328" s="72">
        <f t="shared" si="4"/>
        <v>5</v>
      </c>
      <c r="I328" s="73" t="s">
        <v>1199</v>
      </c>
      <c r="J328" s="74">
        <v>46092.0</v>
      </c>
      <c r="K328" s="73" t="s">
        <v>1200</v>
      </c>
      <c r="L328" s="103">
        <v>44666.0</v>
      </c>
      <c r="M328" s="75"/>
      <c r="N328" s="75"/>
      <c r="O328" s="75"/>
      <c r="P328" s="75"/>
      <c r="Q328" s="75"/>
      <c r="R328" s="75"/>
      <c r="S328" s="75"/>
      <c r="T328" s="75"/>
      <c r="U328" s="75"/>
      <c r="V328" s="75"/>
      <c r="W328" s="75"/>
      <c r="X328" s="75"/>
      <c r="Y328" s="75"/>
      <c r="Z328" s="75"/>
    </row>
    <row r="329">
      <c r="A329" s="91">
        <v>17605.0</v>
      </c>
      <c r="B329" s="90" t="s">
        <v>1201</v>
      </c>
      <c r="C329" s="91">
        <v>2019.0</v>
      </c>
      <c r="D329" s="90" t="s">
        <v>911</v>
      </c>
      <c r="E329" s="90" t="s">
        <v>1202</v>
      </c>
      <c r="F329" s="101" t="s">
        <v>1203</v>
      </c>
      <c r="G329" s="93">
        <v>46087.0</v>
      </c>
      <c r="H329" s="94">
        <f t="shared" si="4"/>
        <v>0</v>
      </c>
      <c r="I329" s="95" t="s">
        <v>1204</v>
      </c>
      <c r="J329" s="96">
        <v>46087.0</v>
      </c>
      <c r="K329" s="95"/>
      <c r="L329" s="98"/>
      <c r="M329" s="98"/>
      <c r="N329" s="98"/>
      <c r="O329" s="98"/>
      <c r="P329" s="98"/>
      <c r="Q329" s="98"/>
      <c r="R329" s="98"/>
      <c r="S329" s="98"/>
      <c r="T329" s="98"/>
      <c r="U329" s="98"/>
      <c r="V329" s="98"/>
      <c r="W329" s="98"/>
      <c r="X329" s="98"/>
      <c r="Y329" s="98"/>
      <c r="Z329" s="98"/>
    </row>
    <row r="330">
      <c r="A330" s="69">
        <v>17606.0</v>
      </c>
      <c r="B330" s="68" t="s">
        <v>441</v>
      </c>
      <c r="C330" s="69">
        <v>2022.0</v>
      </c>
      <c r="D330" s="68" t="s">
        <v>40</v>
      </c>
      <c r="E330" s="68" t="s">
        <v>442</v>
      </c>
      <c r="F330" s="70" t="s">
        <v>443</v>
      </c>
      <c r="G330" s="71">
        <v>46087.0</v>
      </c>
      <c r="H330" s="72">
        <f t="shared" si="4"/>
        <v>0</v>
      </c>
      <c r="I330" s="73" t="s">
        <v>1205</v>
      </c>
      <c r="J330" s="74">
        <v>46087.0</v>
      </c>
      <c r="K330" s="73"/>
      <c r="L330" s="75"/>
      <c r="M330" s="103"/>
      <c r="N330" s="103"/>
      <c r="O330" s="103"/>
      <c r="P330" s="103"/>
      <c r="Q330" s="103"/>
      <c r="R330" s="103"/>
      <c r="S330" s="103"/>
      <c r="T330" s="103"/>
      <c r="U330" s="103"/>
      <c r="V330" s="103"/>
      <c r="W330" s="103"/>
      <c r="X330" s="103"/>
      <c r="Y330" s="103"/>
      <c r="Z330" s="103"/>
    </row>
    <row r="331">
      <c r="A331" s="91">
        <v>17607.0</v>
      </c>
      <c r="B331" s="90" t="s">
        <v>1206</v>
      </c>
      <c r="C331" s="91">
        <v>2020.0</v>
      </c>
      <c r="D331" s="90" t="s">
        <v>536</v>
      </c>
      <c r="E331" s="90" t="s">
        <v>235</v>
      </c>
      <c r="F331" s="101" t="s">
        <v>1207</v>
      </c>
      <c r="G331" s="93">
        <v>46087.0</v>
      </c>
      <c r="H331" s="94">
        <f t="shared" si="4"/>
        <v>0</v>
      </c>
      <c r="I331" s="95" t="s">
        <v>1208</v>
      </c>
      <c r="J331" s="96">
        <v>46087.0</v>
      </c>
      <c r="K331" s="95" t="s">
        <v>31</v>
      </c>
      <c r="L331" s="97">
        <v>146566.0</v>
      </c>
      <c r="M331" s="97"/>
      <c r="N331" s="97"/>
      <c r="O331" s="97"/>
      <c r="P331" s="97"/>
      <c r="Q331" s="97"/>
      <c r="R331" s="97"/>
      <c r="S331" s="97"/>
      <c r="T331" s="97"/>
      <c r="U331" s="97"/>
      <c r="V331" s="97"/>
      <c r="W331" s="97"/>
      <c r="X331" s="97"/>
      <c r="Y331" s="97"/>
      <c r="Z331" s="97"/>
    </row>
    <row r="332">
      <c r="A332" s="69">
        <v>18215.0</v>
      </c>
      <c r="B332" s="68" t="s">
        <v>1209</v>
      </c>
      <c r="C332" s="69">
        <v>2014.0</v>
      </c>
      <c r="D332" s="68" t="s">
        <v>251</v>
      </c>
      <c r="E332" s="68" t="s">
        <v>125</v>
      </c>
      <c r="F332" s="70" t="s">
        <v>1210</v>
      </c>
      <c r="G332" s="71">
        <v>46182.0</v>
      </c>
      <c r="H332" s="72">
        <f t="shared" si="4"/>
        <v>10</v>
      </c>
      <c r="I332" s="73" t="s">
        <v>1211</v>
      </c>
      <c r="J332" s="74">
        <v>46192.0</v>
      </c>
      <c r="K332" s="73" t="s">
        <v>31</v>
      </c>
      <c r="L332" s="103">
        <v>173860.0</v>
      </c>
      <c r="M332" s="75"/>
      <c r="N332" s="75"/>
      <c r="O332" s="75"/>
      <c r="P332" s="75"/>
      <c r="Q332" s="75"/>
      <c r="R332" s="75"/>
      <c r="S332" s="75"/>
      <c r="T332" s="75"/>
      <c r="U332" s="75"/>
      <c r="V332" s="75"/>
      <c r="W332" s="75"/>
      <c r="X332" s="75"/>
      <c r="Y332" s="75"/>
      <c r="Z332" s="75"/>
    </row>
    <row r="333">
      <c r="A333" s="91">
        <v>18075.0</v>
      </c>
      <c r="B333" s="90" t="s">
        <v>1212</v>
      </c>
      <c r="C333" s="91">
        <v>2021.0</v>
      </c>
      <c r="D333" s="90" t="s">
        <v>1213</v>
      </c>
      <c r="E333" s="90" t="s">
        <v>70</v>
      </c>
      <c r="F333" s="92">
        <v>46088.0</v>
      </c>
      <c r="G333" s="93">
        <v>46163.0</v>
      </c>
      <c r="H333" s="94">
        <f t="shared" si="4"/>
        <v>6</v>
      </c>
      <c r="I333" s="95" t="s">
        <v>1214</v>
      </c>
      <c r="J333" s="96">
        <v>46169.0</v>
      </c>
      <c r="K333" s="95"/>
      <c r="L333" s="98"/>
      <c r="M333" s="98"/>
      <c r="N333" s="98"/>
      <c r="O333" s="98"/>
      <c r="P333" s="98"/>
      <c r="Q333" s="98"/>
      <c r="R333" s="98"/>
      <c r="S333" s="98"/>
      <c r="T333" s="98"/>
      <c r="U333" s="98"/>
      <c r="V333" s="98"/>
      <c r="W333" s="98"/>
      <c r="X333" s="98"/>
      <c r="Y333" s="98"/>
      <c r="Z333" s="98"/>
    </row>
    <row r="334">
      <c r="A334" s="69">
        <v>16784.0</v>
      </c>
      <c r="B334" s="68" t="s">
        <v>1215</v>
      </c>
      <c r="C334" s="69">
        <v>2015.0</v>
      </c>
      <c r="D334" s="68" t="s">
        <v>182</v>
      </c>
      <c r="E334" s="68" t="s">
        <v>70</v>
      </c>
      <c r="F334" s="88"/>
      <c r="G334" s="71">
        <v>46091.0</v>
      </c>
      <c r="H334" s="72">
        <f t="shared" si="4"/>
        <v>0</v>
      </c>
      <c r="I334" s="73" t="s">
        <v>1216</v>
      </c>
      <c r="J334" s="74">
        <v>46091.0</v>
      </c>
      <c r="K334" s="73" t="s">
        <v>31</v>
      </c>
      <c r="L334" s="103">
        <v>187090.0</v>
      </c>
      <c r="M334" s="75"/>
      <c r="N334" s="75"/>
      <c r="O334" s="75"/>
      <c r="P334" s="75"/>
      <c r="Q334" s="75"/>
      <c r="R334" s="75"/>
      <c r="S334" s="75"/>
      <c r="T334" s="75"/>
      <c r="U334" s="75"/>
      <c r="V334" s="75"/>
      <c r="W334" s="75"/>
      <c r="X334" s="75"/>
      <c r="Y334" s="75"/>
      <c r="Z334" s="75"/>
    </row>
    <row r="335">
      <c r="A335" s="91">
        <v>17616.0</v>
      </c>
      <c r="B335" s="90" t="s">
        <v>1217</v>
      </c>
      <c r="C335" s="91">
        <v>2022.0</v>
      </c>
      <c r="D335" s="90" t="s">
        <v>292</v>
      </c>
      <c r="E335" s="90" t="s">
        <v>1218</v>
      </c>
      <c r="F335" s="101" t="s">
        <v>1219</v>
      </c>
      <c r="G335" s="93">
        <v>46091.0</v>
      </c>
      <c r="H335" s="94">
        <f t="shared" si="4"/>
        <v>0</v>
      </c>
      <c r="I335" s="95" t="s">
        <v>1220</v>
      </c>
      <c r="J335" s="96">
        <v>46091.0</v>
      </c>
      <c r="K335" s="95"/>
      <c r="L335" s="98"/>
      <c r="M335" s="98"/>
      <c r="N335" s="98"/>
      <c r="O335" s="98"/>
      <c r="P335" s="98"/>
      <c r="Q335" s="98"/>
      <c r="R335" s="98"/>
      <c r="S335" s="98"/>
      <c r="T335" s="98"/>
      <c r="U335" s="98"/>
      <c r="V335" s="98"/>
      <c r="W335" s="98"/>
      <c r="X335" s="98"/>
      <c r="Y335" s="98"/>
      <c r="Z335" s="98"/>
    </row>
    <row r="336">
      <c r="A336" s="69">
        <v>17618.0</v>
      </c>
      <c r="B336" s="68" t="s">
        <v>1221</v>
      </c>
      <c r="C336" s="69">
        <v>2022.0</v>
      </c>
      <c r="D336" s="68" t="s">
        <v>292</v>
      </c>
      <c r="E336" s="68" t="s">
        <v>1222</v>
      </c>
      <c r="F336" s="70" t="s">
        <v>1223</v>
      </c>
      <c r="G336" s="71">
        <v>46091.0</v>
      </c>
      <c r="H336" s="72">
        <f t="shared" si="4"/>
        <v>0</v>
      </c>
      <c r="I336" s="73" t="s">
        <v>1224</v>
      </c>
      <c r="J336" s="74">
        <v>46091.0</v>
      </c>
      <c r="K336" s="73"/>
      <c r="L336" s="75"/>
      <c r="M336" s="75"/>
      <c r="N336" s="75"/>
      <c r="O336" s="75"/>
      <c r="P336" s="75"/>
      <c r="Q336" s="75"/>
      <c r="R336" s="75"/>
      <c r="S336" s="75"/>
      <c r="T336" s="75"/>
      <c r="U336" s="75"/>
      <c r="V336" s="75"/>
      <c r="W336" s="75"/>
      <c r="X336" s="75"/>
      <c r="Y336" s="75"/>
      <c r="Z336" s="75"/>
    </row>
    <row r="337">
      <c r="A337" s="91">
        <v>17619.0</v>
      </c>
      <c r="B337" s="90" t="s">
        <v>19</v>
      </c>
      <c r="C337" s="91">
        <v>2022.0</v>
      </c>
      <c r="D337" s="90" t="s">
        <v>20</v>
      </c>
      <c r="E337" s="90" t="s">
        <v>21</v>
      </c>
      <c r="F337" s="101" t="s">
        <v>22</v>
      </c>
      <c r="G337" s="93">
        <v>46091.0</v>
      </c>
      <c r="H337" s="94">
        <f t="shared" si="4"/>
        <v>0</v>
      </c>
      <c r="I337" s="95" t="s">
        <v>1225</v>
      </c>
      <c r="J337" s="96">
        <v>46091.0</v>
      </c>
      <c r="K337" s="95"/>
      <c r="L337" s="98"/>
      <c r="M337" s="98"/>
      <c r="N337" s="98"/>
      <c r="O337" s="98"/>
      <c r="P337" s="98"/>
      <c r="Q337" s="98"/>
      <c r="R337" s="98"/>
      <c r="S337" s="98"/>
      <c r="T337" s="98"/>
      <c r="U337" s="98"/>
      <c r="V337" s="98"/>
      <c r="W337" s="98"/>
      <c r="X337" s="98"/>
      <c r="Y337" s="98"/>
      <c r="Z337" s="98"/>
    </row>
    <row r="338">
      <c r="A338" s="69">
        <v>18187.0</v>
      </c>
      <c r="B338" s="68" t="s">
        <v>1226</v>
      </c>
      <c r="C338" s="69">
        <v>2014.0</v>
      </c>
      <c r="D338" s="68" t="s">
        <v>251</v>
      </c>
      <c r="E338" s="68" t="s">
        <v>350</v>
      </c>
      <c r="F338" s="70" t="s">
        <v>1227</v>
      </c>
      <c r="G338" s="71">
        <v>46175.0</v>
      </c>
      <c r="H338" s="72">
        <f t="shared" si="4"/>
        <v>24</v>
      </c>
      <c r="I338" s="73" t="s">
        <v>1228</v>
      </c>
      <c r="J338" s="74">
        <v>46199.0</v>
      </c>
      <c r="K338" s="73"/>
      <c r="L338" s="75"/>
      <c r="M338" s="75"/>
      <c r="N338" s="75"/>
      <c r="O338" s="75"/>
      <c r="P338" s="75"/>
      <c r="Q338" s="75"/>
      <c r="R338" s="75"/>
      <c r="S338" s="75"/>
      <c r="T338" s="75"/>
      <c r="U338" s="75"/>
      <c r="V338" s="75"/>
      <c r="W338" s="75"/>
      <c r="X338" s="75"/>
      <c r="Y338" s="75"/>
      <c r="Z338" s="75"/>
    </row>
    <row r="339">
      <c r="A339" s="91">
        <v>17621.0</v>
      </c>
      <c r="B339" s="90" t="s">
        <v>1229</v>
      </c>
      <c r="C339" s="91">
        <v>2019.0</v>
      </c>
      <c r="D339" s="90" t="s">
        <v>1170</v>
      </c>
      <c r="E339" s="90" t="s">
        <v>1230</v>
      </c>
      <c r="F339" s="101" t="s">
        <v>1231</v>
      </c>
      <c r="G339" s="93">
        <v>46091.0</v>
      </c>
      <c r="H339" s="94">
        <f t="shared" si="4"/>
        <v>0</v>
      </c>
      <c r="I339" s="95" t="s">
        <v>1232</v>
      </c>
      <c r="J339" s="96">
        <v>46091.0</v>
      </c>
      <c r="K339" s="95"/>
      <c r="L339" s="98"/>
      <c r="M339" s="98"/>
      <c r="N339" s="98"/>
      <c r="O339" s="98"/>
      <c r="P339" s="98"/>
      <c r="Q339" s="98"/>
      <c r="R339" s="98"/>
      <c r="S339" s="98"/>
      <c r="T339" s="98"/>
      <c r="U339" s="98"/>
      <c r="V339" s="98"/>
      <c r="W339" s="98"/>
      <c r="X339" s="98"/>
      <c r="Y339" s="98"/>
      <c r="Z339" s="98"/>
    </row>
    <row r="340">
      <c r="A340" s="69">
        <v>18298.0</v>
      </c>
      <c r="B340" s="68" t="s">
        <v>1233</v>
      </c>
      <c r="C340" s="69">
        <v>2022.0</v>
      </c>
      <c r="D340" s="68" t="s">
        <v>245</v>
      </c>
      <c r="E340" s="68" t="s">
        <v>28</v>
      </c>
      <c r="F340" s="70" t="s">
        <v>1234</v>
      </c>
      <c r="G340" s="71">
        <v>46195.0</v>
      </c>
      <c r="H340" s="72">
        <f t="shared" si="4"/>
        <v>9</v>
      </c>
      <c r="I340" s="73" t="s">
        <v>1235</v>
      </c>
      <c r="J340" s="74">
        <v>46204.0</v>
      </c>
      <c r="K340" s="73" t="s">
        <v>31</v>
      </c>
      <c r="L340" s="103">
        <v>60346.0</v>
      </c>
      <c r="M340" s="103"/>
      <c r="N340" s="103"/>
      <c r="O340" s="103"/>
      <c r="P340" s="103"/>
      <c r="Q340" s="103"/>
      <c r="R340" s="103"/>
      <c r="S340" s="103"/>
      <c r="T340" s="103"/>
      <c r="U340" s="103"/>
      <c r="V340" s="103"/>
      <c r="W340" s="103"/>
      <c r="X340" s="103"/>
      <c r="Y340" s="103"/>
      <c r="Z340" s="103"/>
    </row>
    <row r="341">
      <c r="A341" s="91">
        <v>17623.0</v>
      </c>
      <c r="B341" s="90" t="s">
        <v>192</v>
      </c>
      <c r="C341" s="91">
        <v>2014.0</v>
      </c>
      <c r="D341" s="90" t="s">
        <v>251</v>
      </c>
      <c r="E341" s="90" t="s">
        <v>240</v>
      </c>
      <c r="F341" s="101" t="s">
        <v>193</v>
      </c>
      <c r="G341" s="93">
        <v>46091.0</v>
      </c>
      <c r="H341" s="94">
        <f t="shared" si="4"/>
        <v>6</v>
      </c>
      <c r="I341" s="95" t="s">
        <v>1236</v>
      </c>
      <c r="J341" s="96">
        <v>46097.0</v>
      </c>
      <c r="K341" s="95" t="s">
        <v>31</v>
      </c>
      <c r="L341" s="97">
        <v>313861.0</v>
      </c>
      <c r="M341" s="97"/>
      <c r="N341" s="97"/>
      <c r="O341" s="97"/>
      <c r="P341" s="97"/>
      <c r="Q341" s="97"/>
      <c r="R341" s="97"/>
      <c r="S341" s="97"/>
      <c r="T341" s="97"/>
      <c r="U341" s="97"/>
      <c r="V341" s="97"/>
      <c r="W341" s="97"/>
      <c r="X341" s="97"/>
      <c r="Y341" s="97"/>
      <c r="Z341" s="97"/>
    </row>
    <row r="342">
      <c r="A342" s="69">
        <v>17625.0</v>
      </c>
      <c r="B342" s="68" t="s">
        <v>1237</v>
      </c>
      <c r="C342" s="69">
        <v>2014.0</v>
      </c>
      <c r="D342" s="68" t="s">
        <v>251</v>
      </c>
      <c r="E342" s="68" t="s">
        <v>805</v>
      </c>
      <c r="F342" s="70" t="s">
        <v>1238</v>
      </c>
      <c r="G342" s="71">
        <v>46091.0</v>
      </c>
      <c r="H342" s="72">
        <f t="shared" si="4"/>
        <v>7</v>
      </c>
      <c r="I342" s="73" t="s">
        <v>1239</v>
      </c>
      <c r="J342" s="74">
        <v>46098.0</v>
      </c>
      <c r="K342" s="73" t="s">
        <v>31</v>
      </c>
      <c r="L342" s="103">
        <v>219618.0</v>
      </c>
      <c r="M342" s="103"/>
      <c r="N342" s="103"/>
      <c r="O342" s="103"/>
      <c r="P342" s="103"/>
      <c r="Q342" s="103"/>
      <c r="R342" s="103"/>
      <c r="S342" s="103"/>
      <c r="T342" s="103"/>
      <c r="U342" s="103"/>
      <c r="V342" s="103"/>
      <c r="W342" s="103"/>
      <c r="X342" s="103"/>
      <c r="Y342" s="103"/>
      <c r="Z342" s="103"/>
    </row>
    <row r="343">
      <c r="A343" s="91">
        <v>17626.0</v>
      </c>
      <c r="B343" s="90" t="s">
        <v>1240</v>
      </c>
      <c r="C343" s="91">
        <v>2021.0</v>
      </c>
      <c r="D343" s="90" t="s">
        <v>1147</v>
      </c>
      <c r="E343" s="90" t="s">
        <v>1241</v>
      </c>
      <c r="F343" s="101" t="s">
        <v>1242</v>
      </c>
      <c r="G343" s="93">
        <v>46092.0</v>
      </c>
      <c r="H343" s="94">
        <f t="shared" si="4"/>
        <v>0</v>
      </c>
      <c r="I343" s="95" t="s">
        <v>1131</v>
      </c>
      <c r="J343" s="96">
        <v>46092.0</v>
      </c>
      <c r="K343" s="95"/>
      <c r="L343" s="98"/>
      <c r="M343" s="97"/>
      <c r="N343" s="97"/>
      <c r="O343" s="97"/>
      <c r="P343" s="97"/>
      <c r="Q343" s="97"/>
      <c r="R343" s="97"/>
      <c r="S343" s="97"/>
      <c r="T343" s="97"/>
      <c r="U343" s="97"/>
      <c r="V343" s="97"/>
      <c r="W343" s="97"/>
      <c r="X343" s="97"/>
      <c r="Y343" s="97"/>
      <c r="Z343" s="97"/>
    </row>
    <row r="344">
      <c r="A344" s="69">
        <v>17627.0</v>
      </c>
      <c r="B344" s="68" t="s">
        <v>1243</v>
      </c>
      <c r="C344" s="69">
        <v>2021.0</v>
      </c>
      <c r="D344" s="68" t="s">
        <v>1147</v>
      </c>
      <c r="E344" s="68" t="s">
        <v>1241</v>
      </c>
      <c r="F344" s="70" t="s">
        <v>1244</v>
      </c>
      <c r="G344" s="71">
        <v>46092.0</v>
      </c>
      <c r="H344" s="72">
        <f t="shared" si="4"/>
        <v>0</v>
      </c>
      <c r="I344" s="73" t="s">
        <v>1245</v>
      </c>
      <c r="J344" s="74">
        <v>46092.0</v>
      </c>
      <c r="K344" s="73"/>
      <c r="L344" s="75"/>
      <c r="M344" s="103"/>
      <c r="N344" s="103"/>
      <c r="O344" s="103"/>
      <c r="P344" s="103"/>
      <c r="Q344" s="103"/>
      <c r="R344" s="103"/>
      <c r="S344" s="103"/>
      <c r="T344" s="103"/>
      <c r="U344" s="103"/>
      <c r="V344" s="103"/>
      <c r="W344" s="103"/>
      <c r="X344" s="103"/>
      <c r="Y344" s="103"/>
      <c r="Z344" s="103"/>
    </row>
    <row r="345">
      <c r="A345" s="91">
        <v>17628.0</v>
      </c>
      <c r="B345" s="90" t="s">
        <v>1246</v>
      </c>
      <c r="C345" s="91">
        <v>2015.0</v>
      </c>
      <c r="D345" s="90" t="s">
        <v>1247</v>
      </c>
      <c r="E345" s="90" t="s">
        <v>106</v>
      </c>
      <c r="F345" s="101" t="s">
        <v>1248</v>
      </c>
      <c r="G345" s="93">
        <v>46092.0</v>
      </c>
      <c r="H345" s="94">
        <f t="shared" si="4"/>
        <v>6</v>
      </c>
      <c r="I345" s="95" t="s">
        <v>1249</v>
      </c>
      <c r="J345" s="96">
        <v>46098.0</v>
      </c>
      <c r="K345" s="95" t="s">
        <v>31</v>
      </c>
      <c r="L345" s="97">
        <v>108645.0</v>
      </c>
      <c r="M345" s="98"/>
      <c r="N345" s="98"/>
      <c r="O345" s="98"/>
      <c r="P345" s="98"/>
      <c r="Q345" s="98"/>
      <c r="R345" s="98"/>
      <c r="S345" s="98"/>
      <c r="T345" s="98"/>
      <c r="U345" s="98"/>
      <c r="V345" s="98"/>
      <c r="W345" s="98"/>
      <c r="X345" s="98"/>
      <c r="Y345" s="98"/>
      <c r="Z345" s="98"/>
    </row>
    <row r="346">
      <c r="A346" s="69">
        <v>18143.0</v>
      </c>
      <c r="B346" s="68" t="s">
        <v>1250</v>
      </c>
      <c r="C346" s="69">
        <v>2014.0</v>
      </c>
      <c r="D346" s="68" t="s">
        <v>27</v>
      </c>
      <c r="E346" s="68" t="s">
        <v>183</v>
      </c>
      <c r="F346" s="70" t="s">
        <v>1251</v>
      </c>
      <c r="G346" s="71">
        <v>46170.0</v>
      </c>
      <c r="H346" s="72">
        <f t="shared" si="4"/>
        <v>4</v>
      </c>
      <c r="I346" s="73" t="s">
        <v>1252</v>
      </c>
      <c r="J346" s="74">
        <v>46174.0</v>
      </c>
      <c r="K346" s="73" t="s">
        <v>31</v>
      </c>
      <c r="L346" s="103">
        <v>190758.0</v>
      </c>
      <c r="M346" s="75"/>
      <c r="N346" s="75"/>
      <c r="O346" s="75"/>
      <c r="P346" s="75"/>
      <c r="Q346" s="75"/>
      <c r="R346" s="75"/>
      <c r="S346" s="75"/>
      <c r="T346" s="75"/>
      <c r="U346" s="75"/>
      <c r="V346" s="75"/>
      <c r="W346" s="75"/>
      <c r="X346" s="75"/>
      <c r="Y346" s="75"/>
      <c r="Z346" s="75"/>
    </row>
    <row r="347">
      <c r="A347" s="91">
        <v>17632.0</v>
      </c>
      <c r="B347" s="90" t="s">
        <v>1253</v>
      </c>
      <c r="C347" s="91">
        <v>2022.0</v>
      </c>
      <c r="D347" s="90" t="s">
        <v>40</v>
      </c>
      <c r="E347" s="90" t="s">
        <v>70</v>
      </c>
      <c r="F347" s="101" t="s">
        <v>1254</v>
      </c>
      <c r="G347" s="93">
        <v>46092.0</v>
      </c>
      <c r="H347" s="94">
        <f t="shared" si="4"/>
        <v>2</v>
      </c>
      <c r="I347" s="95" t="s">
        <v>1255</v>
      </c>
      <c r="J347" s="96">
        <v>46094.0</v>
      </c>
      <c r="K347" s="95"/>
      <c r="L347" s="98"/>
      <c r="M347" s="98"/>
      <c r="N347" s="98"/>
      <c r="O347" s="98"/>
      <c r="P347" s="98"/>
      <c r="Q347" s="98"/>
      <c r="R347" s="98"/>
      <c r="S347" s="98"/>
      <c r="T347" s="98"/>
      <c r="U347" s="98"/>
      <c r="V347" s="98"/>
      <c r="W347" s="98"/>
      <c r="X347" s="98"/>
      <c r="Y347" s="98"/>
      <c r="Z347" s="98"/>
    </row>
    <row r="348">
      <c r="A348" s="69">
        <v>17633.0</v>
      </c>
      <c r="B348" s="68" t="s">
        <v>945</v>
      </c>
      <c r="C348" s="69">
        <v>2019.0</v>
      </c>
      <c r="D348" s="68" t="s">
        <v>1193</v>
      </c>
      <c r="E348" s="68" t="s">
        <v>1256</v>
      </c>
      <c r="F348" s="70" t="s">
        <v>948</v>
      </c>
      <c r="G348" s="71">
        <v>46092.0</v>
      </c>
      <c r="H348" s="72">
        <f t="shared" si="4"/>
        <v>0</v>
      </c>
      <c r="I348" s="73" t="s">
        <v>1257</v>
      </c>
      <c r="J348" s="74">
        <v>46092.0</v>
      </c>
      <c r="K348" s="73"/>
      <c r="L348" s="75"/>
      <c r="M348" s="75"/>
      <c r="N348" s="75"/>
      <c r="O348" s="75"/>
      <c r="P348" s="75"/>
      <c r="Q348" s="75"/>
      <c r="R348" s="75"/>
      <c r="S348" s="75"/>
      <c r="T348" s="75"/>
      <c r="U348" s="75"/>
      <c r="V348" s="75"/>
      <c r="W348" s="75"/>
      <c r="X348" s="75"/>
      <c r="Y348" s="75"/>
      <c r="Z348" s="75"/>
    </row>
    <row r="349">
      <c r="A349" s="91" t="s">
        <v>1258</v>
      </c>
      <c r="B349" s="90" t="s">
        <v>1259</v>
      </c>
      <c r="C349" s="91">
        <v>2023.0</v>
      </c>
      <c r="D349" s="90" t="s">
        <v>1260</v>
      </c>
      <c r="E349" s="90" t="s">
        <v>792</v>
      </c>
      <c r="F349" s="101" t="s">
        <v>1261</v>
      </c>
      <c r="G349" s="93">
        <v>46092.0</v>
      </c>
      <c r="H349" s="94">
        <f t="shared" si="4"/>
        <v>8</v>
      </c>
      <c r="I349" s="95" t="s">
        <v>1262</v>
      </c>
      <c r="J349" s="96">
        <v>46100.0</v>
      </c>
      <c r="K349" s="95" t="s">
        <v>31</v>
      </c>
      <c r="L349" s="97">
        <v>64914.0</v>
      </c>
      <c r="M349" s="98"/>
      <c r="N349" s="98"/>
      <c r="O349" s="98"/>
      <c r="P349" s="98"/>
      <c r="Q349" s="98"/>
      <c r="R349" s="98"/>
      <c r="S349" s="98"/>
      <c r="T349" s="98"/>
      <c r="U349" s="98"/>
      <c r="V349" s="98"/>
      <c r="W349" s="98"/>
      <c r="X349" s="98"/>
      <c r="Y349" s="98"/>
      <c r="Z349" s="98"/>
    </row>
    <row r="350">
      <c r="A350" s="69">
        <v>17636.0</v>
      </c>
      <c r="B350" s="68" t="s">
        <v>1263</v>
      </c>
      <c r="C350" s="69">
        <v>2021.0</v>
      </c>
      <c r="D350" s="68" t="s">
        <v>1147</v>
      </c>
      <c r="E350" s="68" t="s">
        <v>1264</v>
      </c>
      <c r="F350" s="70" t="s">
        <v>1265</v>
      </c>
      <c r="G350" s="71">
        <v>46093.0</v>
      </c>
      <c r="H350" s="72">
        <f t="shared" si="4"/>
        <v>0</v>
      </c>
      <c r="I350" s="73" t="s">
        <v>1131</v>
      </c>
      <c r="J350" s="74">
        <v>46093.0</v>
      </c>
      <c r="K350" s="73"/>
      <c r="L350" s="75"/>
      <c r="M350" s="103"/>
      <c r="N350" s="103"/>
      <c r="O350" s="103"/>
      <c r="P350" s="103"/>
      <c r="Q350" s="103"/>
      <c r="R350" s="103"/>
      <c r="S350" s="103"/>
      <c r="T350" s="103"/>
      <c r="U350" s="103"/>
      <c r="V350" s="103"/>
      <c r="W350" s="103"/>
      <c r="X350" s="103"/>
      <c r="Y350" s="103"/>
      <c r="Z350" s="103"/>
    </row>
    <row r="351">
      <c r="A351" s="91">
        <v>17637.0</v>
      </c>
      <c r="B351" s="90" t="s">
        <v>1266</v>
      </c>
      <c r="C351" s="91">
        <v>2021.0</v>
      </c>
      <c r="D351" s="90" t="s">
        <v>1147</v>
      </c>
      <c r="E351" s="90" t="s">
        <v>1267</v>
      </c>
      <c r="F351" s="101" t="s">
        <v>1268</v>
      </c>
      <c r="G351" s="93">
        <v>46093.0</v>
      </c>
      <c r="H351" s="94">
        <f t="shared" si="4"/>
        <v>0</v>
      </c>
      <c r="I351" s="95" t="s">
        <v>1131</v>
      </c>
      <c r="J351" s="96">
        <v>46093.0</v>
      </c>
      <c r="K351" s="95"/>
      <c r="L351" s="98"/>
      <c r="M351" s="97"/>
      <c r="N351" s="97"/>
      <c r="O351" s="97"/>
      <c r="P351" s="97"/>
      <c r="Q351" s="97"/>
      <c r="R351" s="97"/>
      <c r="S351" s="97"/>
      <c r="T351" s="97"/>
      <c r="U351" s="97"/>
      <c r="V351" s="97"/>
      <c r="W351" s="97"/>
      <c r="X351" s="97"/>
      <c r="Y351" s="97"/>
      <c r="Z351" s="97"/>
    </row>
    <row r="352">
      <c r="A352" s="69">
        <v>17638.0</v>
      </c>
      <c r="B352" s="68" t="s">
        <v>1269</v>
      </c>
      <c r="C352" s="69">
        <v>2021.0</v>
      </c>
      <c r="D352" s="68" t="s">
        <v>1270</v>
      </c>
      <c r="E352" s="68" t="s">
        <v>1271</v>
      </c>
      <c r="F352" s="70" t="s">
        <v>1272</v>
      </c>
      <c r="G352" s="71">
        <v>46093.0</v>
      </c>
      <c r="H352" s="72">
        <f t="shared" si="4"/>
        <v>0</v>
      </c>
      <c r="I352" s="73" t="s">
        <v>1273</v>
      </c>
      <c r="J352" s="74">
        <v>46093.0</v>
      </c>
      <c r="K352" s="73"/>
      <c r="L352" s="75"/>
      <c r="M352" s="75"/>
      <c r="N352" s="75"/>
      <c r="O352" s="75"/>
      <c r="P352" s="75"/>
      <c r="Q352" s="75"/>
      <c r="R352" s="75"/>
      <c r="S352" s="75"/>
      <c r="T352" s="75"/>
      <c r="U352" s="75"/>
      <c r="V352" s="75"/>
      <c r="W352" s="75"/>
      <c r="X352" s="75"/>
      <c r="Y352" s="75"/>
      <c r="Z352" s="75"/>
    </row>
    <row r="353">
      <c r="A353" s="91">
        <v>17641.0</v>
      </c>
      <c r="B353" s="90" t="s">
        <v>1274</v>
      </c>
      <c r="C353" s="91">
        <v>2015.0</v>
      </c>
      <c r="D353" s="90" t="s">
        <v>40</v>
      </c>
      <c r="E353" s="90" t="s">
        <v>368</v>
      </c>
      <c r="F353" s="101" t="s">
        <v>1275</v>
      </c>
      <c r="G353" s="93">
        <v>46093.0</v>
      </c>
      <c r="H353" s="94">
        <f t="shared" si="4"/>
        <v>0</v>
      </c>
      <c r="I353" s="95" t="s">
        <v>1276</v>
      </c>
      <c r="J353" s="96">
        <v>46093.0</v>
      </c>
      <c r="K353" s="95"/>
      <c r="L353" s="98"/>
      <c r="M353" s="98"/>
      <c r="N353" s="98"/>
      <c r="O353" s="98"/>
      <c r="P353" s="98"/>
      <c r="Q353" s="98"/>
      <c r="R353" s="98"/>
      <c r="S353" s="98"/>
      <c r="T353" s="98"/>
      <c r="U353" s="98"/>
      <c r="V353" s="98"/>
      <c r="W353" s="98"/>
      <c r="X353" s="98"/>
      <c r="Y353" s="98"/>
      <c r="Z353" s="98"/>
    </row>
    <row r="354">
      <c r="A354" s="69">
        <v>17642.0</v>
      </c>
      <c r="B354" s="68" t="s">
        <v>1277</v>
      </c>
      <c r="C354" s="69">
        <v>2022.0</v>
      </c>
      <c r="D354" s="68" t="s">
        <v>292</v>
      </c>
      <c r="E354" s="68" t="s">
        <v>1278</v>
      </c>
      <c r="F354" s="70" t="s">
        <v>1279</v>
      </c>
      <c r="G354" s="71">
        <v>46093.0</v>
      </c>
      <c r="H354" s="72">
        <f t="shared" si="4"/>
        <v>0</v>
      </c>
      <c r="I354" s="73" t="s">
        <v>1280</v>
      </c>
      <c r="J354" s="74">
        <v>46093.0</v>
      </c>
      <c r="K354" s="73"/>
      <c r="L354" s="75"/>
      <c r="M354" s="75"/>
      <c r="N354" s="75"/>
      <c r="O354" s="75"/>
      <c r="P354" s="75"/>
      <c r="Q354" s="75"/>
      <c r="R354" s="75"/>
      <c r="S354" s="75"/>
      <c r="T354" s="75"/>
      <c r="U354" s="75"/>
      <c r="V354" s="75"/>
      <c r="W354" s="75"/>
      <c r="X354" s="75"/>
      <c r="Y354" s="75"/>
      <c r="Z354" s="75"/>
    </row>
    <row r="355">
      <c r="A355" s="91">
        <v>17643.0</v>
      </c>
      <c r="B355" s="90" t="s">
        <v>1281</v>
      </c>
      <c r="C355" s="91">
        <v>2014.0</v>
      </c>
      <c r="D355" s="90" t="s">
        <v>1104</v>
      </c>
      <c r="E355" s="90" t="s">
        <v>70</v>
      </c>
      <c r="F355" s="101" t="s">
        <v>1282</v>
      </c>
      <c r="G355" s="93">
        <v>46093.0</v>
      </c>
      <c r="H355" s="94">
        <f t="shared" si="4"/>
        <v>13</v>
      </c>
      <c r="I355" s="95" t="s">
        <v>1283</v>
      </c>
      <c r="J355" s="96">
        <v>46106.0</v>
      </c>
      <c r="K355" s="95" t="s">
        <v>31</v>
      </c>
      <c r="L355" s="97">
        <v>161660.0</v>
      </c>
      <c r="M355" s="98"/>
      <c r="N355" s="98"/>
      <c r="O355" s="98"/>
      <c r="P355" s="98"/>
      <c r="Q355" s="98"/>
      <c r="R355" s="98"/>
      <c r="S355" s="98"/>
      <c r="T355" s="98"/>
      <c r="U355" s="98"/>
      <c r="V355" s="98"/>
      <c r="W355" s="98"/>
      <c r="X355" s="98"/>
      <c r="Y355" s="98"/>
      <c r="Z355" s="98"/>
    </row>
    <row r="356">
      <c r="A356" s="69">
        <v>17644.0</v>
      </c>
      <c r="B356" s="68" t="s">
        <v>1284</v>
      </c>
      <c r="C356" s="69">
        <v>2015.0</v>
      </c>
      <c r="D356" s="68" t="s">
        <v>292</v>
      </c>
      <c r="E356" s="68" t="s">
        <v>125</v>
      </c>
      <c r="F356" s="70" t="s">
        <v>1285</v>
      </c>
      <c r="G356" s="71">
        <v>46094.0</v>
      </c>
      <c r="H356" s="72">
        <f t="shared" si="4"/>
        <v>4</v>
      </c>
      <c r="I356" s="73" t="s">
        <v>1286</v>
      </c>
      <c r="J356" s="74">
        <v>46098.0</v>
      </c>
      <c r="K356" s="73"/>
      <c r="L356" s="75"/>
      <c r="M356" s="75"/>
      <c r="N356" s="75"/>
      <c r="O356" s="75"/>
      <c r="P356" s="75"/>
      <c r="Q356" s="75"/>
      <c r="R356" s="75"/>
      <c r="S356" s="75"/>
      <c r="T356" s="75"/>
      <c r="U356" s="75"/>
      <c r="V356" s="75"/>
      <c r="W356" s="75"/>
      <c r="X356" s="75"/>
      <c r="Y356" s="75"/>
      <c r="Z356" s="75"/>
    </row>
    <row r="357">
      <c r="A357" s="91">
        <v>17647.0</v>
      </c>
      <c r="B357" s="90" t="s">
        <v>1287</v>
      </c>
      <c r="C357" s="91">
        <v>2014.0</v>
      </c>
      <c r="D357" s="90" t="s">
        <v>1288</v>
      </c>
      <c r="E357" s="90" t="s">
        <v>1289</v>
      </c>
      <c r="F357" s="101" t="s">
        <v>1290</v>
      </c>
      <c r="G357" s="93">
        <v>46094.0</v>
      </c>
      <c r="H357" s="94">
        <f t="shared" si="4"/>
        <v>0</v>
      </c>
      <c r="I357" s="95" t="s">
        <v>1291</v>
      </c>
      <c r="J357" s="96">
        <v>46094.0</v>
      </c>
      <c r="K357" s="95"/>
      <c r="L357" s="98"/>
      <c r="M357" s="97"/>
      <c r="N357" s="97"/>
      <c r="O357" s="97"/>
      <c r="P357" s="97"/>
      <c r="Q357" s="97"/>
      <c r="R357" s="97"/>
      <c r="S357" s="97"/>
      <c r="T357" s="97"/>
      <c r="U357" s="97"/>
      <c r="V357" s="97"/>
      <c r="W357" s="97"/>
      <c r="X357" s="97"/>
      <c r="Y357" s="97"/>
      <c r="Z357" s="97"/>
    </row>
    <row r="358">
      <c r="A358" s="69">
        <v>17648.0</v>
      </c>
      <c r="B358" s="68" t="s">
        <v>1292</v>
      </c>
      <c r="C358" s="69">
        <v>2019.0</v>
      </c>
      <c r="D358" s="68" t="s">
        <v>1117</v>
      </c>
      <c r="E358" s="68" t="s">
        <v>70</v>
      </c>
      <c r="F358" s="70" t="s">
        <v>1293</v>
      </c>
      <c r="G358" s="71">
        <v>46094.0</v>
      </c>
      <c r="H358" s="72">
        <f t="shared" si="4"/>
        <v>4</v>
      </c>
      <c r="I358" s="73" t="s">
        <v>1294</v>
      </c>
      <c r="J358" s="74">
        <v>46098.0</v>
      </c>
      <c r="K358" s="73" t="s">
        <v>31</v>
      </c>
      <c r="L358" s="103">
        <v>178722.0</v>
      </c>
      <c r="M358" s="75"/>
      <c r="N358" s="75"/>
      <c r="O358" s="75"/>
      <c r="P358" s="75"/>
      <c r="Q358" s="75"/>
      <c r="R358" s="75"/>
      <c r="S358" s="75"/>
      <c r="T358" s="75"/>
      <c r="U358" s="75"/>
      <c r="V358" s="75"/>
      <c r="W358" s="75"/>
      <c r="X358" s="75"/>
      <c r="Y358" s="75"/>
      <c r="Z358" s="75"/>
    </row>
    <row r="359">
      <c r="A359" s="91">
        <v>17649.0</v>
      </c>
      <c r="B359" s="90" t="s">
        <v>1295</v>
      </c>
      <c r="C359" s="91">
        <v>2015.0</v>
      </c>
      <c r="D359" s="90" t="s">
        <v>182</v>
      </c>
      <c r="E359" s="90" t="s">
        <v>106</v>
      </c>
      <c r="F359" s="101" t="s">
        <v>1296</v>
      </c>
      <c r="G359" s="93">
        <v>46094.0</v>
      </c>
      <c r="H359" s="94">
        <f t="shared" si="4"/>
        <v>10</v>
      </c>
      <c r="I359" s="95" t="s">
        <v>1297</v>
      </c>
      <c r="J359" s="96">
        <v>46104.0</v>
      </c>
      <c r="K359" s="95" t="s">
        <v>31</v>
      </c>
      <c r="L359" s="97">
        <v>154829.0</v>
      </c>
      <c r="M359" s="98"/>
      <c r="N359" s="98"/>
      <c r="O359" s="98"/>
      <c r="P359" s="98"/>
      <c r="Q359" s="98"/>
      <c r="R359" s="98"/>
      <c r="S359" s="98"/>
      <c r="T359" s="98"/>
      <c r="U359" s="98"/>
      <c r="V359" s="98"/>
      <c r="W359" s="98"/>
      <c r="X359" s="98"/>
      <c r="Y359" s="98"/>
      <c r="Z359" s="98"/>
    </row>
    <row r="360">
      <c r="A360" s="69">
        <v>17650.0</v>
      </c>
      <c r="B360" s="68" t="s">
        <v>1298</v>
      </c>
      <c r="C360" s="69">
        <v>2022.0</v>
      </c>
      <c r="D360" s="68" t="s">
        <v>718</v>
      </c>
      <c r="E360" s="68" t="s">
        <v>1299</v>
      </c>
      <c r="F360" s="70" t="s">
        <v>1300</v>
      </c>
      <c r="G360" s="71">
        <v>46094.0</v>
      </c>
      <c r="H360" s="72">
        <f t="shared" si="4"/>
        <v>3</v>
      </c>
      <c r="I360" s="73" t="s">
        <v>1301</v>
      </c>
      <c r="J360" s="74">
        <v>46097.0</v>
      </c>
      <c r="K360" s="73"/>
      <c r="L360" s="75"/>
      <c r="M360" s="75"/>
      <c r="N360" s="75"/>
      <c r="O360" s="75"/>
      <c r="P360" s="75"/>
      <c r="Q360" s="75"/>
      <c r="R360" s="75"/>
      <c r="S360" s="75"/>
      <c r="T360" s="75"/>
      <c r="U360" s="75"/>
      <c r="V360" s="75"/>
      <c r="W360" s="75"/>
      <c r="X360" s="75"/>
      <c r="Y360" s="75"/>
      <c r="Z360" s="75"/>
    </row>
    <row r="361">
      <c r="A361" s="91">
        <v>17652.0</v>
      </c>
      <c r="B361" s="90" t="s">
        <v>767</v>
      </c>
      <c r="C361" s="91">
        <v>2022.0</v>
      </c>
      <c r="D361" s="90" t="s">
        <v>40</v>
      </c>
      <c r="E361" s="90" t="s">
        <v>293</v>
      </c>
      <c r="F361" s="101" t="s">
        <v>768</v>
      </c>
      <c r="G361" s="93">
        <v>46094.0</v>
      </c>
      <c r="H361" s="94">
        <f t="shared" si="4"/>
        <v>6</v>
      </c>
      <c r="I361" s="95" t="s">
        <v>1302</v>
      </c>
      <c r="J361" s="96">
        <v>46100.0</v>
      </c>
      <c r="K361" s="95"/>
      <c r="L361" s="98"/>
      <c r="M361" s="98"/>
      <c r="N361" s="98"/>
      <c r="O361" s="98"/>
      <c r="P361" s="98"/>
      <c r="Q361" s="98"/>
      <c r="R361" s="98"/>
      <c r="S361" s="98"/>
      <c r="T361" s="98"/>
      <c r="U361" s="98"/>
      <c r="V361" s="98"/>
      <c r="W361" s="98"/>
      <c r="X361" s="98"/>
      <c r="Y361" s="98"/>
      <c r="Z361" s="98"/>
    </row>
    <row r="362">
      <c r="A362" s="69">
        <v>18167.0</v>
      </c>
      <c r="B362" s="68" t="s">
        <v>1303</v>
      </c>
      <c r="C362" s="69">
        <v>2020.0</v>
      </c>
      <c r="D362" s="68" t="s">
        <v>536</v>
      </c>
      <c r="E362" s="68" t="s">
        <v>792</v>
      </c>
      <c r="F362" s="70" t="s">
        <v>1304</v>
      </c>
      <c r="G362" s="71">
        <v>46174.0</v>
      </c>
      <c r="H362" s="72">
        <f t="shared" si="4"/>
        <v>2</v>
      </c>
      <c r="I362" s="73" t="s">
        <v>1305</v>
      </c>
      <c r="J362" s="74">
        <v>46176.0</v>
      </c>
      <c r="K362" s="73"/>
      <c r="L362" s="75"/>
      <c r="M362" s="103"/>
      <c r="N362" s="103"/>
      <c r="O362" s="103"/>
      <c r="P362" s="103"/>
      <c r="Q362" s="103"/>
      <c r="R362" s="103"/>
      <c r="S362" s="103"/>
      <c r="T362" s="103"/>
      <c r="U362" s="103"/>
      <c r="V362" s="103"/>
      <c r="W362" s="103"/>
      <c r="X362" s="103"/>
      <c r="Y362" s="103"/>
      <c r="Z362" s="103"/>
    </row>
    <row r="363">
      <c r="A363" s="91" t="s">
        <v>1306</v>
      </c>
      <c r="B363" s="90" t="s">
        <v>68</v>
      </c>
      <c r="C363" s="91">
        <v>2023.0</v>
      </c>
      <c r="D363" s="90" t="s">
        <v>69</v>
      </c>
      <c r="E363" s="90" t="s">
        <v>70</v>
      </c>
      <c r="F363" s="101" t="s">
        <v>71</v>
      </c>
      <c r="G363" s="93">
        <v>46094.0</v>
      </c>
      <c r="H363" s="94">
        <f t="shared" si="4"/>
        <v>12</v>
      </c>
      <c r="I363" s="95" t="s">
        <v>1307</v>
      </c>
      <c r="J363" s="96">
        <v>46106.0</v>
      </c>
      <c r="K363" s="95" t="s">
        <v>31</v>
      </c>
      <c r="L363" s="97">
        <v>38880.0</v>
      </c>
      <c r="M363" s="98"/>
      <c r="N363" s="98"/>
      <c r="O363" s="98"/>
      <c r="P363" s="98"/>
      <c r="Q363" s="98"/>
      <c r="R363" s="98"/>
      <c r="S363" s="98"/>
      <c r="T363" s="98"/>
      <c r="U363" s="98"/>
      <c r="V363" s="98"/>
      <c r="W363" s="98"/>
      <c r="X363" s="98"/>
      <c r="Y363" s="98"/>
      <c r="Z363" s="98"/>
    </row>
    <row r="364">
      <c r="A364" s="69">
        <v>17657.0</v>
      </c>
      <c r="B364" s="68" t="s">
        <v>1056</v>
      </c>
      <c r="C364" s="69">
        <v>2022.0</v>
      </c>
      <c r="D364" s="68" t="s">
        <v>718</v>
      </c>
      <c r="E364" s="68" t="s">
        <v>173</v>
      </c>
      <c r="F364" s="70" t="s">
        <v>1058</v>
      </c>
      <c r="G364" s="71">
        <v>46097.0</v>
      </c>
      <c r="H364" s="72">
        <f t="shared" si="4"/>
        <v>1</v>
      </c>
      <c r="I364" s="73" t="s">
        <v>1308</v>
      </c>
      <c r="J364" s="74">
        <v>46098.0</v>
      </c>
      <c r="K364" s="73" t="s">
        <v>24</v>
      </c>
      <c r="L364" s="73">
        <v>54881.0</v>
      </c>
      <c r="M364" s="103"/>
      <c r="N364" s="103"/>
      <c r="O364" s="103"/>
      <c r="P364" s="103"/>
      <c r="Q364" s="103"/>
      <c r="R364" s="103"/>
      <c r="S364" s="103"/>
      <c r="T364" s="103"/>
      <c r="U364" s="103"/>
      <c r="V364" s="103"/>
      <c r="W364" s="103"/>
      <c r="X364" s="103"/>
      <c r="Y364" s="103"/>
      <c r="Z364" s="103"/>
    </row>
    <row r="365">
      <c r="A365" s="91">
        <v>17658.0</v>
      </c>
      <c r="B365" s="90" t="s">
        <v>829</v>
      </c>
      <c r="C365" s="91">
        <v>2022.0</v>
      </c>
      <c r="D365" s="90" t="s">
        <v>40</v>
      </c>
      <c r="E365" s="90" t="s">
        <v>99</v>
      </c>
      <c r="F365" s="101" t="s">
        <v>830</v>
      </c>
      <c r="G365" s="93">
        <v>46097.0</v>
      </c>
      <c r="H365" s="94">
        <f t="shared" si="4"/>
        <v>0</v>
      </c>
      <c r="I365" s="95" t="s">
        <v>1309</v>
      </c>
      <c r="J365" s="96">
        <v>46097.0</v>
      </c>
      <c r="K365" s="95"/>
      <c r="L365" s="98"/>
      <c r="M365" s="98"/>
      <c r="N365" s="98"/>
      <c r="O365" s="98"/>
      <c r="P365" s="98"/>
      <c r="Q365" s="98"/>
      <c r="R365" s="98"/>
      <c r="S365" s="98"/>
      <c r="T365" s="98"/>
      <c r="U365" s="98"/>
      <c r="V365" s="98"/>
      <c r="W365" s="98"/>
      <c r="X365" s="98"/>
      <c r="Y365" s="98"/>
      <c r="Z365" s="98"/>
    </row>
    <row r="366">
      <c r="A366" s="69">
        <v>17660.0</v>
      </c>
      <c r="B366" s="68" t="s">
        <v>172</v>
      </c>
      <c r="C366" s="69">
        <v>2022.0</v>
      </c>
      <c r="D366" s="68" t="s">
        <v>40</v>
      </c>
      <c r="E366" s="68" t="s">
        <v>173</v>
      </c>
      <c r="F366" s="70" t="s">
        <v>174</v>
      </c>
      <c r="G366" s="71">
        <v>46097.0</v>
      </c>
      <c r="H366" s="72">
        <f t="shared" si="4"/>
        <v>0</v>
      </c>
      <c r="I366" s="73" t="s">
        <v>1310</v>
      </c>
      <c r="J366" s="74">
        <v>46097.0</v>
      </c>
      <c r="K366" s="73"/>
      <c r="L366" s="75"/>
      <c r="M366" s="103"/>
      <c r="N366" s="103"/>
      <c r="O366" s="103"/>
      <c r="P366" s="103"/>
      <c r="Q366" s="103"/>
      <c r="R366" s="103"/>
      <c r="S366" s="103"/>
      <c r="T366" s="103"/>
      <c r="U366" s="103"/>
      <c r="V366" s="103"/>
      <c r="W366" s="103"/>
      <c r="X366" s="103"/>
      <c r="Y366" s="103"/>
      <c r="Z366" s="103"/>
    </row>
    <row r="367">
      <c r="A367" s="91">
        <v>17662.0</v>
      </c>
      <c r="B367" s="90" t="s">
        <v>1311</v>
      </c>
      <c r="C367" s="91">
        <v>2022.0</v>
      </c>
      <c r="D367" s="90" t="s">
        <v>1270</v>
      </c>
      <c r="E367" s="90" t="s">
        <v>1312</v>
      </c>
      <c r="F367" s="101" t="s">
        <v>1313</v>
      </c>
      <c r="G367" s="93">
        <v>46097.0</v>
      </c>
      <c r="H367" s="94">
        <f t="shared" si="4"/>
        <v>3</v>
      </c>
      <c r="I367" s="95" t="s">
        <v>1314</v>
      </c>
      <c r="J367" s="96">
        <v>46100.0</v>
      </c>
      <c r="K367" s="95"/>
      <c r="L367" s="98"/>
      <c r="M367" s="98"/>
      <c r="N367" s="98"/>
      <c r="O367" s="98"/>
      <c r="P367" s="98"/>
      <c r="Q367" s="98"/>
      <c r="R367" s="98"/>
      <c r="S367" s="98"/>
      <c r="T367" s="98"/>
      <c r="U367" s="98"/>
      <c r="V367" s="98"/>
      <c r="W367" s="98"/>
      <c r="X367" s="98"/>
      <c r="Y367" s="98"/>
      <c r="Z367" s="98"/>
    </row>
    <row r="368">
      <c r="A368" s="69">
        <v>17663.0</v>
      </c>
      <c r="B368" s="68" t="s">
        <v>1315</v>
      </c>
      <c r="C368" s="69">
        <v>2014.0</v>
      </c>
      <c r="D368" s="68" t="s">
        <v>27</v>
      </c>
      <c r="E368" s="68" t="s">
        <v>418</v>
      </c>
      <c r="F368" s="70" t="s">
        <v>1316</v>
      </c>
      <c r="G368" s="71">
        <v>46097.0</v>
      </c>
      <c r="H368" s="72">
        <f t="shared" si="4"/>
        <v>1</v>
      </c>
      <c r="I368" s="73" t="s">
        <v>1317</v>
      </c>
      <c r="J368" s="74">
        <v>46098.0</v>
      </c>
      <c r="K368" s="73"/>
      <c r="L368" s="75"/>
      <c r="M368" s="75"/>
      <c r="N368" s="75"/>
      <c r="O368" s="75"/>
      <c r="P368" s="75"/>
      <c r="Q368" s="75"/>
      <c r="R368" s="75"/>
      <c r="S368" s="75"/>
      <c r="T368" s="75"/>
      <c r="U368" s="75"/>
      <c r="V368" s="75"/>
      <c r="W368" s="75"/>
      <c r="X368" s="75"/>
      <c r="Y368" s="75"/>
      <c r="Z368" s="75"/>
    </row>
    <row r="369">
      <c r="A369" s="91">
        <v>17665.0</v>
      </c>
      <c r="B369" s="90" t="s">
        <v>1318</v>
      </c>
      <c r="C369" s="91">
        <v>2023.0</v>
      </c>
      <c r="D369" s="90" t="s">
        <v>1319</v>
      </c>
      <c r="E369" s="90" t="s">
        <v>405</v>
      </c>
      <c r="F369" s="101" t="s">
        <v>1320</v>
      </c>
      <c r="G369" s="93">
        <v>46097.0</v>
      </c>
      <c r="H369" s="94">
        <f t="shared" si="4"/>
        <v>2</v>
      </c>
      <c r="I369" s="95" t="s">
        <v>1321</v>
      </c>
      <c r="J369" s="96">
        <v>46099.0</v>
      </c>
      <c r="K369" s="95" t="s">
        <v>31</v>
      </c>
      <c r="L369" s="97">
        <v>40140.0</v>
      </c>
      <c r="M369" s="95"/>
      <c r="N369" s="95"/>
      <c r="O369" s="95"/>
      <c r="P369" s="95"/>
      <c r="Q369" s="95"/>
      <c r="R369" s="95"/>
      <c r="S369" s="95"/>
      <c r="T369" s="95"/>
      <c r="U369" s="95"/>
      <c r="V369" s="95"/>
      <c r="W369" s="95"/>
      <c r="X369" s="95"/>
      <c r="Y369" s="95"/>
      <c r="Z369" s="95"/>
    </row>
    <row r="370">
      <c r="A370" s="69">
        <v>17666.0</v>
      </c>
      <c r="B370" s="68" t="s">
        <v>1322</v>
      </c>
      <c r="C370" s="69">
        <v>2022.0</v>
      </c>
      <c r="D370" s="68" t="s">
        <v>1147</v>
      </c>
      <c r="E370" s="68" t="s">
        <v>855</v>
      </c>
      <c r="F370" s="70" t="s">
        <v>1323</v>
      </c>
      <c r="G370" s="71">
        <v>46097.0</v>
      </c>
      <c r="H370" s="72">
        <f t="shared" si="4"/>
        <v>1</v>
      </c>
      <c r="I370" s="73" t="s">
        <v>1324</v>
      </c>
      <c r="J370" s="74">
        <v>46098.0</v>
      </c>
      <c r="K370" s="73"/>
      <c r="L370" s="75"/>
      <c r="M370" s="75"/>
      <c r="N370" s="75"/>
      <c r="O370" s="75"/>
      <c r="P370" s="75"/>
      <c r="Q370" s="75"/>
      <c r="R370" s="75"/>
      <c r="S370" s="75"/>
      <c r="T370" s="75"/>
      <c r="U370" s="75"/>
      <c r="V370" s="75"/>
      <c r="W370" s="75"/>
      <c r="X370" s="75"/>
      <c r="Y370" s="75"/>
      <c r="Z370" s="75"/>
    </row>
    <row r="371">
      <c r="A371" s="91">
        <v>17668.0</v>
      </c>
      <c r="B371" s="90" t="s">
        <v>1325</v>
      </c>
      <c r="C371" s="91">
        <v>2018.0</v>
      </c>
      <c r="D371" s="90" t="s">
        <v>1326</v>
      </c>
      <c r="E371" s="90" t="s">
        <v>1327</v>
      </c>
      <c r="F371" s="101" t="s">
        <v>1328</v>
      </c>
      <c r="G371" s="93">
        <v>46098.0</v>
      </c>
      <c r="H371" s="94">
        <f t="shared" si="4"/>
        <v>0</v>
      </c>
      <c r="I371" s="95" t="s">
        <v>1329</v>
      </c>
      <c r="J371" s="96">
        <v>46098.0</v>
      </c>
      <c r="K371" s="95"/>
      <c r="L371" s="98"/>
      <c r="M371" s="98"/>
      <c r="N371" s="98"/>
      <c r="O371" s="98"/>
      <c r="P371" s="98"/>
      <c r="Q371" s="98"/>
      <c r="R371" s="98"/>
      <c r="S371" s="98"/>
      <c r="T371" s="98"/>
      <c r="U371" s="98"/>
      <c r="V371" s="98"/>
      <c r="W371" s="98"/>
      <c r="X371" s="98"/>
      <c r="Y371" s="98"/>
      <c r="Z371" s="98"/>
    </row>
    <row r="372">
      <c r="A372" s="69">
        <v>17669.0</v>
      </c>
      <c r="B372" s="68" t="s">
        <v>1330</v>
      </c>
      <c r="C372" s="69">
        <v>2018.0</v>
      </c>
      <c r="D372" s="68" t="s">
        <v>1331</v>
      </c>
      <c r="E372" s="68" t="s">
        <v>1332</v>
      </c>
      <c r="F372" s="70" t="s">
        <v>1333</v>
      </c>
      <c r="G372" s="71">
        <v>46098.0</v>
      </c>
      <c r="H372" s="72">
        <f t="shared" si="4"/>
        <v>0</v>
      </c>
      <c r="I372" s="73" t="s">
        <v>1334</v>
      </c>
      <c r="J372" s="74">
        <v>46098.0</v>
      </c>
      <c r="K372" s="73"/>
      <c r="L372" s="75"/>
      <c r="M372" s="75"/>
      <c r="N372" s="75"/>
      <c r="O372" s="75"/>
      <c r="P372" s="75"/>
      <c r="Q372" s="75"/>
      <c r="R372" s="75"/>
      <c r="S372" s="75"/>
      <c r="T372" s="75"/>
      <c r="U372" s="75"/>
      <c r="V372" s="75"/>
      <c r="W372" s="75"/>
      <c r="X372" s="75"/>
      <c r="Y372" s="75"/>
      <c r="Z372" s="75"/>
    </row>
    <row r="373">
      <c r="A373" s="91">
        <v>16981.0</v>
      </c>
      <c r="B373" s="90" t="s">
        <v>1335</v>
      </c>
      <c r="C373" s="91">
        <v>2015.0</v>
      </c>
      <c r="D373" s="90" t="s">
        <v>911</v>
      </c>
      <c r="E373" s="90" t="s">
        <v>725</v>
      </c>
      <c r="F373" s="101" t="s">
        <v>1336</v>
      </c>
      <c r="G373" s="93">
        <v>46099.0</v>
      </c>
      <c r="H373" s="94">
        <f t="shared" si="4"/>
        <v>0</v>
      </c>
      <c r="I373" s="95" t="s">
        <v>1216</v>
      </c>
      <c r="J373" s="96">
        <v>46099.0</v>
      </c>
      <c r="K373" s="95" t="s">
        <v>31</v>
      </c>
      <c r="L373" s="97">
        <v>273711.0</v>
      </c>
      <c r="M373" s="98"/>
      <c r="N373" s="98"/>
      <c r="O373" s="98"/>
      <c r="P373" s="98"/>
      <c r="Q373" s="98"/>
      <c r="R373" s="98"/>
      <c r="S373" s="98"/>
      <c r="T373" s="98"/>
      <c r="U373" s="98"/>
      <c r="V373" s="98"/>
      <c r="W373" s="98"/>
      <c r="X373" s="98"/>
      <c r="Y373" s="98"/>
      <c r="Z373" s="98"/>
    </row>
    <row r="374">
      <c r="A374" s="69">
        <v>17678.0</v>
      </c>
      <c r="B374" s="68" t="s">
        <v>1337</v>
      </c>
      <c r="C374" s="69">
        <v>2019.0</v>
      </c>
      <c r="D374" s="68" t="s">
        <v>1338</v>
      </c>
      <c r="E374" s="68" t="s">
        <v>1339</v>
      </c>
      <c r="F374" s="70" t="s">
        <v>1340</v>
      </c>
      <c r="G374" s="71">
        <v>46099.0</v>
      </c>
      <c r="H374" s="72">
        <f t="shared" si="4"/>
        <v>6</v>
      </c>
      <c r="I374" s="73" t="s">
        <v>1341</v>
      </c>
      <c r="J374" s="74">
        <v>46105.0</v>
      </c>
      <c r="K374" s="73"/>
      <c r="L374" s="75"/>
      <c r="M374" s="75"/>
      <c r="N374" s="75"/>
      <c r="O374" s="75"/>
      <c r="P374" s="75"/>
      <c r="Q374" s="75"/>
      <c r="R374" s="75"/>
      <c r="S374" s="75"/>
      <c r="T374" s="75"/>
      <c r="U374" s="75"/>
      <c r="V374" s="75"/>
      <c r="W374" s="75"/>
      <c r="X374" s="75"/>
      <c r="Y374" s="75"/>
      <c r="Z374" s="75"/>
    </row>
    <row r="375">
      <c r="A375" s="91">
        <v>17679.0</v>
      </c>
      <c r="B375" s="90" t="s">
        <v>1342</v>
      </c>
      <c r="C375" s="91">
        <v>2017.0</v>
      </c>
      <c r="D375" s="90" t="s">
        <v>1343</v>
      </c>
      <c r="E375" s="90" t="s">
        <v>1339</v>
      </c>
      <c r="F375" s="101" t="s">
        <v>1344</v>
      </c>
      <c r="G375" s="93">
        <v>46099.0</v>
      </c>
      <c r="H375" s="94">
        <f t="shared" si="4"/>
        <v>2</v>
      </c>
      <c r="I375" s="95" t="s">
        <v>1345</v>
      </c>
      <c r="J375" s="96">
        <v>46101.0</v>
      </c>
      <c r="K375" s="95"/>
      <c r="L375" s="98"/>
      <c r="M375" s="98"/>
      <c r="N375" s="98"/>
      <c r="O375" s="98"/>
      <c r="P375" s="98"/>
      <c r="Q375" s="98"/>
      <c r="R375" s="98"/>
      <c r="S375" s="98"/>
      <c r="T375" s="98"/>
      <c r="U375" s="98"/>
      <c r="V375" s="98"/>
      <c r="W375" s="98"/>
      <c r="X375" s="98"/>
      <c r="Y375" s="98"/>
      <c r="Z375" s="98"/>
    </row>
    <row r="376">
      <c r="A376" s="69">
        <v>17680.0</v>
      </c>
      <c r="B376" s="68" t="s">
        <v>1346</v>
      </c>
      <c r="C376" s="69">
        <v>2017.0</v>
      </c>
      <c r="D376" s="68" t="s">
        <v>1347</v>
      </c>
      <c r="E376" s="68" t="s">
        <v>1339</v>
      </c>
      <c r="F376" s="70" t="s">
        <v>1348</v>
      </c>
      <c r="G376" s="71">
        <v>46099.0</v>
      </c>
      <c r="H376" s="72">
        <f t="shared" si="4"/>
        <v>2</v>
      </c>
      <c r="I376" s="73" t="s">
        <v>1349</v>
      </c>
      <c r="J376" s="74">
        <v>46101.0</v>
      </c>
      <c r="K376" s="73"/>
      <c r="L376" s="75"/>
      <c r="M376" s="75"/>
      <c r="N376" s="75"/>
      <c r="O376" s="75"/>
      <c r="P376" s="75"/>
      <c r="Q376" s="75"/>
      <c r="R376" s="75"/>
      <c r="S376" s="75"/>
      <c r="T376" s="75"/>
      <c r="U376" s="75"/>
      <c r="V376" s="75"/>
      <c r="W376" s="75"/>
      <c r="X376" s="75"/>
      <c r="Y376" s="75"/>
      <c r="Z376" s="75"/>
    </row>
    <row r="377">
      <c r="A377" s="91" t="s">
        <v>1350</v>
      </c>
      <c r="B377" s="90" t="s">
        <v>1351</v>
      </c>
      <c r="C377" s="91">
        <v>2020.0</v>
      </c>
      <c r="D377" s="90" t="s">
        <v>292</v>
      </c>
      <c r="E377" s="90" t="s">
        <v>1352</v>
      </c>
      <c r="F377" s="101">
        <v>91450.0</v>
      </c>
      <c r="G377" s="93">
        <v>46099.0</v>
      </c>
      <c r="H377" s="94">
        <f t="shared" si="4"/>
        <v>1</v>
      </c>
      <c r="I377" s="95" t="s">
        <v>1353</v>
      </c>
      <c r="J377" s="96">
        <v>46100.0</v>
      </c>
      <c r="K377" s="95"/>
      <c r="L377" s="98"/>
      <c r="M377" s="98"/>
      <c r="N377" s="98"/>
      <c r="O377" s="98"/>
      <c r="P377" s="98"/>
      <c r="Q377" s="98"/>
      <c r="R377" s="98"/>
      <c r="S377" s="98"/>
      <c r="T377" s="98"/>
      <c r="U377" s="98"/>
      <c r="V377" s="98"/>
      <c r="W377" s="98"/>
      <c r="X377" s="98"/>
      <c r="Y377" s="98"/>
      <c r="Z377" s="98"/>
    </row>
    <row r="378">
      <c r="A378" s="69">
        <v>17631.0</v>
      </c>
      <c r="B378" s="68" t="s">
        <v>1354</v>
      </c>
      <c r="C378" s="69">
        <v>2014.0</v>
      </c>
      <c r="D378" s="68" t="s">
        <v>27</v>
      </c>
      <c r="E378" s="68" t="s">
        <v>183</v>
      </c>
      <c r="F378" s="70" t="s">
        <v>1251</v>
      </c>
      <c r="G378" s="71">
        <v>46100.0</v>
      </c>
      <c r="H378" s="72">
        <f t="shared" si="4"/>
        <v>1</v>
      </c>
      <c r="I378" s="73" t="s">
        <v>1355</v>
      </c>
      <c r="J378" s="74">
        <v>46101.0</v>
      </c>
      <c r="K378" s="73" t="s">
        <v>31</v>
      </c>
      <c r="L378" s="103">
        <v>190758.0</v>
      </c>
      <c r="M378" s="103"/>
      <c r="N378" s="103"/>
      <c r="O378" s="103"/>
      <c r="P378" s="103"/>
      <c r="Q378" s="103"/>
      <c r="R378" s="103"/>
      <c r="S378" s="103"/>
      <c r="T378" s="103"/>
      <c r="U378" s="103"/>
      <c r="V378" s="103"/>
      <c r="W378" s="103"/>
      <c r="X378" s="103"/>
      <c r="Y378" s="103"/>
      <c r="Z378" s="103"/>
    </row>
    <row r="379">
      <c r="A379" s="91">
        <v>17682.0</v>
      </c>
      <c r="B379" s="90" t="s">
        <v>1356</v>
      </c>
      <c r="C379" s="91">
        <v>2019.0</v>
      </c>
      <c r="D379" s="90" t="s">
        <v>927</v>
      </c>
      <c r="E379" s="90" t="s">
        <v>1357</v>
      </c>
      <c r="F379" s="101" t="s">
        <v>1358</v>
      </c>
      <c r="G379" s="93">
        <v>46100.0</v>
      </c>
      <c r="H379" s="94">
        <f t="shared" si="4"/>
        <v>0</v>
      </c>
      <c r="I379" s="95" t="s">
        <v>1359</v>
      </c>
      <c r="J379" s="96">
        <v>46100.0</v>
      </c>
      <c r="K379" s="95"/>
      <c r="L379" s="98"/>
      <c r="M379" s="98"/>
      <c r="N379" s="98"/>
      <c r="O379" s="98"/>
      <c r="P379" s="98"/>
      <c r="Q379" s="98"/>
      <c r="R379" s="98"/>
      <c r="S379" s="98"/>
      <c r="T379" s="98"/>
      <c r="U379" s="98"/>
      <c r="V379" s="98"/>
      <c r="W379" s="98"/>
      <c r="X379" s="98"/>
      <c r="Y379" s="98"/>
      <c r="Z379" s="98"/>
    </row>
    <row r="380">
      <c r="A380" s="69">
        <v>17683.0</v>
      </c>
      <c r="B380" s="68" t="s">
        <v>1360</v>
      </c>
      <c r="C380" s="69">
        <v>2021.0</v>
      </c>
      <c r="D380" s="68" t="s">
        <v>1361</v>
      </c>
      <c r="E380" s="68" t="s">
        <v>1362</v>
      </c>
      <c r="F380" s="70" t="s">
        <v>1363</v>
      </c>
      <c r="G380" s="71">
        <v>46100.0</v>
      </c>
      <c r="H380" s="72">
        <f t="shared" si="4"/>
        <v>1</v>
      </c>
      <c r="I380" s="73" t="s">
        <v>1364</v>
      </c>
      <c r="J380" s="74">
        <v>46101.0</v>
      </c>
      <c r="K380" s="73"/>
      <c r="L380" s="75"/>
      <c r="M380" s="75"/>
      <c r="N380" s="75"/>
      <c r="O380" s="75"/>
      <c r="P380" s="75"/>
      <c r="Q380" s="75"/>
      <c r="R380" s="75"/>
      <c r="S380" s="75"/>
      <c r="T380" s="75"/>
      <c r="U380" s="75"/>
      <c r="V380" s="75"/>
      <c r="W380" s="75"/>
      <c r="X380" s="75"/>
      <c r="Y380" s="75"/>
      <c r="Z380" s="75"/>
    </row>
    <row r="381">
      <c r="A381" s="91">
        <v>17685.0</v>
      </c>
      <c r="B381" s="90" t="s">
        <v>1365</v>
      </c>
      <c r="C381" s="91">
        <v>2020.0</v>
      </c>
      <c r="D381" s="90" t="s">
        <v>724</v>
      </c>
      <c r="E381" s="90" t="s">
        <v>1366</v>
      </c>
      <c r="F381" s="101" t="s">
        <v>1367</v>
      </c>
      <c r="G381" s="93">
        <v>46100.0</v>
      </c>
      <c r="H381" s="94">
        <f t="shared" si="4"/>
        <v>1</v>
      </c>
      <c r="I381" s="95" t="s">
        <v>1368</v>
      </c>
      <c r="J381" s="96">
        <v>46101.0</v>
      </c>
      <c r="K381" s="95"/>
      <c r="L381" s="98"/>
      <c r="M381" s="97"/>
      <c r="N381" s="97"/>
      <c r="O381" s="97"/>
      <c r="P381" s="97"/>
      <c r="Q381" s="97"/>
      <c r="R381" s="97"/>
      <c r="S381" s="97"/>
      <c r="T381" s="97"/>
      <c r="U381" s="97"/>
      <c r="V381" s="97"/>
      <c r="W381" s="97"/>
      <c r="X381" s="97"/>
      <c r="Y381" s="97"/>
      <c r="Z381" s="97"/>
    </row>
    <row r="382">
      <c r="A382" s="69">
        <v>17687.0</v>
      </c>
      <c r="B382" s="68" t="s">
        <v>1369</v>
      </c>
      <c r="C382" s="69">
        <v>2014.0</v>
      </c>
      <c r="D382" s="68" t="s">
        <v>27</v>
      </c>
      <c r="E382" s="68" t="s">
        <v>418</v>
      </c>
      <c r="F382" s="70" t="s">
        <v>1370</v>
      </c>
      <c r="G382" s="71">
        <v>46100.0</v>
      </c>
      <c r="H382" s="72">
        <f t="shared" si="4"/>
        <v>20</v>
      </c>
      <c r="I382" s="73" t="s">
        <v>1371</v>
      </c>
      <c r="J382" s="74">
        <v>46120.0</v>
      </c>
      <c r="K382" s="73"/>
      <c r="L382" s="75"/>
      <c r="M382" s="75"/>
      <c r="N382" s="75"/>
      <c r="O382" s="75"/>
      <c r="P382" s="75"/>
      <c r="Q382" s="75"/>
      <c r="R382" s="75"/>
      <c r="S382" s="75"/>
      <c r="T382" s="75"/>
      <c r="U382" s="75"/>
      <c r="V382" s="75"/>
      <c r="W382" s="75"/>
      <c r="X382" s="75"/>
      <c r="Y382" s="75"/>
      <c r="Z382" s="75"/>
    </row>
    <row r="383">
      <c r="A383" s="91">
        <v>17688.0</v>
      </c>
      <c r="B383" s="90" t="s">
        <v>1372</v>
      </c>
      <c r="C383" s="91">
        <v>2022.0</v>
      </c>
      <c r="D383" s="90" t="s">
        <v>911</v>
      </c>
      <c r="E383" s="90" t="s">
        <v>1373</v>
      </c>
      <c r="F383" s="101" t="s">
        <v>1374</v>
      </c>
      <c r="G383" s="93">
        <v>46101.0</v>
      </c>
      <c r="H383" s="94">
        <f t="shared" si="4"/>
        <v>0</v>
      </c>
      <c r="I383" s="95" t="s">
        <v>1131</v>
      </c>
      <c r="J383" s="96">
        <v>46101.0</v>
      </c>
      <c r="K383" s="95" t="s">
        <v>17</v>
      </c>
      <c r="L383" s="98"/>
      <c r="M383" s="98"/>
      <c r="N383" s="98"/>
      <c r="O383" s="98"/>
      <c r="P383" s="98"/>
      <c r="Q383" s="98"/>
      <c r="R383" s="98"/>
      <c r="S383" s="98"/>
      <c r="T383" s="98"/>
      <c r="U383" s="98"/>
      <c r="V383" s="98"/>
      <c r="W383" s="98"/>
      <c r="X383" s="98"/>
      <c r="Y383" s="98"/>
      <c r="Z383" s="98"/>
    </row>
    <row r="384">
      <c r="A384" s="69">
        <v>17690.0</v>
      </c>
      <c r="B384" s="68" t="s">
        <v>177</v>
      </c>
      <c r="C384" s="69">
        <v>2022.0</v>
      </c>
      <c r="D384" s="68" t="s">
        <v>292</v>
      </c>
      <c r="E384" s="68" t="s">
        <v>1375</v>
      </c>
      <c r="F384" s="70" t="s">
        <v>178</v>
      </c>
      <c r="G384" s="71">
        <v>46101.0</v>
      </c>
      <c r="H384" s="72">
        <f t="shared" si="4"/>
        <v>0</v>
      </c>
      <c r="I384" s="73" t="s">
        <v>1376</v>
      </c>
      <c r="J384" s="74">
        <v>46101.0</v>
      </c>
      <c r="K384" s="73"/>
      <c r="L384" s="75"/>
      <c r="M384" s="103"/>
      <c r="N384" s="103"/>
      <c r="O384" s="103"/>
      <c r="P384" s="103"/>
      <c r="Q384" s="103"/>
      <c r="R384" s="103"/>
      <c r="S384" s="103"/>
      <c r="T384" s="103"/>
      <c r="U384" s="103"/>
      <c r="V384" s="103"/>
      <c r="W384" s="103"/>
      <c r="X384" s="103"/>
      <c r="Y384" s="103"/>
      <c r="Z384" s="103"/>
    </row>
    <row r="385">
      <c r="A385" s="91">
        <v>17692.0</v>
      </c>
      <c r="B385" s="90" t="s">
        <v>1377</v>
      </c>
      <c r="C385" s="91">
        <v>2021.0</v>
      </c>
      <c r="D385" s="90" t="s">
        <v>1270</v>
      </c>
      <c r="E385" s="90" t="s">
        <v>1148</v>
      </c>
      <c r="F385" s="101" t="s">
        <v>1378</v>
      </c>
      <c r="G385" s="93">
        <v>46101.0</v>
      </c>
      <c r="H385" s="94">
        <f t="shared" si="4"/>
        <v>5</v>
      </c>
      <c r="I385" s="95" t="s">
        <v>1379</v>
      </c>
      <c r="J385" s="96">
        <v>46106.0</v>
      </c>
      <c r="K385" s="95"/>
      <c r="L385" s="98"/>
      <c r="M385" s="98"/>
      <c r="N385" s="98"/>
      <c r="O385" s="98"/>
      <c r="P385" s="98"/>
      <c r="Q385" s="98"/>
      <c r="R385" s="98"/>
      <c r="S385" s="98"/>
      <c r="T385" s="98"/>
      <c r="U385" s="98"/>
      <c r="V385" s="98"/>
      <c r="W385" s="98"/>
      <c r="X385" s="98"/>
      <c r="Y385" s="98"/>
      <c r="Z385" s="98"/>
    </row>
    <row r="386">
      <c r="A386" s="69">
        <v>17693.0</v>
      </c>
      <c r="B386" s="68" t="s">
        <v>1380</v>
      </c>
      <c r="C386" s="69">
        <v>2022.0</v>
      </c>
      <c r="D386" s="68" t="s">
        <v>1270</v>
      </c>
      <c r="E386" s="68" t="s">
        <v>1148</v>
      </c>
      <c r="F386" s="70" t="s">
        <v>1381</v>
      </c>
      <c r="G386" s="71">
        <v>46101.0</v>
      </c>
      <c r="H386" s="72">
        <f t="shared" si="4"/>
        <v>0</v>
      </c>
      <c r="I386" s="73" t="s">
        <v>1382</v>
      </c>
      <c r="J386" s="74">
        <v>46101.0</v>
      </c>
      <c r="K386" s="73"/>
      <c r="L386" s="75"/>
      <c r="M386" s="75"/>
      <c r="N386" s="75"/>
      <c r="O386" s="75"/>
      <c r="P386" s="75"/>
      <c r="Q386" s="75"/>
      <c r="R386" s="75"/>
      <c r="S386" s="75"/>
      <c r="T386" s="75"/>
      <c r="U386" s="75"/>
      <c r="V386" s="75"/>
      <c r="W386" s="75"/>
      <c r="X386" s="75"/>
      <c r="Y386" s="75"/>
      <c r="Z386" s="75"/>
    </row>
    <row r="387">
      <c r="A387" s="91">
        <v>17696.0</v>
      </c>
      <c r="B387" s="90" t="s">
        <v>954</v>
      </c>
      <c r="C387" s="91">
        <v>2015.0</v>
      </c>
      <c r="D387" s="90" t="s">
        <v>1018</v>
      </c>
      <c r="E387" s="90" t="s">
        <v>368</v>
      </c>
      <c r="F387" s="101" t="s">
        <v>1383</v>
      </c>
      <c r="G387" s="93">
        <v>46101.0</v>
      </c>
      <c r="H387" s="94">
        <f t="shared" si="4"/>
        <v>28</v>
      </c>
      <c r="I387" s="95" t="s">
        <v>551</v>
      </c>
      <c r="J387" s="96">
        <v>46129.0</v>
      </c>
      <c r="K387" s="95" t="s">
        <v>31</v>
      </c>
      <c r="L387" s="97">
        <v>54994.0</v>
      </c>
      <c r="M387" s="98"/>
      <c r="N387" s="98"/>
      <c r="O387" s="98"/>
      <c r="P387" s="98"/>
      <c r="Q387" s="98"/>
      <c r="R387" s="98"/>
      <c r="S387" s="98"/>
      <c r="T387" s="98"/>
      <c r="U387" s="98"/>
      <c r="V387" s="98"/>
      <c r="W387" s="98"/>
      <c r="X387" s="98"/>
      <c r="Y387" s="98"/>
      <c r="Z387" s="98"/>
    </row>
    <row r="388">
      <c r="A388" s="69">
        <v>17700.0</v>
      </c>
      <c r="B388" s="68" t="s">
        <v>1384</v>
      </c>
      <c r="C388" s="69">
        <v>2021.0</v>
      </c>
      <c r="D388" s="68" t="s">
        <v>1147</v>
      </c>
      <c r="E388" s="68" t="s">
        <v>1385</v>
      </c>
      <c r="F388" s="70" t="s">
        <v>1386</v>
      </c>
      <c r="G388" s="71">
        <v>46101.0</v>
      </c>
      <c r="H388" s="72">
        <f t="shared" si="4"/>
        <v>0</v>
      </c>
      <c r="I388" s="73" t="s">
        <v>1387</v>
      </c>
      <c r="J388" s="74">
        <v>46101.0</v>
      </c>
      <c r="K388" s="73"/>
      <c r="L388" s="75"/>
      <c r="M388" s="75"/>
      <c r="N388" s="75"/>
      <c r="O388" s="75"/>
      <c r="P388" s="75"/>
      <c r="Q388" s="75"/>
      <c r="R388" s="75"/>
      <c r="S388" s="75"/>
      <c r="T388" s="75"/>
      <c r="U388" s="75"/>
      <c r="V388" s="75"/>
      <c r="W388" s="75"/>
      <c r="X388" s="75"/>
      <c r="Y388" s="75"/>
      <c r="Z388" s="75"/>
    </row>
    <row r="389">
      <c r="A389" s="91">
        <v>17704.0</v>
      </c>
      <c r="B389" s="90" t="s">
        <v>1388</v>
      </c>
      <c r="C389" s="91">
        <v>2018.0</v>
      </c>
      <c r="D389" s="90" t="s">
        <v>40</v>
      </c>
      <c r="E389" s="90" t="s">
        <v>53</v>
      </c>
      <c r="F389" s="101" t="s">
        <v>1389</v>
      </c>
      <c r="G389" s="93">
        <v>46104.0</v>
      </c>
      <c r="H389" s="94">
        <f t="shared" si="4"/>
        <v>1</v>
      </c>
      <c r="I389" s="95" t="s">
        <v>1390</v>
      </c>
      <c r="J389" s="96">
        <v>46105.0</v>
      </c>
      <c r="K389" s="95" t="s">
        <v>31</v>
      </c>
      <c r="L389" s="97">
        <v>36396.0</v>
      </c>
      <c r="M389" s="97"/>
      <c r="N389" s="97"/>
      <c r="O389" s="97"/>
      <c r="P389" s="97"/>
      <c r="Q389" s="97"/>
      <c r="R389" s="97"/>
      <c r="S389" s="97"/>
      <c r="T389" s="97"/>
      <c r="U389" s="97"/>
      <c r="V389" s="97"/>
      <c r="W389" s="97"/>
      <c r="X389" s="97"/>
      <c r="Y389" s="97"/>
      <c r="Z389" s="97"/>
    </row>
    <row r="390">
      <c r="A390" s="69">
        <v>17706.0</v>
      </c>
      <c r="B390" s="68" t="s">
        <v>1391</v>
      </c>
      <c r="C390" s="69">
        <v>2015.0</v>
      </c>
      <c r="D390" s="68" t="s">
        <v>629</v>
      </c>
      <c r="E390" s="68" t="s">
        <v>1392</v>
      </c>
      <c r="F390" s="70" t="s">
        <v>1393</v>
      </c>
      <c r="G390" s="71">
        <v>46104.0</v>
      </c>
      <c r="H390" s="72">
        <f t="shared" si="4"/>
        <v>0</v>
      </c>
      <c r="I390" s="73" t="s">
        <v>1394</v>
      </c>
      <c r="J390" s="74">
        <v>46104.0</v>
      </c>
      <c r="K390" s="73"/>
      <c r="L390" s="75"/>
      <c r="M390" s="75"/>
      <c r="N390" s="75"/>
      <c r="O390" s="75"/>
      <c r="P390" s="75"/>
      <c r="Q390" s="75"/>
      <c r="R390" s="75"/>
      <c r="S390" s="75"/>
      <c r="T390" s="75"/>
      <c r="U390" s="75"/>
      <c r="V390" s="75"/>
      <c r="W390" s="75"/>
      <c r="X390" s="75"/>
      <c r="Y390" s="75"/>
      <c r="Z390" s="75"/>
    </row>
    <row r="391">
      <c r="A391" s="91">
        <v>17707.0</v>
      </c>
      <c r="B391" s="90" t="s">
        <v>1395</v>
      </c>
      <c r="C391" s="91">
        <v>2019.0</v>
      </c>
      <c r="D391" s="90" t="s">
        <v>182</v>
      </c>
      <c r="E391" s="90" t="s">
        <v>70</v>
      </c>
      <c r="F391" s="101" t="s">
        <v>1396</v>
      </c>
      <c r="G391" s="93">
        <v>46104.0</v>
      </c>
      <c r="H391" s="94">
        <f t="shared" si="4"/>
        <v>2</v>
      </c>
      <c r="I391" s="95" t="s">
        <v>1397</v>
      </c>
      <c r="J391" s="96">
        <v>46106.0</v>
      </c>
      <c r="K391" s="95"/>
      <c r="L391" s="98"/>
      <c r="M391" s="98"/>
      <c r="N391" s="98"/>
      <c r="O391" s="98"/>
      <c r="P391" s="98"/>
      <c r="Q391" s="98"/>
      <c r="R391" s="98"/>
      <c r="S391" s="98"/>
      <c r="T391" s="98"/>
      <c r="U391" s="98"/>
      <c r="V391" s="98"/>
      <c r="W391" s="98"/>
      <c r="X391" s="98"/>
      <c r="Y391" s="98"/>
      <c r="Z391" s="98"/>
    </row>
    <row r="392">
      <c r="A392" s="69">
        <v>17708.0</v>
      </c>
      <c r="B392" s="68" t="s">
        <v>1398</v>
      </c>
      <c r="C392" s="69">
        <v>2015.0</v>
      </c>
      <c r="D392" s="68" t="s">
        <v>629</v>
      </c>
      <c r="E392" s="68" t="s">
        <v>1392</v>
      </c>
      <c r="F392" s="70" t="s">
        <v>1399</v>
      </c>
      <c r="G392" s="71">
        <v>46104.0</v>
      </c>
      <c r="H392" s="72">
        <f t="shared" si="4"/>
        <v>0</v>
      </c>
      <c r="I392" s="73" t="s">
        <v>1400</v>
      </c>
      <c r="J392" s="74">
        <v>46104.0</v>
      </c>
      <c r="K392" s="73"/>
      <c r="L392" s="75"/>
      <c r="M392" s="103"/>
      <c r="N392" s="103"/>
      <c r="O392" s="103"/>
      <c r="P392" s="103"/>
      <c r="Q392" s="103"/>
      <c r="R392" s="103"/>
      <c r="S392" s="103"/>
      <c r="T392" s="103"/>
      <c r="U392" s="103"/>
      <c r="V392" s="103"/>
      <c r="W392" s="103"/>
      <c r="X392" s="103"/>
      <c r="Y392" s="103"/>
      <c r="Z392" s="103"/>
    </row>
    <row r="393">
      <c r="A393" s="91">
        <v>17709.0</v>
      </c>
      <c r="B393" s="90" t="s">
        <v>1401</v>
      </c>
      <c r="C393" s="91">
        <v>2022.0</v>
      </c>
      <c r="D393" s="90" t="s">
        <v>239</v>
      </c>
      <c r="E393" s="90" t="s">
        <v>125</v>
      </c>
      <c r="F393" s="101" t="s">
        <v>1402</v>
      </c>
      <c r="G393" s="93">
        <v>46104.0</v>
      </c>
      <c r="H393" s="94">
        <f t="shared" si="4"/>
        <v>113</v>
      </c>
      <c r="I393" s="95" t="s">
        <v>1403</v>
      </c>
      <c r="J393" s="96">
        <v>46217.0</v>
      </c>
      <c r="K393" s="95" t="s">
        <v>31</v>
      </c>
      <c r="L393" s="97">
        <v>118999.0</v>
      </c>
      <c r="M393" s="98"/>
      <c r="N393" s="98"/>
      <c r="O393" s="98"/>
      <c r="P393" s="98"/>
      <c r="Q393" s="98"/>
      <c r="R393" s="98"/>
      <c r="S393" s="98"/>
      <c r="T393" s="98"/>
      <c r="U393" s="98"/>
      <c r="V393" s="98"/>
      <c r="W393" s="98"/>
      <c r="X393" s="98"/>
      <c r="Y393" s="98"/>
      <c r="Z393" s="98"/>
    </row>
    <row r="394">
      <c r="A394" s="69">
        <v>17710.0</v>
      </c>
      <c r="B394" s="68" t="s">
        <v>1404</v>
      </c>
      <c r="C394" s="69">
        <v>2022.0</v>
      </c>
      <c r="D394" s="68" t="s">
        <v>911</v>
      </c>
      <c r="E394" s="68" t="s">
        <v>1405</v>
      </c>
      <c r="F394" s="70" t="s">
        <v>1406</v>
      </c>
      <c r="G394" s="71">
        <v>46105.0</v>
      </c>
      <c r="H394" s="72">
        <f t="shared" si="4"/>
        <v>0</v>
      </c>
      <c r="I394" s="73" t="s">
        <v>1131</v>
      </c>
      <c r="J394" s="74">
        <v>46105.0</v>
      </c>
      <c r="K394" s="73"/>
      <c r="L394" s="75"/>
      <c r="M394" s="75"/>
      <c r="N394" s="75"/>
      <c r="O394" s="75"/>
      <c r="P394" s="75"/>
      <c r="Q394" s="75"/>
      <c r="R394" s="75"/>
      <c r="S394" s="75"/>
      <c r="T394" s="75"/>
      <c r="U394" s="75"/>
      <c r="V394" s="75"/>
      <c r="W394" s="75"/>
      <c r="X394" s="75"/>
      <c r="Y394" s="75"/>
      <c r="Z394" s="75"/>
    </row>
    <row r="395">
      <c r="A395" s="91">
        <v>17715.0</v>
      </c>
      <c r="B395" s="90" t="s">
        <v>1407</v>
      </c>
      <c r="C395" s="91">
        <v>2020.0</v>
      </c>
      <c r="D395" s="90" t="s">
        <v>1147</v>
      </c>
      <c r="E395" s="90" t="s">
        <v>1408</v>
      </c>
      <c r="F395" s="101" t="s">
        <v>1409</v>
      </c>
      <c r="G395" s="93">
        <v>46105.0</v>
      </c>
      <c r="H395" s="94">
        <f t="shared" si="4"/>
        <v>0</v>
      </c>
      <c r="I395" s="95" t="s">
        <v>1410</v>
      </c>
      <c r="J395" s="96">
        <v>46105.0</v>
      </c>
      <c r="K395" s="95"/>
      <c r="L395" s="98"/>
      <c r="M395" s="97"/>
      <c r="N395" s="97"/>
      <c r="O395" s="97"/>
      <c r="P395" s="97"/>
      <c r="Q395" s="97"/>
      <c r="R395" s="97"/>
      <c r="S395" s="97"/>
      <c r="T395" s="97"/>
      <c r="U395" s="97"/>
      <c r="V395" s="97"/>
      <c r="W395" s="97"/>
      <c r="X395" s="97"/>
      <c r="Y395" s="97"/>
      <c r="Z395" s="97"/>
    </row>
    <row r="396">
      <c r="A396" s="69">
        <v>17716.0</v>
      </c>
      <c r="B396" s="68" t="s">
        <v>543</v>
      </c>
      <c r="C396" s="69">
        <v>2014.0</v>
      </c>
      <c r="D396" s="68" t="s">
        <v>1411</v>
      </c>
      <c r="E396" s="68" t="s">
        <v>82</v>
      </c>
      <c r="F396" s="70" t="s">
        <v>1412</v>
      </c>
      <c r="G396" s="71">
        <v>46105.0</v>
      </c>
      <c r="H396" s="72">
        <f t="shared" si="4"/>
        <v>1</v>
      </c>
      <c r="I396" s="73" t="s">
        <v>1413</v>
      </c>
      <c r="J396" s="74">
        <v>46106.0</v>
      </c>
      <c r="K396" s="73" t="s">
        <v>31</v>
      </c>
      <c r="L396" s="103">
        <v>9115.0</v>
      </c>
      <c r="M396" s="75"/>
      <c r="N396" s="75"/>
      <c r="O396" s="75"/>
      <c r="P396" s="75"/>
      <c r="Q396" s="75"/>
      <c r="R396" s="75"/>
      <c r="S396" s="75"/>
      <c r="T396" s="75"/>
      <c r="U396" s="75"/>
      <c r="V396" s="75"/>
      <c r="W396" s="75"/>
      <c r="X396" s="75"/>
      <c r="Y396" s="75"/>
      <c r="Z396" s="75"/>
    </row>
    <row r="397">
      <c r="A397" s="91">
        <v>17717.0</v>
      </c>
      <c r="B397" s="90" t="s">
        <v>1414</v>
      </c>
      <c r="C397" s="91">
        <v>2022.0</v>
      </c>
      <c r="D397" s="90" t="s">
        <v>40</v>
      </c>
      <c r="E397" s="90" t="s">
        <v>99</v>
      </c>
      <c r="F397" s="101" t="s">
        <v>1415</v>
      </c>
      <c r="G397" s="93">
        <v>46105.0</v>
      </c>
      <c r="H397" s="94">
        <f t="shared" si="4"/>
        <v>7</v>
      </c>
      <c r="I397" s="95" t="s">
        <v>1131</v>
      </c>
      <c r="J397" s="96">
        <v>46112.0</v>
      </c>
      <c r="K397" s="95"/>
      <c r="L397" s="98"/>
      <c r="M397" s="98"/>
      <c r="N397" s="98"/>
      <c r="O397" s="98"/>
      <c r="P397" s="98"/>
      <c r="Q397" s="98"/>
      <c r="R397" s="98"/>
      <c r="S397" s="98"/>
      <c r="T397" s="98"/>
      <c r="U397" s="98"/>
      <c r="V397" s="98"/>
      <c r="W397" s="98"/>
      <c r="X397" s="98"/>
      <c r="Y397" s="98"/>
      <c r="Z397" s="98"/>
    </row>
    <row r="398">
      <c r="A398" s="69">
        <v>17718.0</v>
      </c>
      <c r="B398" s="68" t="s">
        <v>530</v>
      </c>
      <c r="C398" s="69">
        <v>2022.0</v>
      </c>
      <c r="D398" s="68" t="s">
        <v>40</v>
      </c>
      <c r="E398" s="68" t="s">
        <v>99</v>
      </c>
      <c r="F398" s="70" t="s">
        <v>1416</v>
      </c>
      <c r="G398" s="71">
        <v>46105.0</v>
      </c>
      <c r="H398" s="72">
        <f t="shared" si="4"/>
        <v>0</v>
      </c>
      <c r="I398" s="73" t="s">
        <v>1131</v>
      </c>
      <c r="J398" s="74">
        <v>46105.0</v>
      </c>
      <c r="K398" s="73"/>
      <c r="L398" s="75"/>
      <c r="M398" s="75"/>
      <c r="N398" s="75"/>
      <c r="O398" s="75"/>
      <c r="P398" s="75"/>
      <c r="Q398" s="75"/>
      <c r="R398" s="75"/>
      <c r="S398" s="75"/>
      <c r="T398" s="75"/>
      <c r="U398" s="75"/>
      <c r="V398" s="75"/>
      <c r="W398" s="75"/>
      <c r="X398" s="75"/>
      <c r="Y398" s="75"/>
      <c r="Z398" s="75"/>
    </row>
    <row r="399">
      <c r="A399" s="91">
        <v>17720.0</v>
      </c>
      <c r="B399" s="90" t="s">
        <v>1417</v>
      </c>
      <c r="C399" s="91">
        <v>2014.0</v>
      </c>
      <c r="D399" s="90" t="s">
        <v>251</v>
      </c>
      <c r="E399" s="90" t="s">
        <v>1418</v>
      </c>
      <c r="F399" s="101" t="s">
        <v>1419</v>
      </c>
      <c r="G399" s="93">
        <v>46105.0</v>
      </c>
      <c r="H399" s="94">
        <f t="shared" si="4"/>
        <v>0</v>
      </c>
      <c r="I399" s="95" t="s">
        <v>1420</v>
      </c>
      <c r="J399" s="96">
        <v>46105.0</v>
      </c>
      <c r="K399" s="95"/>
      <c r="L399" s="98"/>
      <c r="M399" s="97"/>
      <c r="N399" s="97"/>
      <c r="O399" s="97"/>
      <c r="P399" s="97"/>
      <c r="Q399" s="97"/>
      <c r="R399" s="97"/>
      <c r="S399" s="97"/>
      <c r="T399" s="97"/>
      <c r="U399" s="97"/>
      <c r="V399" s="97"/>
      <c r="W399" s="97"/>
      <c r="X399" s="97"/>
      <c r="Y399" s="97"/>
      <c r="Z399" s="97"/>
    </row>
    <row r="400">
      <c r="A400" s="69">
        <v>17721.0</v>
      </c>
      <c r="B400" s="68" t="s">
        <v>124</v>
      </c>
      <c r="C400" s="69">
        <v>2022.0</v>
      </c>
      <c r="D400" s="68" t="s">
        <v>40</v>
      </c>
      <c r="E400" s="68" t="s">
        <v>70</v>
      </c>
      <c r="F400" s="70" t="s">
        <v>126</v>
      </c>
      <c r="G400" s="71">
        <v>46105.0</v>
      </c>
      <c r="H400" s="72">
        <f t="shared" si="4"/>
        <v>0</v>
      </c>
      <c r="I400" s="73" t="s">
        <v>1421</v>
      </c>
      <c r="J400" s="74">
        <v>46105.0</v>
      </c>
      <c r="K400" s="73"/>
      <c r="L400" s="75"/>
      <c r="M400" s="75"/>
      <c r="N400" s="75"/>
      <c r="O400" s="75"/>
      <c r="P400" s="75"/>
      <c r="Q400" s="75"/>
      <c r="R400" s="75"/>
      <c r="S400" s="75"/>
      <c r="T400" s="75"/>
      <c r="U400" s="75"/>
      <c r="V400" s="75"/>
      <c r="W400" s="75"/>
      <c r="X400" s="75"/>
      <c r="Y400" s="75"/>
      <c r="Z400" s="75"/>
    </row>
    <row r="401">
      <c r="A401" s="91">
        <v>17722.0</v>
      </c>
      <c r="B401" s="90" t="s">
        <v>318</v>
      </c>
      <c r="C401" s="91">
        <v>2021.0</v>
      </c>
      <c r="D401" s="90" t="s">
        <v>40</v>
      </c>
      <c r="E401" s="90" t="s">
        <v>582</v>
      </c>
      <c r="F401" s="101" t="s">
        <v>320</v>
      </c>
      <c r="G401" s="93">
        <v>46105.0</v>
      </c>
      <c r="H401" s="94">
        <f t="shared" si="4"/>
        <v>16</v>
      </c>
      <c r="I401" s="95" t="s">
        <v>1422</v>
      </c>
      <c r="J401" s="96">
        <v>46121.0</v>
      </c>
      <c r="K401" s="95"/>
      <c r="L401" s="98"/>
      <c r="M401" s="98"/>
      <c r="N401" s="98"/>
      <c r="O401" s="98"/>
      <c r="P401" s="98"/>
      <c r="Q401" s="98"/>
      <c r="R401" s="98"/>
      <c r="S401" s="98"/>
      <c r="T401" s="98"/>
      <c r="U401" s="98"/>
      <c r="V401" s="98"/>
      <c r="W401" s="98"/>
      <c r="X401" s="98"/>
      <c r="Y401" s="98"/>
      <c r="Z401" s="98"/>
    </row>
    <row r="402">
      <c r="A402" s="69">
        <v>17723.0</v>
      </c>
      <c r="B402" s="68" t="s">
        <v>39</v>
      </c>
      <c r="C402" s="69">
        <v>2022.0</v>
      </c>
      <c r="D402" s="68" t="s">
        <v>40</v>
      </c>
      <c r="E402" s="68" t="s">
        <v>41</v>
      </c>
      <c r="F402" s="70" t="s">
        <v>42</v>
      </c>
      <c r="G402" s="71">
        <v>46106.0</v>
      </c>
      <c r="H402" s="72">
        <f t="shared" si="4"/>
        <v>5</v>
      </c>
      <c r="I402" s="73" t="s">
        <v>1423</v>
      </c>
      <c r="J402" s="74">
        <v>46111.0</v>
      </c>
      <c r="K402" s="73" t="s">
        <v>31</v>
      </c>
      <c r="L402" s="103">
        <v>211340.0</v>
      </c>
      <c r="M402" s="75"/>
      <c r="N402" s="75"/>
      <c r="O402" s="75"/>
      <c r="P402" s="75"/>
      <c r="Q402" s="75"/>
      <c r="R402" s="75"/>
      <c r="S402" s="75"/>
      <c r="T402" s="75"/>
      <c r="U402" s="75"/>
      <c r="V402" s="75"/>
      <c r="W402" s="75"/>
      <c r="X402" s="75"/>
      <c r="Y402" s="75"/>
      <c r="Z402" s="75"/>
    </row>
    <row r="403">
      <c r="A403" s="91">
        <v>17724.0</v>
      </c>
      <c r="B403" s="90" t="s">
        <v>1424</v>
      </c>
      <c r="C403" s="91">
        <v>2001.0</v>
      </c>
      <c r="D403" s="90" t="s">
        <v>1270</v>
      </c>
      <c r="E403" s="90" t="s">
        <v>1425</v>
      </c>
      <c r="F403" s="101" t="s">
        <v>1426</v>
      </c>
      <c r="G403" s="93">
        <v>46106.0</v>
      </c>
      <c r="H403" s="94">
        <f t="shared" si="4"/>
        <v>1</v>
      </c>
      <c r="I403" s="95" t="s">
        <v>1427</v>
      </c>
      <c r="J403" s="96">
        <v>46107.0</v>
      </c>
      <c r="K403" s="95"/>
      <c r="L403" s="98"/>
      <c r="M403" s="98"/>
      <c r="N403" s="98"/>
      <c r="O403" s="98"/>
      <c r="P403" s="98"/>
      <c r="Q403" s="98"/>
      <c r="R403" s="98"/>
      <c r="S403" s="98"/>
      <c r="T403" s="98"/>
      <c r="U403" s="98"/>
      <c r="V403" s="98"/>
      <c r="W403" s="98"/>
      <c r="X403" s="98"/>
      <c r="Y403" s="98"/>
      <c r="Z403" s="98"/>
    </row>
    <row r="404">
      <c r="A404" s="69">
        <v>17726.0</v>
      </c>
      <c r="B404" s="68" t="s">
        <v>1428</v>
      </c>
      <c r="C404" s="69">
        <v>2022.0</v>
      </c>
      <c r="D404" s="68" t="s">
        <v>1213</v>
      </c>
      <c r="E404" s="68" t="s">
        <v>70</v>
      </c>
      <c r="F404" s="113">
        <v>46241.0</v>
      </c>
      <c r="G404" s="71">
        <v>46106.0</v>
      </c>
      <c r="H404" s="72">
        <f t="shared" si="4"/>
        <v>0</v>
      </c>
      <c r="I404" s="73" t="s">
        <v>1429</v>
      </c>
      <c r="J404" s="74">
        <v>46106.0</v>
      </c>
      <c r="K404" s="73"/>
      <c r="L404" s="75"/>
      <c r="M404" s="75"/>
      <c r="N404" s="75"/>
      <c r="O404" s="75"/>
      <c r="P404" s="75"/>
      <c r="Q404" s="75"/>
      <c r="R404" s="75"/>
      <c r="S404" s="75"/>
      <c r="T404" s="75"/>
      <c r="U404" s="75"/>
      <c r="V404" s="75"/>
      <c r="W404" s="75"/>
      <c r="X404" s="75"/>
      <c r="Y404" s="75"/>
      <c r="Z404" s="75"/>
    </row>
    <row r="405">
      <c r="A405" s="91">
        <v>17728.0</v>
      </c>
      <c r="B405" s="90" t="s">
        <v>786</v>
      </c>
      <c r="C405" s="91">
        <v>2019.0</v>
      </c>
      <c r="D405" s="90" t="s">
        <v>1430</v>
      </c>
      <c r="E405" s="90" t="s">
        <v>183</v>
      </c>
      <c r="F405" s="101" t="s">
        <v>787</v>
      </c>
      <c r="G405" s="93">
        <v>46106.0</v>
      </c>
      <c r="H405" s="94">
        <f t="shared" si="4"/>
        <v>0</v>
      </c>
      <c r="I405" s="95" t="s">
        <v>1431</v>
      </c>
      <c r="J405" s="96">
        <v>46106.0</v>
      </c>
      <c r="K405" s="95"/>
      <c r="L405" s="98"/>
      <c r="M405" s="97"/>
      <c r="N405" s="97"/>
      <c r="O405" s="97"/>
      <c r="P405" s="97"/>
      <c r="Q405" s="97"/>
      <c r="R405" s="97"/>
      <c r="S405" s="97"/>
      <c r="T405" s="97"/>
      <c r="U405" s="97"/>
      <c r="V405" s="97"/>
      <c r="W405" s="97"/>
      <c r="X405" s="97"/>
      <c r="Y405" s="97"/>
      <c r="Z405" s="97"/>
    </row>
    <row r="406">
      <c r="A406" s="69">
        <v>17729.0</v>
      </c>
      <c r="B406" s="68" t="s">
        <v>1432</v>
      </c>
      <c r="C406" s="69">
        <v>2022.0</v>
      </c>
      <c r="D406" s="68" t="s">
        <v>724</v>
      </c>
      <c r="E406" s="68" t="s">
        <v>35</v>
      </c>
      <c r="F406" s="70" t="s">
        <v>1433</v>
      </c>
      <c r="G406" s="71">
        <v>46106.0</v>
      </c>
      <c r="H406" s="72">
        <f t="shared" si="4"/>
        <v>0</v>
      </c>
      <c r="I406" s="73" t="s">
        <v>1434</v>
      </c>
      <c r="J406" s="74">
        <v>46106.0</v>
      </c>
      <c r="K406" s="73"/>
      <c r="L406" s="75"/>
      <c r="M406" s="75"/>
      <c r="N406" s="75"/>
      <c r="O406" s="75"/>
      <c r="P406" s="75"/>
      <c r="Q406" s="75"/>
      <c r="R406" s="75"/>
      <c r="S406" s="75"/>
      <c r="T406" s="75"/>
      <c r="U406" s="75"/>
      <c r="V406" s="75"/>
      <c r="W406" s="75"/>
      <c r="X406" s="75"/>
      <c r="Y406" s="75"/>
      <c r="Z406" s="75"/>
    </row>
    <row r="407">
      <c r="A407" s="91">
        <v>17732.0</v>
      </c>
      <c r="B407" s="90" t="s">
        <v>1435</v>
      </c>
      <c r="C407" s="91">
        <v>2015.0</v>
      </c>
      <c r="D407" s="90" t="s">
        <v>1018</v>
      </c>
      <c r="E407" s="90" t="s">
        <v>173</v>
      </c>
      <c r="F407" s="101" t="s">
        <v>1436</v>
      </c>
      <c r="G407" s="93">
        <v>46106.0</v>
      </c>
      <c r="H407" s="94">
        <f t="shared" si="4"/>
        <v>0</v>
      </c>
      <c r="I407" s="95" t="s">
        <v>496</v>
      </c>
      <c r="J407" s="96">
        <v>46106.0</v>
      </c>
      <c r="K407" s="95"/>
      <c r="L407" s="98"/>
      <c r="M407" s="98"/>
      <c r="N407" s="98"/>
      <c r="O407" s="98"/>
      <c r="P407" s="98"/>
      <c r="Q407" s="98"/>
      <c r="R407" s="98"/>
      <c r="S407" s="98"/>
      <c r="T407" s="98"/>
      <c r="U407" s="98"/>
      <c r="V407" s="98"/>
      <c r="W407" s="98"/>
      <c r="X407" s="98"/>
      <c r="Y407" s="98"/>
      <c r="Z407" s="98"/>
    </row>
    <row r="408">
      <c r="A408" s="69">
        <v>17736.0</v>
      </c>
      <c r="B408" s="68" t="s">
        <v>1437</v>
      </c>
      <c r="C408" s="69">
        <v>2021.0</v>
      </c>
      <c r="D408" s="68" t="s">
        <v>40</v>
      </c>
      <c r="E408" s="68" t="s">
        <v>53</v>
      </c>
      <c r="F408" s="113">
        <v>46039.0</v>
      </c>
      <c r="G408" s="71">
        <v>46106.0</v>
      </c>
      <c r="H408" s="72">
        <f t="shared" si="4"/>
        <v>2</v>
      </c>
      <c r="I408" s="73" t="s">
        <v>496</v>
      </c>
      <c r="J408" s="74">
        <v>46108.0</v>
      </c>
      <c r="K408" s="73"/>
      <c r="L408" s="75"/>
      <c r="M408" s="75"/>
      <c r="N408" s="75"/>
      <c r="O408" s="75"/>
      <c r="P408" s="75"/>
      <c r="Q408" s="75"/>
      <c r="R408" s="75"/>
      <c r="S408" s="75"/>
      <c r="T408" s="75"/>
      <c r="U408" s="75"/>
      <c r="V408" s="75"/>
      <c r="W408" s="75"/>
      <c r="X408" s="75"/>
      <c r="Y408" s="75"/>
      <c r="Z408" s="75"/>
    </row>
    <row r="409">
      <c r="A409" s="91">
        <v>17738.0</v>
      </c>
      <c r="B409" s="90" t="s">
        <v>229</v>
      </c>
      <c r="C409" s="91">
        <v>2015.0</v>
      </c>
      <c r="D409" s="90" t="s">
        <v>182</v>
      </c>
      <c r="E409" s="90" t="s">
        <v>277</v>
      </c>
      <c r="F409" s="101" t="s">
        <v>230</v>
      </c>
      <c r="G409" s="93">
        <v>46106.0</v>
      </c>
      <c r="H409" s="94">
        <f t="shared" si="4"/>
        <v>5</v>
      </c>
      <c r="I409" s="95" t="s">
        <v>1438</v>
      </c>
      <c r="J409" s="96">
        <v>46111.0</v>
      </c>
      <c r="K409" s="95"/>
      <c r="L409" s="98"/>
      <c r="M409" s="98"/>
      <c r="N409" s="98"/>
      <c r="O409" s="98"/>
      <c r="P409" s="98"/>
      <c r="Q409" s="98"/>
      <c r="R409" s="98"/>
      <c r="S409" s="98"/>
      <c r="T409" s="98"/>
      <c r="U409" s="98"/>
      <c r="V409" s="98"/>
      <c r="W409" s="98"/>
      <c r="X409" s="98"/>
      <c r="Y409" s="98"/>
      <c r="Z409" s="98"/>
    </row>
    <row r="410">
      <c r="A410" s="69">
        <v>17739.0</v>
      </c>
      <c r="B410" s="68" t="s">
        <v>1439</v>
      </c>
      <c r="C410" s="69">
        <v>2022.0</v>
      </c>
      <c r="D410" s="68" t="s">
        <v>1361</v>
      </c>
      <c r="E410" s="68" t="s">
        <v>1440</v>
      </c>
      <c r="F410" s="70" t="s">
        <v>1441</v>
      </c>
      <c r="G410" s="71">
        <v>46107.0</v>
      </c>
      <c r="H410" s="72">
        <f t="shared" si="4"/>
        <v>0</v>
      </c>
      <c r="I410" s="73" t="s">
        <v>1442</v>
      </c>
      <c r="J410" s="74">
        <v>46107.0</v>
      </c>
      <c r="K410" s="73"/>
      <c r="L410" s="75"/>
      <c r="M410" s="75"/>
      <c r="N410" s="75"/>
      <c r="O410" s="75"/>
      <c r="P410" s="75"/>
      <c r="Q410" s="75"/>
      <c r="R410" s="75"/>
      <c r="S410" s="75"/>
      <c r="T410" s="75"/>
      <c r="U410" s="75"/>
      <c r="V410" s="75"/>
      <c r="W410" s="75"/>
      <c r="X410" s="75"/>
      <c r="Y410" s="75"/>
      <c r="Z410" s="75"/>
    </row>
    <row r="411">
      <c r="A411" s="91">
        <v>17740.0</v>
      </c>
      <c r="B411" s="90" t="s">
        <v>1443</v>
      </c>
      <c r="C411" s="91">
        <v>2022.0</v>
      </c>
      <c r="D411" s="90" t="s">
        <v>1270</v>
      </c>
      <c r="E411" s="90" t="s">
        <v>1440</v>
      </c>
      <c r="F411" s="101" t="s">
        <v>1444</v>
      </c>
      <c r="G411" s="93">
        <v>46107.0</v>
      </c>
      <c r="H411" s="94">
        <f t="shared" si="4"/>
        <v>0</v>
      </c>
      <c r="I411" s="95" t="s">
        <v>1434</v>
      </c>
      <c r="J411" s="96">
        <v>46107.0</v>
      </c>
      <c r="K411" s="95"/>
      <c r="L411" s="98"/>
      <c r="M411" s="98"/>
      <c r="N411" s="98"/>
      <c r="O411" s="98"/>
      <c r="P411" s="98"/>
      <c r="Q411" s="98"/>
      <c r="R411" s="98"/>
      <c r="S411" s="98"/>
      <c r="T411" s="98"/>
      <c r="U411" s="98"/>
      <c r="V411" s="98"/>
      <c r="W411" s="98"/>
      <c r="X411" s="98"/>
      <c r="Y411" s="98"/>
      <c r="Z411" s="98"/>
    </row>
    <row r="412">
      <c r="A412" s="69">
        <v>17743.0</v>
      </c>
      <c r="B412" s="68" t="s">
        <v>1445</v>
      </c>
      <c r="C412" s="69">
        <v>2011.0</v>
      </c>
      <c r="D412" s="68" t="s">
        <v>1446</v>
      </c>
      <c r="E412" s="68" t="s">
        <v>1447</v>
      </c>
      <c r="F412" s="70" t="s">
        <v>1448</v>
      </c>
      <c r="G412" s="71">
        <v>46107.0</v>
      </c>
      <c r="H412" s="72">
        <f t="shared" si="4"/>
        <v>57</v>
      </c>
      <c r="I412" s="73" t="s">
        <v>1449</v>
      </c>
      <c r="J412" s="74">
        <v>46164.0</v>
      </c>
      <c r="K412" s="73" t="s">
        <v>31</v>
      </c>
      <c r="L412" s="103">
        <v>81320.0</v>
      </c>
      <c r="M412" s="103"/>
      <c r="N412" s="103"/>
      <c r="O412" s="103"/>
      <c r="P412" s="103"/>
      <c r="Q412" s="103"/>
      <c r="R412" s="103"/>
      <c r="S412" s="103"/>
      <c r="T412" s="103"/>
      <c r="U412" s="103"/>
      <c r="V412" s="103"/>
      <c r="W412" s="103"/>
      <c r="X412" s="103"/>
      <c r="Y412" s="103"/>
      <c r="Z412" s="103"/>
    </row>
    <row r="413">
      <c r="A413" s="91">
        <v>17744.0</v>
      </c>
      <c r="B413" s="90" t="s">
        <v>490</v>
      </c>
      <c r="C413" s="91">
        <v>2022.0</v>
      </c>
      <c r="D413" s="90" t="s">
        <v>40</v>
      </c>
      <c r="E413" s="90" t="s">
        <v>183</v>
      </c>
      <c r="F413" s="101" t="s">
        <v>491</v>
      </c>
      <c r="G413" s="93">
        <v>46107.0</v>
      </c>
      <c r="H413" s="94">
        <f t="shared" si="4"/>
        <v>118</v>
      </c>
      <c r="I413" s="95" t="s">
        <v>1450</v>
      </c>
      <c r="J413" s="96"/>
      <c r="K413" s="95"/>
      <c r="L413" s="98"/>
      <c r="M413" s="98"/>
      <c r="N413" s="98"/>
      <c r="O413" s="98"/>
      <c r="P413" s="98"/>
      <c r="Q413" s="98"/>
      <c r="R413" s="98"/>
      <c r="S413" s="98"/>
      <c r="T413" s="98"/>
      <c r="U413" s="98"/>
      <c r="V413" s="98"/>
      <c r="W413" s="98"/>
      <c r="X413" s="98"/>
      <c r="Y413" s="98"/>
      <c r="Z413" s="98"/>
    </row>
    <row r="414">
      <c r="A414" s="69">
        <v>17745.0</v>
      </c>
      <c r="B414" s="68" t="s">
        <v>1451</v>
      </c>
      <c r="C414" s="69">
        <v>2021.0</v>
      </c>
      <c r="D414" s="68" t="s">
        <v>292</v>
      </c>
      <c r="E414" s="68" t="s">
        <v>912</v>
      </c>
      <c r="F414" s="70" t="s">
        <v>1050</v>
      </c>
      <c r="G414" s="71">
        <v>46107.0</v>
      </c>
      <c r="H414" s="72">
        <f t="shared" si="4"/>
        <v>12</v>
      </c>
      <c r="I414" s="73" t="s">
        <v>1452</v>
      </c>
      <c r="J414" s="74">
        <v>46119.0</v>
      </c>
      <c r="K414" s="73" t="s">
        <v>31</v>
      </c>
      <c r="L414" s="103">
        <v>71261.0</v>
      </c>
      <c r="M414" s="103"/>
      <c r="N414" s="103"/>
      <c r="O414" s="103"/>
      <c r="P414" s="103"/>
      <c r="Q414" s="103"/>
      <c r="R414" s="103"/>
      <c r="S414" s="103"/>
      <c r="T414" s="103"/>
      <c r="U414" s="103"/>
      <c r="V414" s="103"/>
      <c r="W414" s="103"/>
      <c r="X414" s="103"/>
      <c r="Y414" s="103"/>
      <c r="Z414" s="103"/>
    </row>
    <row r="415">
      <c r="A415" s="91">
        <v>17748.0</v>
      </c>
      <c r="B415" s="90" t="s">
        <v>1049</v>
      </c>
      <c r="C415" s="91">
        <v>2021.0</v>
      </c>
      <c r="D415" s="90" t="s">
        <v>239</v>
      </c>
      <c r="E415" s="90" t="s">
        <v>912</v>
      </c>
      <c r="F415" s="101" t="s">
        <v>1050</v>
      </c>
      <c r="G415" s="93">
        <v>46107.0</v>
      </c>
      <c r="H415" s="94">
        <f t="shared" si="4"/>
        <v>12</v>
      </c>
      <c r="I415" s="95" t="s">
        <v>1453</v>
      </c>
      <c r="J415" s="96">
        <v>46119.0</v>
      </c>
      <c r="K415" s="95" t="s">
        <v>24</v>
      </c>
      <c r="L415" s="95">
        <v>71261.0</v>
      </c>
      <c r="M415" s="98"/>
      <c r="N415" s="98"/>
      <c r="O415" s="98"/>
      <c r="P415" s="98"/>
      <c r="Q415" s="98"/>
      <c r="R415" s="98"/>
      <c r="S415" s="98"/>
      <c r="T415" s="98"/>
      <c r="U415" s="98"/>
      <c r="V415" s="98"/>
      <c r="W415" s="98"/>
      <c r="X415" s="98"/>
      <c r="Y415" s="98"/>
      <c r="Z415" s="98"/>
    </row>
    <row r="416">
      <c r="A416" s="69">
        <v>17749.0</v>
      </c>
      <c r="B416" s="68" t="s">
        <v>1454</v>
      </c>
      <c r="C416" s="69">
        <v>2022.0</v>
      </c>
      <c r="D416" s="68" t="s">
        <v>292</v>
      </c>
      <c r="E416" s="68" t="s">
        <v>70</v>
      </c>
      <c r="F416" s="70" t="s">
        <v>1455</v>
      </c>
      <c r="G416" s="71">
        <v>46107.0</v>
      </c>
      <c r="H416" s="72">
        <f t="shared" si="4"/>
        <v>1</v>
      </c>
      <c r="I416" s="73" t="s">
        <v>1456</v>
      </c>
      <c r="J416" s="74">
        <v>46108.0</v>
      </c>
      <c r="K416" s="73"/>
      <c r="L416" s="75"/>
      <c r="M416" s="75"/>
      <c r="N416" s="75"/>
      <c r="O416" s="75"/>
      <c r="P416" s="75"/>
      <c r="Q416" s="75"/>
      <c r="R416" s="75"/>
      <c r="S416" s="75"/>
      <c r="T416" s="75"/>
      <c r="U416" s="75"/>
      <c r="V416" s="75"/>
      <c r="W416" s="75"/>
      <c r="X416" s="75"/>
      <c r="Y416" s="75"/>
      <c r="Z416" s="75"/>
    </row>
    <row r="417">
      <c r="A417" s="91" t="s">
        <v>1457</v>
      </c>
      <c r="B417" s="90" t="s">
        <v>1458</v>
      </c>
      <c r="C417" s="91">
        <v>2023.0</v>
      </c>
      <c r="D417" s="90" t="s">
        <v>1459</v>
      </c>
      <c r="E417" s="90" t="s">
        <v>70</v>
      </c>
      <c r="F417" s="101" t="s">
        <v>1460</v>
      </c>
      <c r="G417" s="93">
        <v>46107.0</v>
      </c>
      <c r="H417" s="94">
        <f t="shared" si="4"/>
        <v>57</v>
      </c>
      <c r="I417" s="95" t="s">
        <v>1461</v>
      </c>
      <c r="J417" s="96">
        <v>46164.0</v>
      </c>
      <c r="K417" s="95" t="s">
        <v>31</v>
      </c>
      <c r="L417" s="97">
        <v>34408.0</v>
      </c>
      <c r="M417" s="97"/>
      <c r="N417" s="97"/>
      <c r="O417" s="97"/>
      <c r="P417" s="97"/>
      <c r="Q417" s="97"/>
      <c r="R417" s="97"/>
      <c r="S417" s="97"/>
      <c r="T417" s="97"/>
      <c r="U417" s="97"/>
      <c r="V417" s="97"/>
      <c r="W417" s="97"/>
      <c r="X417" s="97"/>
      <c r="Y417" s="97"/>
      <c r="Z417" s="97"/>
    </row>
    <row r="418">
      <c r="A418" s="69">
        <v>18116.0</v>
      </c>
      <c r="B418" s="68" t="s">
        <v>1462</v>
      </c>
      <c r="C418" s="69">
        <v>2014.0</v>
      </c>
      <c r="D418" s="68" t="s">
        <v>182</v>
      </c>
      <c r="E418" s="68" t="s">
        <v>582</v>
      </c>
      <c r="F418" s="113">
        <v>46127.0</v>
      </c>
      <c r="G418" s="71">
        <v>46168.0</v>
      </c>
      <c r="H418" s="72">
        <f t="shared" si="4"/>
        <v>49</v>
      </c>
      <c r="I418" s="73" t="s">
        <v>1463</v>
      </c>
      <c r="J418" s="74">
        <v>46217.0</v>
      </c>
      <c r="K418" s="73" t="s">
        <v>37</v>
      </c>
      <c r="L418" s="103">
        <v>97838.0</v>
      </c>
      <c r="M418" s="75"/>
      <c r="N418" s="75"/>
      <c r="O418" s="75"/>
      <c r="P418" s="75"/>
      <c r="Q418" s="75"/>
      <c r="R418" s="75"/>
      <c r="S418" s="75"/>
      <c r="T418" s="75"/>
      <c r="U418" s="75"/>
      <c r="V418" s="75"/>
      <c r="W418" s="75"/>
      <c r="X418" s="75"/>
      <c r="Y418" s="75"/>
      <c r="Z418" s="75"/>
    </row>
    <row r="419">
      <c r="A419" s="91">
        <v>17751.0</v>
      </c>
      <c r="B419" s="90" t="s">
        <v>494</v>
      </c>
      <c r="C419" s="91">
        <v>2022.0</v>
      </c>
      <c r="D419" s="90" t="s">
        <v>292</v>
      </c>
      <c r="E419" s="90" t="s">
        <v>160</v>
      </c>
      <c r="F419" s="92">
        <v>46296.0</v>
      </c>
      <c r="G419" s="93">
        <v>46108.0</v>
      </c>
      <c r="H419" s="94">
        <f t="shared" si="4"/>
        <v>12</v>
      </c>
      <c r="I419" s="95" t="s">
        <v>1464</v>
      </c>
      <c r="J419" s="96">
        <v>46120.0</v>
      </c>
      <c r="K419" s="95" t="s">
        <v>31</v>
      </c>
      <c r="L419" s="97">
        <v>56914.0</v>
      </c>
      <c r="M419" s="98"/>
      <c r="N419" s="98"/>
      <c r="O419" s="98"/>
      <c r="P419" s="98"/>
      <c r="Q419" s="98"/>
      <c r="R419" s="98"/>
      <c r="S419" s="98"/>
      <c r="T419" s="98"/>
      <c r="U419" s="98"/>
      <c r="V419" s="98"/>
      <c r="W419" s="98"/>
      <c r="X419" s="98"/>
      <c r="Y419" s="98"/>
      <c r="Z419" s="98"/>
    </row>
    <row r="420">
      <c r="A420" s="69">
        <v>17755.0</v>
      </c>
      <c r="B420" s="68" t="s">
        <v>1465</v>
      </c>
      <c r="C420" s="69">
        <v>2021.0</v>
      </c>
      <c r="D420" s="68" t="s">
        <v>40</v>
      </c>
      <c r="E420" s="68" t="s">
        <v>53</v>
      </c>
      <c r="F420" s="113">
        <v>46070.0</v>
      </c>
      <c r="G420" s="71">
        <v>46108.0</v>
      </c>
      <c r="H420" s="72">
        <f t="shared" si="4"/>
        <v>0</v>
      </c>
      <c r="I420" s="73" t="s">
        <v>1466</v>
      </c>
      <c r="J420" s="74">
        <v>46108.0</v>
      </c>
      <c r="K420" s="73"/>
      <c r="L420" s="75"/>
      <c r="M420" s="75"/>
      <c r="N420" s="75"/>
      <c r="O420" s="75"/>
      <c r="P420" s="75"/>
      <c r="Q420" s="75"/>
      <c r="R420" s="75"/>
      <c r="S420" s="75"/>
      <c r="T420" s="75"/>
      <c r="U420" s="75"/>
      <c r="V420" s="75"/>
      <c r="W420" s="75"/>
      <c r="X420" s="75"/>
      <c r="Y420" s="75"/>
      <c r="Z420" s="75"/>
    </row>
    <row r="421">
      <c r="A421" s="91">
        <v>18180.0</v>
      </c>
      <c r="B421" s="90" t="s">
        <v>1467</v>
      </c>
      <c r="C421" s="91">
        <v>2019.0</v>
      </c>
      <c r="D421" s="90" t="s">
        <v>182</v>
      </c>
      <c r="E421" s="90" t="s">
        <v>235</v>
      </c>
      <c r="F421" s="101" t="s">
        <v>1468</v>
      </c>
      <c r="G421" s="93">
        <v>46175.0</v>
      </c>
      <c r="H421" s="94">
        <f t="shared" si="4"/>
        <v>42</v>
      </c>
      <c r="I421" s="95" t="s">
        <v>1469</v>
      </c>
      <c r="J421" s="96">
        <v>46217.0</v>
      </c>
      <c r="K421" s="95"/>
      <c r="L421" s="98"/>
      <c r="M421" s="98"/>
      <c r="N421" s="98"/>
      <c r="O421" s="98"/>
      <c r="P421" s="98"/>
      <c r="Q421" s="98"/>
      <c r="R421" s="98"/>
      <c r="S421" s="98"/>
      <c r="T421" s="98"/>
      <c r="U421" s="98"/>
      <c r="V421" s="98"/>
      <c r="W421" s="98"/>
      <c r="X421" s="98"/>
      <c r="Y421" s="98"/>
      <c r="Z421" s="98"/>
    </row>
    <row r="422">
      <c r="A422" s="69">
        <v>17737.0</v>
      </c>
      <c r="B422" s="68" t="s">
        <v>1470</v>
      </c>
      <c r="C422" s="69">
        <v>1998.0</v>
      </c>
      <c r="D422" s="68" t="s">
        <v>1471</v>
      </c>
      <c r="E422" s="68" t="s">
        <v>70</v>
      </c>
      <c r="F422" s="70" t="s">
        <v>1472</v>
      </c>
      <c r="G422" s="71">
        <v>46111.0</v>
      </c>
      <c r="H422" s="72">
        <f t="shared" si="4"/>
        <v>114</v>
      </c>
      <c r="I422" s="73" t="s">
        <v>1473</v>
      </c>
      <c r="J422" s="75"/>
      <c r="K422" s="73"/>
      <c r="L422" s="75"/>
      <c r="M422" s="75"/>
      <c r="N422" s="75"/>
      <c r="O422" s="75"/>
      <c r="P422" s="75"/>
      <c r="Q422" s="75"/>
      <c r="R422" s="75"/>
      <c r="S422" s="75"/>
      <c r="T422" s="75"/>
      <c r="U422" s="75"/>
      <c r="V422" s="75"/>
      <c r="W422" s="75"/>
      <c r="X422" s="75"/>
      <c r="Y422" s="75"/>
      <c r="Z422" s="75"/>
    </row>
    <row r="423">
      <c r="A423" s="91">
        <v>17759.0</v>
      </c>
      <c r="B423" s="90" t="s">
        <v>1474</v>
      </c>
      <c r="C423" s="91">
        <v>2019.0</v>
      </c>
      <c r="D423" s="90" t="s">
        <v>1170</v>
      </c>
      <c r="E423" s="90" t="s">
        <v>1271</v>
      </c>
      <c r="F423" s="101" t="s">
        <v>1475</v>
      </c>
      <c r="G423" s="93">
        <v>46111.0</v>
      </c>
      <c r="H423" s="94">
        <f t="shared" si="4"/>
        <v>0</v>
      </c>
      <c r="I423" s="95" t="s">
        <v>1476</v>
      </c>
      <c r="J423" s="96">
        <v>46111.0</v>
      </c>
      <c r="K423" s="95"/>
      <c r="L423" s="98"/>
      <c r="M423" s="98"/>
      <c r="N423" s="98"/>
      <c r="O423" s="98"/>
      <c r="P423" s="98"/>
      <c r="Q423" s="98"/>
      <c r="R423" s="98"/>
      <c r="S423" s="98"/>
      <c r="T423" s="98"/>
      <c r="U423" s="98"/>
      <c r="V423" s="98"/>
      <c r="W423" s="98"/>
      <c r="X423" s="98"/>
      <c r="Y423" s="98"/>
      <c r="Z423" s="98"/>
    </row>
    <row r="424">
      <c r="A424" s="69">
        <v>1.0</v>
      </c>
      <c r="B424" s="68" t="s">
        <v>1477</v>
      </c>
      <c r="C424" s="69">
        <v>2012.0</v>
      </c>
      <c r="D424" s="68" t="s">
        <v>1478</v>
      </c>
      <c r="E424" s="68" t="s">
        <v>70</v>
      </c>
      <c r="F424" s="70" t="s">
        <v>334</v>
      </c>
      <c r="G424" s="71">
        <v>46112.0</v>
      </c>
      <c r="H424" s="72">
        <f t="shared" si="4"/>
        <v>0</v>
      </c>
      <c r="I424" s="73" t="s">
        <v>1479</v>
      </c>
      <c r="J424" s="74">
        <v>46112.0</v>
      </c>
      <c r="K424" s="73" t="s">
        <v>31</v>
      </c>
      <c r="L424" s="103">
        <v>17226.0</v>
      </c>
      <c r="M424" s="103"/>
      <c r="N424" s="103"/>
      <c r="O424" s="103"/>
      <c r="P424" s="103"/>
      <c r="Q424" s="103"/>
      <c r="R424" s="103"/>
      <c r="S424" s="103"/>
      <c r="T424" s="103"/>
      <c r="U424" s="103"/>
      <c r="V424" s="103"/>
      <c r="W424" s="103"/>
      <c r="X424" s="103"/>
      <c r="Y424" s="103"/>
      <c r="Z424" s="103"/>
    </row>
    <row r="425">
      <c r="A425" s="91">
        <v>17771.0</v>
      </c>
      <c r="B425" s="90" t="s">
        <v>462</v>
      </c>
      <c r="C425" s="91">
        <v>2022.0</v>
      </c>
      <c r="D425" s="90" t="s">
        <v>718</v>
      </c>
      <c r="E425" s="90" t="s">
        <v>82</v>
      </c>
      <c r="F425" s="101" t="s">
        <v>463</v>
      </c>
      <c r="G425" s="93">
        <v>46112.0</v>
      </c>
      <c r="H425" s="94">
        <f t="shared" si="4"/>
        <v>0</v>
      </c>
      <c r="I425" s="95" t="s">
        <v>1480</v>
      </c>
      <c r="J425" s="96">
        <v>46112.0</v>
      </c>
      <c r="K425" s="95"/>
      <c r="L425" s="98"/>
      <c r="M425" s="98"/>
      <c r="N425" s="98"/>
      <c r="O425" s="98"/>
      <c r="P425" s="98"/>
      <c r="Q425" s="98"/>
      <c r="R425" s="98"/>
      <c r="S425" s="98"/>
      <c r="T425" s="98"/>
      <c r="U425" s="98"/>
      <c r="V425" s="98"/>
      <c r="W425" s="98"/>
      <c r="X425" s="98"/>
      <c r="Y425" s="98"/>
      <c r="Z425" s="98"/>
    </row>
    <row r="426">
      <c r="A426" s="69">
        <v>17773.0</v>
      </c>
      <c r="B426" s="68" t="s">
        <v>129</v>
      </c>
      <c r="C426" s="69">
        <v>2014.0</v>
      </c>
      <c r="D426" s="68" t="s">
        <v>251</v>
      </c>
      <c r="E426" s="68" t="s">
        <v>70</v>
      </c>
      <c r="F426" s="70" t="s">
        <v>1481</v>
      </c>
      <c r="G426" s="71">
        <v>46112.0</v>
      </c>
      <c r="H426" s="72">
        <f t="shared" si="4"/>
        <v>1</v>
      </c>
      <c r="I426" s="73" t="s">
        <v>1482</v>
      </c>
      <c r="J426" s="74">
        <v>46113.0</v>
      </c>
      <c r="K426" s="73" t="s">
        <v>31</v>
      </c>
      <c r="L426" s="103">
        <v>187578.0</v>
      </c>
      <c r="M426" s="103"/>
      <c r="N426" s="103"/>
      <c r="O426" s="103"/>
      <c r="P426" s="103"/>
      <c r="Q426" s="103"/>
      <c r="R426" s="103"/>
      <c r="S426" s="103"/>
      <c r="T426" s="103"/>
      <c r="U426" s="103"/>
      <c r="V426" s="103"/>
      <c r="W426" s="103"/>
      <c r="X426" s="103"/>
      <c r="Y426" s="103"/>
      <c r="Z426" s="103"/>
    </row>
    <row r="427">
      <c r="A427" s="91">
        <v>17774.0</v>
      </c>
      <c r="B427" s="90" t="s">
        <v>1483</v>
      </c>
      <c r="C427" s="91">
        <v>2022.0</v>
      </c>
      <c r="D427" s="90" t="s">
        <v>292</v>
      </c>
      <c r="E427" s="90" t="s">
        <v>1484</v>
      </c>
      <c r="F427" s="101" t="s">
        <v>1485</v>
      </c>
      <c r="G427" s="93">
        <v>46112.0</v>
      </c>
      <c r="H427" s="94">
        <f t="shared" si="4"/>
        <v>38</v>
      </c>
      <c r="I427" s="95" t="s">
        <v>1486</v>
      </c>
      <c r="J427" s="96">
        <v>46150.0</v>
      </c>
      <c r="K427" s="95"/>
      <c r="L427" s="98"/>
      <c r="M427" s="98"/>
      <c r="N427" s="98"/>
      <c r="O427" s="98"/>
      <c r="P427" s="98"/>
      <c r="Q427" s="98"/>
      <c r="R427" s="98"/>
      <c r="S427" s="98"/>
      <c r="T427" s="98"/>
      <c r="U427" s="98"/>
      <c r="V427" s="98"/>
      <c r="W427" s="98"/>
      <c r="X427" s="98"/>
      <c r="Y427" s="98"/>
      <c r="Z427" s="98"/>
    </row>
    <row r="428">
      <c r="A428" s="69">
        <v>17775.0</v>
      </c>
      <c r="B428" s="68" t="s">
        <v>517</v>
      </c>
      <c r="C428" s="69">
        <v>2022.0</v>
      </c>
      <c r="D428" s="68" t="s">
        <v>292</v>
      </c>
      <c r="E428" s="68" t="s">
        <v>518</v>
      </c>
      <c r="F428" s="70" t="s">
        <v>519</v>
      </c>
      <c r="G428" s="71">
        <v>46112.0</v>
      </c>
      <c r="H428" s="72">
        <f t="shared" si="4"/>
        <v>7</v>
      </c>
      <c r="I428" s="73" t="s">
        <v>1487</v>
      </c>
      <c r="J428" s="74">
        <v>46119.0</v>
      </c>
      <c r="K428" s="73"/>
      <c r="L428" s="75"/>
      <c r="M428" s="75"/>
      <c r="N428" s="75"/>
      <c r="O428" s="75"/>
      <c r="P428" s="75"/>
      <c r="Q428" s="75"/>
      <c r="R428" s="75"/>
      <c r="S428" s="75"/>
      <c r="T428" s="75"/>
      <c r="U428" s="75"/>
      <c r="V428" s="75"/>
      <c r="W428" s="75"/>
      <c r="X428" s="75"/>
      <c r="Y428" s="75"/>
      <c r="Z428" s="75"/>
    </row>
    <row r="429">
      <c r="A429" s="91">
        <v>17778.0</v>
      </c>
      <c r="B429" s="90" t="s">
        <v>1488</v>
      </c>
      <c r="C429" s="91">
        <v>2014.0</v>
      </c>
      <c r="D429" s="90" t="s">
        <v>27</v>
      </c>
      <c r="E429" s="90" t="s">
        <v>106</v>
      </c>
      <c r="F429" s="101" t="s">
        <v>1489</v>
      </c>
      <c r="G429" s="93">
        <v>46112.0</v>
      </c>
      <c r="H429" s="94">
        <f t="shared" si="4"/>
        <v>111</v>
      </c>
      <c r="I429" s="95" t="s">
        <v>1490</v>
      </c>
      <c r="J429" s="96">
        <v>46223.0</v>
      </c>
      <c r="K429" s="95" t="s">
        <v>31</v>
      </c>
      <c r="L429" s="97">
        <v>97698.0</v>
      </c>
      <c r="M429" s="97"/>
      <c r="N429" s="97"/>
      <c r="O429" s="97"/>
      <c r="P429" s="97"/>
      <c r="Q429" s="97"/>
      <c r="R429" s="97"/>
      <c r="S429" s="97"/>
      <c r="T429" s="97"/>
      <c r="U429" s="97"/>
      <c r="V429" s="97"/>
      <c r="W429" s="97"/>
      <c r="X429" s="97"/>
      <c r="Y429" s="97"/>
      <c r="Z429" s="97"/>
    </row>
    <row r="430">
      <c r="A430" s="69">
        <v>17779.0</v>
      </c>
      <c r="B430" s="68" t="s">
        <v>1491</v>
      </c>
      <c r="C430" s="69">
        <v>2020.0</v>
      </c>
      <c r="D430" s="68" t="s">
        <v>1170</v>
      </c>
      <c r="E430" s="68" t="s">
        <v>1492</v>
      </c>
      <c r="F430" s="70" t="s">
        <v>1493</v>
      </c>
      <c r="G430" s="71">
        <v>46112.0</v>
      </c>
      <c r="H430" s="72">
        <f t="shared" si="4"/>
        <v>0</v>
      </c>
      <c r="I430" s="73" t="s">
        <v>1494</v>
      </c>
      <c r="J430" s="74">
        <v>46112.0</v>
      </c>
      <c r="K430" s="73"/>
      <c r="L430" s="75"/>
      <c r="M430" s="75"/>
      <c r="N430" s="75"/>
      <c r="O430" s="75"/>
      <c r="P430" s="75"/>
      <c r="Q430" s="75"/>
      <c r="R430" s="75"/>
      <c r="S430" s="75"/>
      <c r="T430" s="75"/>
      <c r="U430" s="75"/>
      <c r="V430" s="75"/>
      <c r="W430" s="75"/>
      <c r="X430" s="75"/>
      <c r="Y430" s="75"/>
      <c r="Z430" s="75"/>
    </row>
    <row r="431">
      <c r="A431" s="91">
        <v>17780.0</v>
      </c>
      <c r="B431" s="90" t="s">
        <v>705</v>
      </c>
      <c r="C431" s="91">
        <v>2022.0</v>
      </c>
      <c r="D431" s="90" t="s">
        <v>40</v>
      </c>
      <c r="E431" s="90" t="s">
        <v>1495</v>
      </c>
      <c r="F431" s="101" t="s">
        <v>706</v>
      </c>
      <c r="G431" s="93">
        <v>46112.0</v>
      </c>
      <c r="H431" s="94">
        <f t="shared" si="4"/>
        <v>0</v>
      </c>
      <c r="I431" s="95" t="s">
        <v>1496</v>
      </c>
      <c r="J431" s="96">
        <v>46112.0</v>
      </c>
      <c r="K431" s="95"/>
      <c r="L431" s="98"/>
      <c r="M431" s="98"/>
      <c r="N431" s="98"/>
      <c r="O431" s="98"/>
      <c r="P431" s="98"/>
      <c r="Q431" s="98"/>
      <c r="R431" s="98"/>
      <c r="S431" s="98"/>
      <c r="T431" s="98"/>
      <c r="U431" s="98"/>
      <c r="V431" s="98"/>
      <c r="W431" s="98"/>
      <c r="X431" s="98"/>
      <c r="Y431" s="98"/>
      <c r="Z431" s="98"/>
    </row>
    <row r="432">
      <c r="A432" s="69">
        <v>17784.0</v>
      </c>
      <c r="B432" s="68" t="s">
        <v>1497</v>
      </c>
      <c r="C432" s="69">
        <v>2020.0</v>
      </c>
      <c r="D432" s="68" t="s">
        <v>1147</v>
      </c>
      <c r="E432" s="68" t="s">
        <v>1339</v>
      </c>
      <c r="F432" s="70" t="s">
        <v>1498</v>
      </c>
      <c r="G432" s="71">
        <v>46113.0</v>
      </c>
      <c r="H432" s="72">
        <f t="shared" si="4"/>
        <v>0</v>
      </c>
      <c r="I432" s="73" t="s">
        <v>1499</v>
      </c>
      <c r="J432" s="74">
        <v>46113.0</v>
      </c>
      <c r="K432" s="73"/>
      <c r="L432" s="75"/>
      <c r="M432" s="75"/>
      <c r="N432" s="75"/>
      <c r="O432" s="75"/>
      <c r="P432" s="75"/>
      <c r="Q432" s="75"/>
      <c r="R432" s="75"/>
      <c r="S432" s="75"/>
      <c r="T432" s="75"/>
      <c r="U432" s="75"/>
      <c r="V432" s="75"/>
      <c r="W432" s="75"/>
      <c r="X432" s="75"/>
      <c r="Y432" s="75"/>
      <c r="Z432" s="75"/>
    </row>
    <row r="433">
      <c r="A433" s="91">
        <v>17785.0</v>
      </c>
      <c r="B433" s="90" t="s">
        <v>1500</v>
      </c>
      <c r="C433" s="91">
        <v>2014.0</v>
      </c>
      <c r="D433" s="90" t="s">
        <v>1091</v>
      </c>
      <c r="E433" s="90" t="s">
        <v>207</v>
      </c>
      <c r="F433" s="101" t="s">
        <v>1501</v>
      </c>
      <c r="G433" s="93">
        <v>46113.0</v>
      </c>
      <c r="H433" s="94">
        <f t="shared" si="4"/>
        <v>0</v>
      </c>
      <c r="I433" s="95" t="s">
        <v>1502</v>
      </c>
      <c r="J433" s="96">
        <v>46113.0</v>
      </c>
      <c r="K433" s="95"/>
      <c r="L433" s="98"/>
      <c r="M433" s="98"/>
      <c r="N433" s="98"/>
      <c r="O433" s="98"/>
      <c r="P433" s="98"/>
      <c r="Q433" s="98"/>
      <c r="R433" s="98"/>
      <c r="S433" s="98"/>
      <c r="T433" s="98"/>
      <c r="U433" s="98"/>
      <c r="V433" s="98"/>
      <c r="W433" s="98"/>
      <c r="X433" s="98"/>
      <c r="Y433" s="98"/>
      <c r="Z433" s="98"/>
    </row>
    <row r="434">
      <c r="A434" s="69">
        <v>17786.0</v>
      </c>
      <c r="B434" s="68" t="s">
        <v>1503</v>
      </c>
      <c r="C434" s="69">
        <v>2022.0</v>
      </c>
      <c r="D434" s="68" t="s">
        <v>245</v>
      </c>
      <c r="E434" s="68" t="s">
        <v>610</v>
      </c>
      <c r="F434" s="70" t="s">
        <v>1504</v>
      </c>
      <c r="G434" s="71">
        <v>46113.0</v>
      </c>
      <c r="H434" s="72">
        <f t="shared" si="4"/>
        <v>0</v>
      </c>
      <c r="I434" s="73" t="s">
        <v>1505</v>
      </c>
      <c r="J434" s="74">
        <v>46113.0</v>
      </c>
      <c r="K434" s="73"/>
      <c r="L434" s="75"/>
      <c r="M434" s="75"/>
      <c r="N434" s="75"/>
      <c r="O434" s="75"/>
      <c r="P434" s="75"/>
      <c r="Q434" s="75"/>
      <c r="R434" s="75"/>
      <c r="S434" s="75"/>
      <c r="T434" s="75"/>
      <c r="U434" s="75"/>
      <c r="V434" s="75"/>
      <c r="W434" s="75"/>
      <c r="X434" s="75"/>
      <c r="Y434" s="75"/>
      <c r="Z434" s="75"/>
    </row>
    <row r="435">
      <c r="A435" s="91">
        <v>17787.0</v>
      </c>
      <c r="B435" s="90" t="s">
        <v>1506</v>
      </c>
      <c r="C435" s="91">
        <v>2014.0</v>
      </c>
      <c r="D435" s="90" t="s">
        <v>1288</v>
      </c>
      <c r="E435" s="90" t="s">
        <v>1507</v>
      </c>
      <c r="F435" s="101" t="s">
        <v>1508</v>
      </c>
      <c r="G435" s="93">
        <v>46113.0</v>
      </c>
      <c r="H435" s="94">
        <f t="shared" si="4"/>
        <v>0</v>
      </c>
      <c r="I435" s="95" t="s">
        <v>1509</v>
      </c>
      <c r="J435" s="96">
        <v>46113.0</v>
      </c>
      <c r="K435" s="95"/>
      <c r="L435" s="98"/>
      <c r="M435" s="98"/>
      <c r="N435" s="98"/>
      <c r="O435" s="98"/>
      <c r="P435" s="98"/>
      <c r="Q435" s="98"/>
      <c r="R435" s="98"/>
      <c r="S435" s="98"/>
      <c r="T435" s="98"/>
      <c r="U435" s="98"/>
      <c r="V435" s="98"/>
      <c r="W435" s="98"/>
      <c r="X435" s="98"/>
      <c r="Y435" s="98"/>
      <c r="Z435" s="98"/>
    </row>
    <row r="436">
      <c r="A436" s="69">
        <v>18059.0</v>
      </c>
      <c r="B436" s="68" t="s">
        <v>1510</v>
      </c>
      <c r="C436" s="69">
        <v>2021.0</v>
      </c>
      <c r="D436" s="68" t="s">
        <v>40</v>
      </c>
      <c r="E436" s="68" t="s">
        <v>160</v>
      </c>
      <c r="F436" s="70" t="s">
        <v>1511</v>
      </c>
      <c r="G436" s="71">
        <v>46160.0</v>
      </c>
      <c r="H436" s="72">
        <f t="shared" si="4"/>
        <v>0</v>
      </c>
      <c r="I436" s="73" t="s">
        <v>1512</v>
      </c>
      <c r="J436" s="74">
        <v>46160.0</v>
      </c>
      <c r="K436" s="73"/>
      <c r="L436" s="75"/>
      <c r="M436" s="75"/>
      <c r="N436" s="75"/>
      <c r="O436" s="75"/>
      <c r="P436" s="75"/>
      <c r="Q436" s="75"/>
      <c r="R436" s="75"/>
      <c r="S436" s="75"/>
      <c r="T436" s="75"/>
      <c r="U436" s="75"/>
      <c r="V436" s="75"/>
      <c r="W436" s="75"/>
      <c r="X436" s="75"/>
      <c r="Y436" s="75"/>
      <c r="Z436" s="75"/>
    </row>
    <row r="437">
      <c r="A437" s="91" t="s">
        <v>1513</v>
      </c>
      <c r="B437" s="90" t="s">
        <v>1514</v>
      </c>
      <c r="C437" s="91">
        <v>2024.0</v>
      </c>
      <c r="D437" s="90" t="s">
        <v>1515</v>
      </c>
      <c r="E437" s="90" t="s">
        <v>70</v>
      </c>
      <c r="F437" s="101" t="s">
        <v>1516</v>
      </c>
      <c r="G437" s="93">
        <v>46113.0</v>
      </c>
      <c r="H437" s="94">
        <f t="shared" si="4"/>
        <v>51</v>
      </c>
      <c r="I437" s="95" t="s">
        <v>1517</v>
      </c>
      <c r="J437" s="96">
        <v>46164.0</v>
      </c>
      <c r="K437" s="95"/>
      <c r="L437" s="98"/>
      <c r="M437" s="98"/>
      <c r="N437" s="98"/>
      <c r="O437" s="98"/>
      <c r="P437" s="98"/>
      <c r="Q437" s="98"/>
      <c r="R437" s="98"/>
      <c r="S437" s="98"/>
      <c r="T437" s="98"/>
      <c r="U437" s="98"/>
      <c r="V437" s="98"/>
      <c r="W437" s="98"/>
      <c r="X437" s="98"/>
      <c r="Y437" s="98"/>
      <c r="Z437" s="98"/>
    </row>
    <row r="438">
      <c r="A438" s="69">
        <v>17757.0</v>
      </c>
      <c r="B438" s="68" t="s">
        <v>1518</v>
      </c>
      <c r="C438" s="69">
        <v>2017.0</v>
      </c>
      <c r="D438" s="68" t="s">
        <v>1163</v>
      </c>
      <c r="E438" s="68" t="s">
        <v>912</v>
      </c>
      <c r="F438" s="70" t="s">
        <v>1519</v>
      </c>
      <c r="G438" s="71">
        <v>46114.0</v>
      </c>
      <c r="H438" s="72">
        <f t="shared" si="4"/>
        <v>1</v>
      </c>
      <c r="I438" s="73" t="s">
        <v>1520</v>
      </c>
      <c r="J438" s="74">
        <v>46115.0</v>
      </c>
      <c r="K438" s="73"/>
      <c r="L438" s="75"/>
      <c r="M438" s="75"/>
      <c r="N438" s="75"/>
      <c r="O438" s="75"/>
      <c r="P438" s="75"/>
      <c r="Q438" s="75"/>
      <c r="R438" s="75"/>
      <c r="S438" s="75"/>
      <c r="T438" s="75"/>
      <c r="U438" s="75"/>
      <c r="V438" s="75"/>
      <c r="W438" s="75"/>
      <c r="X438" s="75"/>
      <c r="Y438" s="75"/>
      <c r="Z438" s="75"/>
    </row>
    <row r="439">
      <c r="A439" s="91">
        <v>17790.0</v>
      </c>
      <c r="B439" s="90" t="s">
        <v>1521</v>
      </c>
      <c r="C439" s="91">
        <v>2021.0</v>
      </c>
      <c r="D439" s="90" t="s">
        <v>1270</v>
      </c>
      <c r="E439" s="90" t="s">
        <v>649</v>
      </c>
      <c r="F439" s="101" t="s">
        <v>1522</v>
      </c>
      <c r="G439" s="93">
        <v>46114.0</v>
      </c>
      <c r="H439" s="94">
        <f t="shared" si="4"/>
        <v>5</v>
      </c>
      <c r="I439" s="95" t="s">
        <v>1523</v>
      </c>
      <c r="J439" s="96">
        <v>46119.0</v>
      </c>
      <c r="K439" s="95"/>
      <c r="L439" s="98"/>
      <c r="M439" s="98"/>
      <c r="N439" s="98"/>
      <c r="O439" s="98"/>
      <c r="P439" s="98"/>
      <c r="Q439" s="98"/>
      <c r="R439" s="98"/>
      <c r="S439" s="98"/>
      <c r="T439" s="98"/>
      <c r="U439" s="98"/>
      <c r="V439" s="98"/>
      <c r="W439" s="98"/>
      <c r="X439" s="98"/>
      <c r="Y439" s="98"/>
      <c r="Z439" s="98"/>
    </row>
    <row r="440">
      <c r="A440" s="69">
        <v>17791.0</v>
      </c>
      <c r="B440" s="68" t="s">
        <v>1524</v>
      </c>
      <c r="C440" s="69">
        <v>2021.0</v>
      </c>
      <c r="D440" s="68" t="s">
        <v>1270</v>
      </c>
      <c r="E440" s="68" t="s">
        <v>649</v>
      </c>
      <c r="F440" s="70" t="s">
        <v>1525</v>
      </c>
      <c r="G440" s="71">
        <v>46114.0</v>
      </c>
      <c r="H440" s="72">
        <f t="shared" si="4"/>
        <v>5</v>
      </c>
      <c r="I440" s="73" t="s">
        <v>1526</v>
      </c>
      <c r="J440" s="74">
        <v>46119.0</v>
      </c>
      <c r="K440" s="73"/>
      <c r="L440" s="75"/>
      <c r="M440" s="75"/>
      <c r="N440" s="75"/>
      <c r="O440" s="75"/>
      <c r="P440" s="75"/>
      <c r="Q440" s="75"/>
      <c r="R440" s="75"/>
      <c r="S440" s="75"/>
      <c r="T440" s="75"/>
      <c r="U440" s="75"/>
      <c r="V440" s="75"/>
      <c r="W440" s="75"/>
      <c r="X440" s="75"/>
      <c r="Y440" s="75"/>
      <c r="Z440" s="75"/>
    </row>
    <row r="441">
      <c r="A441" s="91">
        <v>18079.0</v>
      </c>
      <c r="B441" s="90" t="s">
        <v>1527</v>
      </c>
      <c r="C441" s="91">
        <v>2008.0</v>
      </c>
      <c r="D441" s="90" t="s">
        <v>1446</v>
      </c>
      <c r="E441" s="90" t="s">
        <v>70</v>
      </c>
      <c r="F441" s="101" t="s">
        <v>1528</v>
      </c>
      <c r="G441" s="93">
        <v>46163.0</v>
      </c>
      <c r="H441" s="94">
        <f t="shared" si="4"/>
        <v>62</v>
      </c>
      <c r="I441" s="95" t="s">
        <v>504</v>
      </c>
      <c r="J441" s="96"/>
      <c r="K441" s="95"/>
      <c r="L441" s="98"/>
      <c r="M441" s="98"/>
      <c r="N441" s="98"/>
      <c r="O441" s="98"/>
      <c r="P441" s="98"/>
      <c r="Q441" s="98"/>
      <c r="R441" s="98"/>
      <c r="S441" s="98"/>
      <c r="T441" s="98"/>
      <c r="U441" s="98"/>
      <c r="V441" s="98"/>
      <c r="W441" s="98"/>
      <c r="X441" s="98"/>
      <c r="Y441" s="98"/>
      <c r="Z441" s="98"/>
    </row>
    <row r="442">
      <c r="A442" s="69">
        <v>17793.0</v>
      </c>
      <c r="B442" s="68" t="s">
        <v>1529</v>
      </c>
      <c r="C442" s="69">
        <v>2022.0</v>
      </c>
      <c r="D442" s="68" t="s">
        <v>718</v>
      </c>
      <c r="E442" s="68" t="s">
        <v>1530</v>
      </c>
      <c r="F442" s="70" t="s">
        <v>1531</v>
      </c>
      <c r="G442" s="71">
        <v>46114.0</v>
      </c>
      <c r="H442" s="72">
        <f t="shared" si="4"/>
        <v>11</v>
      </c>
      <c r="I442" s="73" t="s">
        <v>1532</v>
      </c>
      <c r="J442" s="74">
        <v>46125.0</v>
      </c>
      <c r="K442" s="73"/>
      <c r="L442" s="75"/>
      <c r="M442" s="75"/>
      <c r="N442" s="75"/>
      <c r="O442" s="75"/>
      <c r="P442" s="75"/>
      <c r="Q442" s="75"/>
      <c r="R442" s="75"/>
      <c r="S442" s="75"/>
      <c r="T442" s="75"/>
      <c r="U442" s="75"/>
      <c r="V442" s="75"/>
      <c r="W442" s="75"/>
      <c r="X442" s="75"/>
      <c r="Y442" s="75"/>
      <c r="Z442" s="75"/>
    </row>
    <row r="443">
      <c r="A443" s="91">
        <v>17795.0</v>
      </c>
      <c r="B443" s="90" t="s">
        <v>1533</v>
      </c>
      <c r="C443" s="91">
        <v>2018.0</v>
      </c>
      <c r="D443" s="90" t="s">
        <v>1534</v>
      </c>
      <c r="E443" s="90" t="s">
        <v>53</v>
      </c>
      <c r="F443" s="101" t="s">
        <v>1535</v>
      </c>
      <c r="G443" s="93">
        <v>46114.0</v>
      </c>
      <c r="H443" s="94">
        <f t="shared" si="4"/>
        <v>6</v>
      </c>
      <c r="I443" s="95" t="s">
        <v>1536</v>
      </c>
      <c r="J443" s="96">
        <v>46120.0</v>
      </c>
      <c r="K443" s="95"/>
      <c r="L443" s="98"/>
      <c r="M443" s="98"/>
      <c r="N443" s="98"/>
      <c r="O443" s="98"/>
      <c r="P443" s="98"/>
      <c r="Q443" s="98"/>
      <c r="R443" s="98"/>
      <c r="S443" s="98"/>
      <c r="T443" s="98"/>
      <c r="U443" s="98"/>
      <c r="V443" s="98"/>
      <c r="W443" s="98"/>
      <c r="X443" s="98"/>
      <c r="Y443" s="98"/>
      <c r="Z443" s="98"/>
    </row>
    <row r="444">
      <c r="A444" s="69">
        <v>18238.0</v>
      </c>
      <c r="B444" s="68" t="s">
        <v>1537</v>
      </c>
      <c r="C444" s="69">
        <v>2011.0</v>
      </c>
      <c r="D444" s="68" t="s">
        <v>1174</v>
      </c>
      <c r="E444" s="68" t="s">
        <v>277</v>
      </c>
      <c r="F444" s="70" t="s">
        <v>1538</v>
      </c>
      <c r="G444" s="71">
        <v>46185.0</v>
      </c>
      <c r="H444" s="72">
        <f t="shared" si="4"/>
        <v>4</v>
      </c>
      <c r="I444" s="73" t="s">
        <v>1539</v>
      </c>
      <c r="J444" s="74">
        <v>46189.0</v>
      </c>
      <c r="K444" s="73" t="s">
        <v>31</v>
      </c>
      <c r="L444" s="103">
        <v>155544.0</v>
      </c>
      <c r="M444" s="103"/>
      <c r="N444" s="103"/>
      <c r="O444" s="103"/>
      <c r="P444" s="103"/>
      <c r="Q444" s="103"/>
      <c r="R444" s="103"/>
      <c r="S444" s="103"/>
      <c r="T444" s="103"/>
      <c r="U444" s="103"/>
      <c r="V444" s="103"/>
      <c r="W444" s="103"/>
      <c r="X444" s="103"/>
      <c r="Y444" s="103"/>
      <c r="Z444" s="103"/>
    </row>
    <row r="445">
      <c r="A445" s="91">
        <v>18265.0</v>
      </c>
      <c r="B445" s="90" t="s">
        <v>1540</v>
      </c>
      <c r="C445" s="91">
        <v>2022.0</v>
      </c>
      <c r="D445" s="90" t="s">
        <v>40</v>
      </c>
      <c r="E445" s="90" t="s">
        <v>82</v>
      </c>
      <c r="F445" s="101" t="s">
        <v>1541</v>
      </c>
      <c r="G445" s="93">
        <v>46190.0</v>
      </c>
      <c r="H445" s="94">
        <f t="shared" si="4"/>
        <v>14</v>
      </c>
      <c r="I445" s="95" t="s">
        <v>1542</v>
      </c>
      <c r="J445" s="96">
        <v>46204.0</v>
      </c>
      <c r="K445" s="95"/>
      <c r="L445" s="98"/>
      <c r="M445" s="98"/>
      <c r="N445" s="98"/>
      <c r="O445" s="98"/>
      <c r="P445" s="98"/>
      <c r="Q445" s="98"/>
      <c r="R445" s="98"/>
      <c r="S445" s="98"/>
      <c r="T445" s="98"/>
      <c r="U445" s="98"/>
      <c r="V445" s="98"/>
      <c r="W445" s="98"/>
      <c r="X445" s="98"/>
      <c r="Y445" s="98"/>
      <c r="Z445" s="98"/>
    </row>
    <row r="446">
      <c r="A446" s="69">
        <v>17799.0</v>
      </c>
      <c r="B446" s="68" t="s">
        <v>1543</v>
      </c>
      <c r="C446" s="69">
        <v>2011.0</v>
      </c>
      <c r="D446" s="68" t="s">
        <v>1446</v>
      </c>
      <c r="E446" s="68" t="s">
        <v>70</v>
      </c>
      <c r="F446" s="70" t="s">
        <v>1544</v>
      </c>
      <c r="G446" s="71">
        <v>46114.0</v>
      </c>
      <c r="H446" s="72">
        <f t="shared" si="4"/>
        <v>48</v>
      </c>
      <c r="I446" s="73" t="s">
        <v>1545</v>
      </c>
      <c r="J446" s="74">
        <v>46162.0</v>
      </c>
      <c r="K446" s="73"/>
      <c r="L446" s="75"/>
      <c r="M446" s="75"/>
      <c r="N446" s="75"/>
      <c r="O446" s="75"/>
      <c r="P446" s="75"/>
      <c r="Q446" s="75"/>
      <c r="R446" s="75"/>
      <c r="S446" s="75"/>
      <c r="T446" s="75"/>
      <c r="U446" s="75"/>
      <c r="V446" s="75"/>
      <c r="W446" s="75"/>
      <c r="X446" s="75"/>
      <c r="Y446" s="75"/>
      <c r="Z446" s="75"/>
    </row>
    <row r="447">
      <c r="A447" s="91" t="s">
        <v>1546</v>
      </c>
      <c r="B447" s="90" t="s">
        <v>1547</v>
      </c>
      <c r="C447" s="91">
        <v>2026.0</v>
      </c>
      <c r="D447" s="90" t="s">
        <v>1147</v>
      </c>
      <c r="E447" s="90" t="s">
        <v>1548</v>
      </c>
      <c r="F447" s="101" t="s">
        <v>1549</v>
      </c>
      <c r="G447" s="93">
        <v>46114.0</v>
      </c>
      <c r="H447" s="94">
        <f t="shared" si="4"/>
        <v>15</v>
      </c>
      <c r="I447" s="95" t="s">
        <v>1550</v>
      </c>
      <c r="J447" s="96">
        <v>46129.0</v>
      </c>
      <c r="K447" s="95"/>
      <c r="L447" s="98"/>
      <c r="M447" s="98"/>
      <c r="N447" s="98"/>
      <c r="O447" s="98"/>
      <c r="P447" s="98"/>
      <c r="Q447" s="98"/>
      <c r="R447" s="98"/>
      <c r="S447" s="98"/>
      <c r="T447" s="98"/>
      <c r="U447" s="98"/>
      <c r="V447" s="98"/>
      <c r="W447" s="98"/>
      <c r="X447" s="98"/>
      <c r="Y447" s="98"/>
      <c r="Z447" s="98"/>
    </row>
    <row r="448">
      <c r="A448" s="69">
        <v>17802.0</v>
      </c>
      <c r="B448" s="68" t="s">
        <v>1551</v>
      </c>
      <c r="C448" s="69">
        <v>2022.0</v>
      </c>
      <c r="D448" s="68" t="s">
        <v>292</v>
      </c>
      <c r="E448" s="68" t="s">
        <v>1352</v>
      </c>
      <c r="F448" s="70">
        <v>91333.0</v>
      </c>
      <c r="G448" s="71">
        <v>46118.0</v>
      </c>
      <c r="H448" s="72">
        <f t="shared" si="4"/>
        <v>0</v>
      </c>
      <c r="I448" s="73" t="s">
        <v>1552</v>
      </c>
      <c r="J448" s="74">
        <v>46118.0</v>
      </c>
      <c r="K448" s="73"/>
      <c r="L448" s="75"/>
      <c r="M448" s="75"/>
      <c r="N448" s="75"/>
      <c r="O448" s="75"/>
      <c r="P448" s="75"/>
      <c r="Q448" s="75"/>
      <c r="R448" s="75"/>
      <c r="S448" s="75"/>
      <c r="T448" s="75"/>
      <c r="U448" s="75"/>
      <c r="V448" s="75"/>
      <c r="W448" s="75"/>
      <c r="X448" s="75"/>
      <c r="Y448" s="75"/>
      <c r="Z448" s="75"/>
    </row>
    <row r="449">
      <c r="A449" s="91">
        <v>17804.0</v>
      </c>
      <c r="B449" s="90" t="s">
        <v>219</v>
      </c>
      <c r="C449" s="91">
        <v>2018.0</v>
      </c>
      <c r="D449" s="90" t="s">
        <v>911</v>
      </c>
      <c r="E449" s="90" t="s">
        <v>220</v>
      </c>
      <c r="F449" s="101" t="s">
        <v>221</v>
      </c>
      <c r="G449" s="93">
        <v>46118.0</v>
      </c>
      <c r="H449" s="94">
        <f t="shared" si="4"/>
        <v>38</v>
      </c>
      <c r="I449" s="95" t="s">
        <v>1553</v>
      </c>
      <c r="J449" s="96">
        <v>46156.0</v>
      </c>
      <c r="K449" s="95" t="s">
        <v>37</v>
      </c>
      <c r="L449" s="97">
        <v>168507.0</v>
      </c>
      <c r="M449" s="97"/>
      <c r="N449" s="97"/>
      <c r="O449" s="97"/>
      <c r="P449" s="97"/>
      <c r="Q449" s="97"/>
      <c r="R449" s="97"/>
      <c r="S449" s="97"/>
      <c r="T449" s="97"/>
      <c r="U449" s="97"/>
      <c r="V449" s="97"/>
      <c r="W449" s="97"/>
      <c r="X449" s="97"/>
      <c r="Y449" s="97"/>
      <c r="Z449" s="97"/>
    </row>
    <row r="450">
      <c r="A450" s="69">
        <v>17807.0</v>
      </c>
      <c r="B450" s="68" t="s">
        <v>376</v>
      </c>
      <c r="C450" s="69">
        <v>2014.0</v>
      </c>
      <c r="D450" s="68" t="s">
        <v>1554</v>
      </c>
      <c r="E450" s="68" t="s">
        <v>82</v>
      </c>
      <c r="F450" s="70" t="s">
        <v>377</v>
      </c>
      <c r="G450" s="71">
        <v>46118.0</v>
      </c>
      <c r="H450" s="72">
        <f t="shared" si="4"/>
        <v>0</v>
      </c>
      <c r="I450" s="73" t="s">
        <v>780</v>
      </c>
      <c r="J450" s="74">
        <v>46118.0</v>
      </c>
      <c r="K450" s="73"/>
      <c r="L450" s="75"/>
      <c r="M450" s="75"/>
      <c r="N450" s="75"/>
      <c r="O450" s="75"/>
      <c r="P450" s="75"/>
      <c r="Q450" s="75"/>
      <c r="R450" s="75"/>
      <c r="S450" s="75"/>
      <c r="T450" s="75"/>
      <c r="U450" s="75"/>
      <c r="V450" s="75"/>
      <c r="W450" s="75"/>
      <c r="X450" s="75"/>
      <c r="Y450" s="75"/>
      <c r="Z450" s="75"/>
    </row>
    <row r="451">
      <c r="A451" s="91">
        <v>17808.0</v>
      </c>
      <c r="B451" s="90" t="s">
        <v>729</v>
      </c>
      <c r="C451" s="91">
        <v>2019.0</v>
      </c>
      <c r="D451" s="90" t="s">
        <v>1430</v>
      </c>
      <c r="E451" s="90" t="s">
        <v>70</v>
      </c>
      <c r="F451" s="101" t="s">
        <v>731</v>
      </c>
      <c r="G451" s="93">
        <v>46118.0</v>
      </c>
      <c r="H451" s="94">
        <f t="shared" si="4"/>
        <v>0</v>
      </c>
      <c r="I451" s="95" t="s">
        <v>1555</v>
      </c>
      <c r="J451" s="96">
        <v>46118.0</v>
      </c>
      <c r="K451" s="95"/>
      <c r="L451" s="98"/>
      <c r="M451" s="98"/>
      <c r="N451" s="98"/>
      <c r="O451" s="98"/>
      <c r="P451" s="98"/>
      <c r="Q451" s="98"/>
      <c r="R451" s="98"/>
      <c r="S451" s="98"/>
      <c r="T451" s="98"/>
      <c r="U451" s="98"/>
      <c r="V451" s="98"/>
      <c r="W451" s="98"/>
      <c r="X451" s="98"/>
      <c r="Y451" s="98"/>
      <c r="Z451" s="98"/>
    </row>
    <row r="452">
      <c r="A452" s="69">
        <v>17809.0</v>
      </c>
      <c r="B452" s="68" t="s">
        <v>1556</v>
      </c>
      <c r="C452" s="69">
        <v>2015.0</v>
      </c>
      <c r="D452" s="68" t="s">
        <v>1557</v>
      </c>
      <c r="E452" s="68" t="s">
        <v>725</v>
      </c>
      <c r="F452" s="70" t="s">
        <v>1558</v>
      </c>
      <c r="G452" s="71">
        <v>46118.0</v>
      </c>
      <c r="H452" s="72">
        <f t="shared" si="4"/>
        <v>1</v>
      </c>
      <c r="I452" s="73" t="s">
        <v>1317</v>
      </c>
      <c r="J452" s="74">
        <v>46119.0</v>
      </c>
      <c r="K452" s="73"/>
      <c r="L452" s="75"/>
      <c r="M452" s="75"/>
      <c r="N452" s="75"/>
      <c r="O452" s="75"/>
      <c r="P452" s="75"/>
      <c r="Q452" s="75"/>
      <c r="R452" s="75"/>
      <c r="S452" s="75"/>
      <c r="T452" s="75"/>
      <c r="U452" s="75"/>
      <c r="V452" s="75"/>
      <c r="W452" s="75"/>
      <c r="X452" s="75"/>
      <c r="Y452" s="75"/>
      <c r="Z452" s="75"/>
    </row>
    <row r="453">
      <c r="A453" s="91">
        <v>17810.0</v>
      </c>
      <c r="B453" s="90" t="s">
        <v>634</v>
      </c>
      <c r="C453" s="91">
        <v>2014.0</v>
      </c>
      <c r="D453" s="90" t="s">
        <v>182</v>
      </c>
      <c r="E453" s="90" t="s">
        <v>82</v>
      </c>
      <c r="F453" s="101" t="s">
        <v>635</v>
      </c>
      <c r="G453" s="93">
        <v>46118.0</v>
      </c>
      <c r="H453" s="94">
        <f t="shared" si="4"/>
        <v>17</v>
      </c>
      <c r="I453" s="95" t="s">
        <v>1559</v>
      </c>
      <c r="J453" s="96">
        <v>46135.0</v>
      </c>
      <c r="K453" s="95"/>
      <c r="L453" s="98"/>
      <c r="M453" s="98"/>
      <c r="N453" s="98"/>
      <c r="O453" s="98"/>
      <c r="P453" s="98"/>
      <c r="Q453" s="98"/>
      <c r="R453" s="98"/>
      <c r="S453" s="98"/>
      <c r="T453" s="98"/>
      <c r="U453" s="98"/>
      <c r="V453" s="98"/>
      <c r="W453" s="98"/>
      <c r="X453" s="98"/>
      <c r="Y453" s="98"/>
      <c r="Z453" s="98"/>
    </row>
    <row r="454">
      <c r="A454" s="69">
        <v>17812.0</v>
      </c>
      <c r="B454" s="68" t="s">
        <v>1560</v>
      </c>
      <c r="C454" s="69">
        <v>2022.0</v>
      </c>
      <c r="D454" s="68" t="s">
        <v>1147</v>
      </c>
      <c r="E454" s="68" t="s">
        <v>1561</v>
      </c>
      <c r="F454" s="70" t="s">
        <v>1562</v>
      </c>
      <c r="G454" s="71">
        <v>46119.0</v>
      </c>
      <c r="H454" s="72">
        <f t="shared" si="4"/>
        <v>0</v>
      </c>
      <c r="I454" s="73" t="s">
        <v>1563</v>
      </c>
      <c r="J454" s="74">
        <v>46119.0</v>
      </c>
      <c r="K454" s="73"/>
      <c r="L454" s="75"/>
      <c r="M454" s="75"/>
      <c r="N454" s="75"/>
      <c r="O454" s="75"/>
      <c r="P454" s="75"/>
      <c r="Q454" s="75"/>
      <c r="R454" s="75"/>
      <c r="S454" s="75"/>
      <c r="T454" s="75"/>
      <c r="U454" s="75"/>
      <c r="V454" s="75"/>
      <c r="W454" s="75"/>
      <c r="X454" s="75"/>
      <c r="Y454" s="75"/>
      <c r="Z454" s="75"/>
    </row>
    <row r="455">
      <c r="A455" s="91">
        <v>17813.0</v>
      </c>
      <c r="B455" s="90" t="s">
        <v>1564</v>
      </c>
      <c r="C455" s="91">
        <v>2020.0</v>
      </c>
      <c r="D455" s="90" t="s">
        <v>911</v>
      </c>
      <c r="E455" s="90" t="s">
        <v>1565</v>
      </c>
      <c r="F455" s="101" t="s">
        <v>1566</v>
      </c>
      <c r="G455" s="93">
        <v>46119.0</v>
      </c>
      <c r="H455" s="94">
        <f t="shared" si="4"/>
        <v>2</v>
      </c>
      <c r="I455" s="95" t="s">
        <v>1567</v>
      </c>
      <c r="J455" s="96">
        <v>46121.0</v>
      </c>
      <c r="K455" s="95"/>
      <c r="L455" s="98"/>
      <c r="M455" s="98"/>
      <c r="N455" s="98"/>
      <c r="O455" s="98"/>
      <c r="P455" s="98"/>
      <c r="Q455" s="98"/>
      <c r="R455" s="98"/>
      <c r="S455" s="98"/>
      <c r="T455" s="98"/>
      <c r="U455" s="98"/>
      <c r="V455" s="98"/>
      <c r="W455" s="98"/>
      <c r="X455" s="98"/>
      <c r="Y455" s="98"/>
      <c r="Z455" s="98"/>
    </row>
    <row r="456">
      <c r="A456" s="69">
        <v>17814.0</v>
      </c>
      <c r="B456" s="68" t="s">
        <v>804</v>
      </c>
      <c r="C456" s="69">
        <v>2022.0</v>
      </c>
      <c r="D456" s="68" t="s">
        <v>40</v>
      </c>
      <c r="E456" s="68" t="s">
        <v>1568</v>
      </c>
      <c r="F456" s="70" t="s">
        <v>806</v>
      </c>
      <c r="G456" s="71">
        <v>46119.0</v>
      </c>
      <c r="H456" s="72">
        <f t="shared" si="4"/>
        <v>0</v>
      </c>
      <c r="I456" s="73" t="s">
        <v>1569</v>
      </c>
      <c r="J456" s="74">
        <v>46119.0</v>
      </c>
      <c r="K456" s="73" t="s">
        <v>1200</v>
      </c>
      <c r="L456" s="103">
        <v>27652.0</v>
      </c>
      <c r="M456" s="73"/>
      <c r="N456" s="73"/>
      <c r="O456" s="73"/>
      <c r="P456" s="73"/>
      <c r="Q456" s="73"/>
      <c r="R456" s="73"/>
      <c r="S456" s="73"/>
      <c r="T456" s="73"/>
      <c r="U456" s="73"/>
      <c r="V456" s="73"/>
      <c r="W456" s="73"/>
      <c r="X456" s="73"/>
      <c r="Y456" s="73"/>
      <c r="Z456" s="73"/>
    </row>
    <row r="457">
      <c r="A457" s="91">
        <v>17815.0</v>
      </c>
      <c r="B457" s="90" t="s">
        <v>1570</v>
      </c>
      <c r="C457" s="91">
        <v>2022.0</v>
      </c>
      <c r="D457" s="90" t="s">
        <v>40</v>
      </c>
      <c r="E457" s="90" t="s">
        <v>183</v>
      </c>
      <c r="F457" s="101" t="s">
        <v>1571</v>
      </c>
      <c r="G457" s="93">
        <v>46119.0</v>
      </c>
      <c r="H457" s="94">
        <f t="shared" si="4"/>
        <v>100</v>
      </c>
      <c r="I457" s="95" t="s">
        <v>1572</v>
      </c>
      <c r="J457" s="96">
        <v>46219.0</v>
      </c>
      <c r="K457" s="95" t="s">
        <v>31</v>
      </c>
      <c r="L457" s="97">
        <v>37710.0</v>
      </c>
      <c r="M457" s="98"/>
      <c r="N457" s="98"/>
      <c r="O457" s="98"/>
      <c r="P457" s="98"/>
      <c r="Q457" s="98"/>
      <c r="R457" s="98"/>
      <c r="S457" s="98"/>
      <c r="T457" s="98"/>
      <c r="U457" s="98"/>
      <c r="V457" s="98"/>
      <c r="W457" s="98"/>
      <c r="X457" s="98"/>
      <c r="Y457" s="98"/>
      <c r="Z457" s="98"/>
    </row>
    <row r="458">
      <c r="A458" s="69">
        <v>18409.0</v>
      </c>
      <c r="B458" s="68" t="s">
        <v>1573</v>
      </c>
      <c r="C458" s="69">
        <v>2015.0</v>
      </c>
      <c r="D458" s="68" t="s">
        <v>1574</v>
      </c>
      <c r="E458" s="68" t="s">
        <v>82</v>
      </c>
      <c r="F458" s="70" t="s">
        <v>1575</v>
      </c>
      <c r="G458" s="71">
        <v>46220.0</v>
      </c>
      <c r="H458" s="72">
        <f t="shared" si="4"/>
        <v>3</v>
      </c>
      <c r="I458" s="73" t="s">
        <v>1576</v>
      </c>
      <c r="J458" s="74">
        <v>46223.0</v>
      </c>
      <c r="K458" s="73" t="s">
        <v>84</v>
      </c>
      <c r="L458" s="73">
        <v>226317.0</v>
      </c>
      <c r="M458" s="75"/>
      <c r="N458" s="75"/>
      <c r="O458" s="75"/>
      <c r="P458" s="75"/>
      <c r="Q458" s="75"/>
      <c r="R458" s="75"/>
      <c r="S458" s="75"/>
      <c r="T458" s="75"/>
      <c r="U458" s="75"/>
      <c r="V458" s="75"/>
      <c r="W458" s="75"/>
      <c r="X458" s="75"/>
      <c r="Y458" s="75"/>
      <c r="Z458" s="75"/>
    </row>
    <row r="459">
      <c r="A459" s="91">
        <v>17820.0</v>
      </c>
      <c r="B459" s="90" t="s">
        <v>1577</v>
      </c>
      <c r="C459" s="91">
        <v>2014.0</v>
      </c>
      <c r="D459" s="90" t="s">
        <v>1104</v>
      </c>
      <c r="E459" s="90" t="s">
        <v>70</v>
      </c>
      <c r="F459" s="101" t="s">
        <v>1578</v>
      </c>
      <c r="G459" s="93">
        <v>46120.0</v>
      </c>
      <c r="H459" s="94">
        <f t="shared" si="4"/>
        <v>42</v>
      </c>
      <c r="I459" s="95" t="s">
        <v>1579</v>
      </c>
      <c r="J459" s="96">
        <v>46162.0</v>
      </c>
      <c r="K459" s="95"/>
      <c r="L459" s="98"/>
      <c r="M459" s="98"/>
      <c r="N459" s="98"/>
      <c r="O459" s="98"/>
      <c r="P459" s="98"/>
      <c r="Q459" s="98"/>
      <c r="R459" s="98"/>
      <c r="S459" s="98"/>
      <c r="T459" s="98"/>
      <c r="U459" s="98"/>
      <c r="V459" s="98"/>
      <c r="W459" s="98"/>
      <c r="X459" s="98"/>
      <c r="Y459" s="98"/>
      <c r="Z459" s="98"/>
    </row>
    <row r="460">
      <c r="A460" s="69">
        <v>17821.0</v>
      </c>
      <c r="B460" s="68" t="s">
        <v>1580</v>
      </c>
      <c r="C460" s="69">
        <v>2022.0</v>
      </c>
      <c r="D460" s="68" t="s">
        <v>1270</v>
      </c>
      <c r="E460" s="68" t="s">
        <v>1581</v>
      </c>
      <c r="F460" s="70" t="s">
        <v>1582</v>
      </c>
      <c r="G460" s="71">
        <v>46120.0</v>
      </c>
      <c r="H460" s="72">
        <f t="shared" si="4"/>
        <v>105</v>
      </c>
      <c r="I460" s="73" t="s">
        <v>1583</v>
      </c>
      <c r="J460" s="75"/>
      <c r="K460" s="73"/>
      <c r="L460" s="75"/>
      <c r="M460" s="75"/>
      <c r="N460" s="75"/>
      <c r="O460" s="75"/>
      <c r="P460" s="75"/>
      <c r="Q460" s="75"/>
      <c r="R460" s="75"/>
      <c r="S460" s="75"/>
      <c r="T460" s="75"/>
      <c r="U460" s="75"/>
      <c r="V460" s="75"/>
      <c r="W460" s="75"/>
      <c r="X460" s="75"/>
      <c r="Y460" s="75"/>
      <c r="Z460" s="75"/>
    </row>
    <row r="461">
      <c r="A461" s="91">
        <v>17822.0</v>
      </c>
      <c r="B461" s="90" t="s">
        <v>1584</v>
      </c>
      <c r="C461" s="91">
        <v>2021.0</v>
      </c>
      <c r="D461" s="90" t="s">
        <v>1147</v>
      </c>
      <c r="E461" s="90" t="s">
        <v>1585</v>
      </c>
      <c r="F461" s="101" t="s">
        <v>1586</v>
      </c>
      <c r="G461" s="93">
        <v>46120.0</v>
      </c>
      <c r="H461" s="94">
        <f t="shared" si="4"/>
        <v>105</v>
      </c>
      <c r="I461" s="95" t="s">
        <v>1587</v>
      </c>
      <c r="J461" s="98"/>
      <c r="K461" s="95"/>
      <c r="L461" s="98"/>
      <c r="M461" s="98"/>
      <c r="N461" s="98"/>
      <c r="O461" s="98"/>
      <c r="P461" s="98"/>
      <c r="Q461" s="98"/>
      <c r="R461" s="98"/>
      <c r="S461" s="98"/>
      <c r="T461" s="98"/>
      <c r="U461" s="98"/>
      <c r="V461" s="98"/>
      <c r="W461" s="98"/>
      <c r="X461" s="98"/>
      <c r="Y461" s="98"/>
      <c r="Z461" s="98"/>
    </row>
    <row r="462">
      <c r="A462" s="69">
        <v>18319.0</v>
      </c>
      <c r="B462" s="68" t="s">
        <v>1588</v>
      </c>
      <c r="C462" s="69">
        <v>2015.0</v>
      </c>
      <c r="D462" s="68" t="s">
        <v>40</v>
      </c>
      <c r="E462" s="68" t="s">
        <v>235</v>
      </c>
      <c r="F462" s="70" t="s">
        <v>1589</v>
      </c>
      <c r="G462" s="71">
        <v>46199.0</v>
      </c>
      <c r="H462" s="72">
        <f t="shared" si="4"/>
        <v>25</v>
      </c>
      <c r="I462" s="73" t="s">
        <v>1590</v>
      </c>
      <c r="J462" s="74">
        <v>46224.0</v>
      </c>
      <c r="K462" s="73"/>
      <c r="L462" s="75"/>
      <c r="M462" s="75"/>
      <c r="N462" s="75"/>
      <c r="O462" s="75"/>
      <c r="P462" s="75"/>
      <c r="Q462" s="75"/>
      <c r="R462" s="75"/>
      <c r="S462" s="75"/>
      <c r="T462" s="75"/>
      <c r="U462" s="75"/>
      <c r="V462" s="75"/>
      <c r="W462" s="75"/>
      <c r="X462" s="75"/>
      <c r="Y462" s="75"/>
      <c r="Z462" s="75"/>
    </row>
    <row r="463">
      <c r="A463" s="91">
        <v>17825.0</v>
      </c>
      <c r="B463" s="90" t="s">
        <v>1591</v>
      </c>
      <c r="C463" s="91">
        <v>2015.0</v>
      </c>
      <c r="D463" s="90" t="s">
        <v>1177</v>
      </c>
      <c r="E463" s="90" t="s">
        <v>1110</v>
      </c>
      <c r="F463" s="101" t="s">
        <v>1592</v>
      </c>
      <c r="G463" s="93">
        <v>46120.0</v>
      </c>
      <c r="H463" s="94">
        <f t="shared" si="4"/>
        <v>105</v>
      </c>
      <c r="I463" s="95" t="s">
        <v>1593</v>
      </c>
      <c r="J463" s="98"/>
      <c r="K463" s="95"/>
      <c r="L463" s="98"/>
      <c r="M463" s="98"/>
      <c r="N463" s="98"/>
      <c r="O463" s="98"/>
      <c r="P463" s="98"/>
      <c r="Q463" s="98"/>
      <c r="R463" s="98"/>
      <c r="S463" s="98"/>
      <c r="T463" s="98"/>
      <c r="U463" s="98"/>
      <c r="V463" s="98"/>
      <c r="W463" s="98"/>
      <c r="X463" s="98"/>
      <c r="Y463" s="98"/>
      <c r="Z463" s="98"/>
    </row>
    <row r="464">
      <c r="A464" s="69">
        <v>18173.0</v>
      </c>
      <c r="B464" s="68" t="s">
        <v>1594</v>
      </c>
      <c r="C464" s="69">
        <v>2022.0</v>
      </c>
      <c r="D464" s="68" t="s">
        <v>40</v>
      </c>
      <c r="E464" s="68" t="s">
        <v>173</v>
      </c>
      <c r="F464" s="70" t="s">
        <v>65</v>
      </c>
      <c r="G464" s="71">
        <v>46174.0</v>
      </c>
      <c r="H464" s="72">
        <f t="shared" si="4"/>
        <v>43</v>
      </c>
      <c r="I464" s="73" t="s">
        <v>1595</v>
      </c>
      <c r="J464" s="74">
        <v>46217.0</v>
      </c>
      <c r="K464" s="73"/>
      <c r="L464" s="75"/>
      <c r="M464" s="103"/>
      <c r="N464" s="103"/>
      <c r="O464" s="103"/>
      <c r="P464" s="103"/>
      <c r="Q464" s="103"/>
      <c r="R464" s="103"/>
      <c r="S464" s="103"/>
      <c r="T464" s="103"/>
      <c r="U464" s="103"/>
      <c r="V464" s="103"/>
      <c r="W464" s="103"/>
      <c r="X464" s="103"/>
      <c r="Y464" s="103"/>
      <c r="Z464" s="103"/>
    </row>
    <row r="465">
      <c r="A465" s="91">
        <v>17831.0</v>
      </c>
      <c r="B465" s="90" t="s">
        <v>1596</v>
      </c>
      <c r="C465" s="91">
        <v>2019.0</v>
      </c>
      <c r="D465" s="90" t="s">
        <v>1597</v>
      </c>
      <c r="E465" s="90" t="s">
        <v>1598</v>
      </c>
      <c r="F465" s="101" t="s">
        <v>1599</v>
      </c>
      <c r="G465" s="93">
        <v>46121.0</v>
      </c>
      <c r="H465" s="94">
        <f t="shared" si="4"/>
        <v>28</v>
      </c>
      <c r="I465" s="95" t="s">
        <v>1600</v>
      </c>
      <c r="J465" s="96">
        <v>46149.0</v>
      </c>
      <c r="K465" s="95"/>
      <c r="L465" s="98"/>
      <c r="M465" s="98"/>
      <c r="N465" s="98"/>
      <c r="O465" s="98"/>
      <c r="P465" s="98"/>
      <c r="Q465" s="98"/>
      <c r="R465" s="98"/>
      <c r="S465" s="98"/>
      <c r="T465" s="98"/>
      <c r="U465" s="98"/>
      <c r="V465" s="98"/>
      <c r="W465" s="98"/>
      <c r="X465" s="98"/>
      <c r="Y465" s="98"/>
      <c r="Z465" s="98"/>
    </row>
    <row r="466">
      <c r="A466" s="69">
        <v>17832.0</v>
      </c>
      <c r="B466" s="68" t="s">
        <v>1601</v>
      </c>
      <c r="C466" s="114"/>
      <c r="D466" s="68" t="s">
        <v>1597</v>
      </c>
      <c r="E466" s="68" t="s">
        <v>1602</v>
      </c>
      <c r="F466" s="70" t="s">
        <v>1603</v>
      </c>
      <c r="G466" s="71">
        <v>46121.0</v>
      </c>
      <c r="H466" s="72">
        <f t="shared" si="4"/>
        <v>13</v>
      </c>
      <c r="I466" s="73" t="s">
        <v>1604</v>
      </c>
      <c r="J466" s="74">
        <v>46134.0</v>
      </c>
      <c r="K466" s="73"/>
      <c r="L466" s="75"/>
      <c r="M466" s="75"/>
      <c r="N466" s="75"/>
      <c r="O466" s="75"/>
      <c r="P466" s="75"/>
      <c r="Q466" s="75"/>
      <c r="R466" s="75"/>
      <c r="S466" s="75"/>
      <c r="T466" s="75"/>
      <c r="U466" s="75"/>
      <c r="V466" s="75"/>
      <c r="W466" s="75"/>
      <c r="X466" s="75"/>
      <c r="Y466" s="75"/>
      <c r="Z466" s="75"/>
    </row>
    <row r="467">
      <c r="A467" s="91">
        <v>17833.0</v>
      </c>
      <c r="B467" s="90" t="s">
        <v>1605</v>
      </c>
      <c r="C467" s="91">
        <v>2022.0</v>
      </c>
      <c r="D467" s="90" t="s">
        <v>1270</v>
      </c>
      <c r="E467" s="90" t="s">
        <v>1148</v>
      </c>
      <c r="F467" s="101" t="s">
        <v>1606</v>
      </c>
      <c r="G467" s="93">
        <v>46121.0</v>
      </c>
      <c r="H467" s="94">
        <f t="shared" si="4"/>
        <v>1</v>
      </c>
      <c r="I467" s="95" t="s">
        <v>1607</v>
      </c>
      <c r="J467" s="96">
        <v>46122.0</v>
      </c>
      <c r="K467" s="95"/>
      <c r="L467" s="98"/>
      <c r="M467" s="98"/>
      <c r="N467" s="98"/>
      <c r="O467" s="98"/>
      <c r="P467" s="98"/>
      <c r="Q467" s="98"/>
      <c r="R467" s="98"/>
      <c r="S467" s="98"/>
      <c r="T467" s="98"/>
      <c r="U467" s="98"/>
      <c r="V467" s="98"/>
      <c r="W467" s="98"/>
      <c r="X467" s="98"/>
      <c r="Y467" s="98"/>
      <c r="Z467" s="98"/>
    </row>
    <row r="468">
      <c r="A468" s="69">
        <v>17834.0</v>
      </c>
      <c r="B468" s="68" t="s">
        <v>1608</v>
      </c>
      <c r="C468" s="69">
        <v>2021.0</v>
      </c>
      <c r="D468" s="68" t="s">
        <v>1270</v>
      </c>
      <c r="E468" s="68" t="s">
        <v>907</v>
      </c>
      <c r="F468" s="70" t="s">
        <v>1609</v>
      </c>
      <c r="G468" s="71">
        <v>46121.0</v>
      </c>
      <c r="H468" s="72">
        <f t="shared" si="4"/>
        <v>1</v>
      </c>
      <c r="I468" s="73" t="s">
        <v>1610</v>
      </c>
      <c r="J468" s="74">
        <v>46122.0</v>
      </c>
      <c r="K468" s="73"/>
      <c r="L468" s="75"/>
      <c r="M468" s="75"/>
      <c r="N468" s="75"/>
      <c r="O468" s="75"/>
      <c r="P468" s="75"/>
      <c r="Q468" s="75"/>
      <c r="R468" s="75"/>
      <c r="S468" s="75"/>
      <c r="T468" s="75"/>
      <c r="U468" s="75"/>
      <c r="V468" s="75"/>
      <c r="W468" s="75"/>
      <c r="X468" s="75"/>
      <c r="Y468" s="75"/>
      <c r="Z468" s="75"/>
    </row>
    <row r="469">
      <c r="A469" s="91">
        <v>17837.0</v>
      </c>
      <c r="B469" s="90" t="s">
        <v>1611</v>
      </c>
      <c r="C469" s="91">
        <v>2014.0</v>
      </c>
      <c r="D469" s="90" t="s">
        <v>251</v>
      </c>
      <c r="E469" s="90" t="s">
        <v>21</v>
      </c>
      <c r="F469" s="101" t="s">
        <v>1612</v>
      </c>
      <c r="G469" s="93">
        <v>46121.0</v>
      </c>
      <c r="H469" s="94">
        <f t="shared" si="4"/>
        <v>0</v>
      </c>
      <c r="I469" s="95" t="s">
        <v>496</v>
      </c>
      <c r="J469" s="96">
        <v>46121.0</v>
      </c>
      <c r="K469" s="95"/>
      <c r="L469" s="98"/>
      <c r="M469" s="98"/>
      <c r="N469" s="98"/>
      <c r="O469" s="98"/>
      <c r="P469" s="98"/>
      <c r="Q469" s="98"/>
      <c r="R469" s="98"/>
      <c r="S469" s="98"/>
      <c r="T469" s="98"/>
      <c r="U469" s="98"/>
      <c r="V469" s="98"/>
      <c r="W469" s="98"/>
      <c r="X469" s="98"/>
      <c r="Y469" s="98"/>
      <c r="Z469" s="98"/>
    </row>
    <row r="470">
      <c r="A470" s="69">
        <v>17840.0</v>
      </c>
      <c r="B470" s="68" t="s">
        <v>1613</v>
      </c>
      <c r="C470" s="69">
        <v>2017.0</v>
      </c>
      <c r="D470" s="68" t="s">
        <v>182</v>
      </c>
      <c r="E470" s="68" t="s">
        <v>277</v>
      </c>
      <c r="F470" s="70" t="s">
        <v>226</v>
      </c>
      <c r="G470" s="71">
        <v>46121.0</v>
      </c>
      <c r="H470" s="72">
        <f t="shared" si="4"/>
        <v>32</v>
      </c>
      <c r="I470" s="73" t="s">
        <v>1151</v>
      </c>
      <c r="J470" s="74">
        <v>46153.0</v>
      </c>
      <c r="K470" s="73" t="s">
        <v>1152</v>
      </c>
      <c r="L470" s="103">
        <v>65583.0</v>
      </c>
      <c r="M470" s="103"/>
      <c r="N470" s="103"/>
      <c r="O470" s="103"/>
      <c r="P470" s="103"/>
      <c r="Q470" s="103"/>
      <c r="R470" s="103"/>
      <c r="S470" s="103"/>
      <c r="T470" s="103"/>
      <c r="U470" s="103"/>
      <c r="V470" s="103"/>
      <c r="W470" s="103"/>
      <c r="X470" s="103"/>
      <c r="Y470" s="103"/>
      <c r="Z470" s="103"/>
    </row>
    <row r="471">
      <c r="A471" s="91" t="s">
        <v>1614</v>
      </c>
      <c r="B471" s="90" t="s">
        <v>1615</v>
      </c>
      <c r="C471" s="91">
        <v>2015.0</v>
      </c>
      <c r="D471" s="90" t="s">
        <v>292</v>
      </c>
      <c r="E471" s="90" t="s">
        <v>106</v>
      </c>
      <c r="F471" s="101" t="s">
        <v>1616</v>
      </c>
      <c r="G471" s="93">
        <v>46121.0</v>
      </c>
      <c r="H471" s="94">
        <f t="shared" si="4"/>
        <v>1</v>
      </c>
      <c r="I471" s="95" t="s">
        <v>1617</v>
      </c>
      <c r="J471" s="96">
        <v>46122.0</v>
      </c>
      <c r="K471" s="95"/>
      <c r="L471" s="98"/>
      <c r="M471" s="98"/>
      <c r="N471" s="98"/>
      <c r="O471" s="98"/>
      <c r="P471" s="98"/>
      <c r="Q471" s="98"/>
      <c r="R471" s="98"/>
      <c r="S471" s="98"/>
      <c r="T471" s="98"/>
      <c r="U471" s="98"/>
      <c r="V471" s="98"/>
      <c r="W471" s="98"/>
      <c r="X471" s="98"/>
      <c r="Y471" s="98"/>
      <c r="Z471" s="98"/>
    </row>
    <row r="472">
      <c r="A472" s="69">
        <v>17805.0</v>
      </c>
      <c r="B472" s="68" t="s">
        <v>1618</v>
      </c>
      <c r="C472" s="69">
        <v>2020.0</v>
      </c>
      <c r="D472" s="68" t="s">
        <v>927</v>
      </c>
      <c r="E472" s="68" t="s">
        <v>459</v>
      </c>
      <c r="F472" s="70" t="s">
        <v>1619</v>
      </c>
      <c r="G472" s="71">
        <v>46118.0</v>
      </c>
      <c r="H472" s="72">
        <f t="shared" si="4"/>
        <v>99</v>
      </c>
      <c r="I472" s="73" t="s">
        <v>1620</v>
      </c>
      <c r="J472" s="74">
        <v>46217.0</v>
      </c>
      <c r="K472" s="73" t="s">
        <v>31</v>
      </c>
      <c r="L472" s="103">
        <v>15123.0</v>
      </c>
      <c r="M472" s="103"/>
      <c r="N472" s="103"/>
      <c r="O472" s="103"/>
      <c r="P472" s="103"/>
      <c r="Q472" s="103"/>
      <c r="R472" s="103"/>
      <c r="S472" s="103"/>
      <c r="T472" s="103"/>
      <c r="U472" s="103"/>
      <c r="V472" s="103"/>
      <c r="W472" s="103"/>
      <c r="X472" s="103"/>
      <c r="Y472" s="103"/>
      <c r="Z472" s="103"/>
    </row>
    <row r="473">
      <c r="A473" s="91">
        <v>17841.0</v>
      </c>
      <c r="B473" s="90" t="s">
        <v>717</v>
      </c>
      <c r="C473" s="91">
        <v>2022.0</v>
      </c>
      <c r="D473" s="90" t="s">
        <v>718</v>
      </c>
      <c r="E473" s="90" t="s">
        <v>99</v>
      </c>
      <c r="F473" s="101" t="s">
        <v>719</v>
      </c>
      <c r="G473" s="93">
        <v>46122.0</v>
      </c>
      <c r="H473" s="94">
        <f t="shared" si="4"/>
        <v>103</v>
      </c>
      <c r="I473" s="95" t="s">
        <v>1621</v>
      </c>
      <c r="J473" s="98"/>
      <c r="K473" s="95"/>
      <c r="L473" s="98"/>
      <c r="M473" s="98"/>
      <c r="N473" s="98"/>
      <c r="O473" s="98"/>
      <c r="P473" s="98"/>
      <c r="Q473" s="98"/>
      <c r="R473" s="98"/>
      <c r="S473" s="98"/>
      <c r="T473" s="98"/>
      <c r="U473" s="98"/>
      <c r="V473" s="98"/>
      <c r="W473" s="98"/>
      <c r="X473" s="98"/>
      <c r="Y473" s="98"/>
      <c r="Z473" s="98"/>
    </row>
    <row r="474">
      <c r="A474" s="69">
        <v>18373.0</v>
      </c>
      <c r="B474" s="68" t="s">
        <v>1622</v>
      </c>
      <c r="C474" s="69">
        <v>2022.0</v>
      </c>
      <c r="D474" s="68" t="s">
        <v>40</v>
      </c>
      <c r="E474" s="68" t="s">
        <v>866</v>
      </c>
      <c r="F474" s="70" t="s">
        <v>1623</v>
      </c>
      <c r="G474" s="71">
        <v>46211.0</v>
      </c>
      <c r="H474" s="72">
        <f t="shared" si="4"/>
        <v>6</v>
      </c>
      <c r="I474" s="73" t="s">
        <v>1624</v>
      </c>
      <c r="J474" s="74">
        <v>46217.0</v>
      </c>
      <c r="K474" s="73"/>
      <c r="L474" s="75"/>
      <c r="M474" s="103"/>
      <c r="N474" s="103"/>
      <c r="O474" s="103"/>
      <c r="P474" s="103"/>
      <c r="Q474" s="103"/>
      <c r="R474" s="103"/>
      <c r="S474" s="103"/>
      <c r="T474" s="103"/>
      <c r="U474" s="103"/>
      <c r="V474" s="103"/>
      <c r="W474" s="103"/>
      <c r="X474" s="103"/>
      <c r="Y474" s="103"/>
      <c r="Z474" s="103"/>
    </row>
    <row r="475">
      <c r="A475" s="91">
        <v>17844.0</v>
      </c>
      <c r="B475" s="90" t="s">
        <v>1625</v>
      </c>
      <c r="C475" s="91">
        <v>2022.0</v>
      </c>
      <c r="D475" s="90" t="s">
        <v>239</v>
      </c>
      <c r="E475" s="90" t="s">
        <v>1626</v>
      </c>
      <c r="F475" s="101" t="s">
        <v>1627</v>
      </c>
      <c r="G475" s="93">
        <v>46122.0</v>
      </c>
      <c r="H475" s="94">
        <f t="shared" si="4"/>
        <v>0</v>
      </c>
      <c r="I475" s="95" t="s">
        <v>496</v>
      </c>
      <c r="J475" s="96">
        <v>46122.0</v>
      </c>
      <c r="K475" s="95"/>
      <c r="L475" s="98"/>
      <c r="M475" s="98"/>
      <c r="N475" s="98"/>
      <c r="O475" s="98"/>
      <c r="P475" s="98"/>
      <c r="Q475" s="98"/>
      <c r="R475" s="98"/>
      <c r="S475" s="98"/>
      <c r="T475" s="98"/>
      <c r="U475" s="98"/>
      <c r="V475" s="98"/>
      <c r="W475" s="98"/>
      <c r="X475" s="98"/>
      <c r="Y475" s="98"/>
      <c r="Z475" s="98"/>
    </row>
    <row r="476">
      <c r="A476" s="91">
        <v>17845.0</v>
      </c>
      <c r="B476" s="90" t="s">
        <v>1099</v>
      </c>
      <c r="C476" s="91">
        <v>2022.0</v>
      </c>
      <c r="D476" s="90" t="s">
        <v>724</v>
      </c>
      <c r="E476" s="90" t="s">
        <v>1628</v>
      </c>
      <c r="F476" s="101" t="s">
        <v>1100</v>
      </c>
      <c r="G476" s="93">
        <v>46122.0</v>
      </c>
      <c r="H476" s="94">
        <f t="shared" si="4"/>
        <v>0</v>
      </c>
      <c r="I476" s="95" t="s">
        <v>1629</v>
      </c>
      <c r="J476" s="96">
        <v>46122.0</v>
      </c>
      <c r="K476" s="95"/>
      <c r="L476" s="98"/>
      <c r="M476" s="75"/>
      <c r="N476" s="75"/>
      <c r="O476" s="75"/>
      <c r="P476" s="75"/>
      <c r="Q476" s="75"/>
      <c r="R476" s="75"/>
      <c r="S476" s="75"/>
      <c r="T476" s="75"/>
      <c r="U476" s="75"/>
      <c r="V476" s="75"/>
      <c r="W476" s="75"/>
      <c r="X476" s="75"/>
      <c r="Y476" s="75"/>
      <c r="Z476" s="75"/>
    </row>
    <row r="477">
      <c r="A477" s="91">
        <v>17846.0</v>
      </c>
      <c r="B477" s="90" t="s">
        <v>1630</v>
      </c>
      <c r="C477" s="91">
        <v>2019.0</v>
      </c>
      <c r="D477" s="90" t="s">
        <v>1170</v>
      </c>
      <c r="E477" s="90" t="s">
        <v>1585</v>
      </c>
      <c r="F477" s="101" t="s">
        <v>1631</v>
      </c>
      <c r="G477" s="93">
        <v>46122.0</v>
      </c>
      <c r="H477" s="94">
        <f t="shared" si="4"/>
        <v>0</v>
      </c>
      <c r="I477" s="95" t="s">
        <v>1632</v>
      </c>
      <c r="J477" s="96">
        <v>46122.0</v>
      </c>
      <c r="K477" s="95"/>
      <c r="L477" s="98"/>
      <c r="M477" s="98"/>
      <c r="N477" s="98"/>
      <c r="O477" s="98"/>
      <c r="P477" s="98"/>
      <c r="Q477" s="98"/>
      <c r="R477" s="98"/>
      <c r="S477" s="98"/>
      <c r="T477" s="98"/>
      <c r="U477" s="98"/>
      <c r="V477" s="98"/>
      <c r="W477" s="98"/>
      <c r="X477" s="98"/>
      <c r="Y477" s="98"/>
      <c r="Z477" s="98"/>
    </row>
    <row r="478">
      <c r="A478" s="69" t="s">
        <v>1633</v>
      </c>
      <c r="B478" s="68" t="s">
        <v>1634</v>
      </c>
      <c r="C478" s="69">
        <v>2025.0</v>
      </c>
      <c r="D478" s="68" t="s">
        <v>1635</v>
      </c>
      <c r="E478" s="68" t="s">
        <v>70</v>
      </c>
      <c r="F478" s="70" t="s">
        <v>1636</v>
      </c>
      <c r="G478" s="71">
        <v>46122.0</v>
      </c>
      <c r="H478" s="72">
        <f t="shared" si="4"/>
        <v>12</v>
      </c>
      <c r="I478" s="73" t="s">
        <v>1637</v>
      </c>
      <c r="J478" s="74">
        <v>46134.0</v>
      </c>
      <c r="K478" s="73"/>
      <c r="L478" s="75"/>
      <c r="M478" s="75"/>
      <c r="N478" s="75"/>
      <c r="O478" s="75"/>
      <c r="P478" s="75"/>
      <c r="Q478" s="75"/>
      <c r="R478" s="75"/>
      <c r="S478" s="75"/>
      <c r="T478" s="75"/>
      <c r="U478" s="75"/>
      <c r="V478" s="75"/>
      <c r="W478" s="75"/>
      <c r="X478" s="75"/>
      <c r="Y478" s="75"/>
      <c r="Z478" s="75"/>
    </row>
    <row r="479">
      <c r="A479" s="91">
        <v>17850.0</v>
      </c>
      <c r="B479" s="90" t="s">
        <v>1638</v>
      </c>
      <c r="C479" s="91">
        <v>2019.0</v>
      </c>
      <c r="D479" s="90" t="s">
        <v>1430</v>
      </c>
      <c r="E479" s="90" t="s">
        <v>1639</v>
      </c>
      <c r="F479" s="101" t="s">
        <v>1640</v>
      </c>
      <c r="G479" s="93">
        <v>46125.0</v>
      </c>
      <c r="H479" s="94">
        <f t="shared" si="4"/>
        <v>0</v>
      </c>
      <c r="I479" s="95" t="s">
        <v>496</v>
      </c>
      <c r="J479" s="96">
        <v>46125.0</v>
      </c>
      <c r="K479" s="95"/>
      <c r="L479" s="98"/>
      <c r="M479" s="98"/>
      <c r="N479" s="98"/>
      <c r="O479" s="98"/>
      <c r="P479" s="98"/>
      <c r="Q479" s="98"/>
      <c r="R479" s="98"/>
      <c r="S479" s="98"/>
      <c r="T479" s="98"/>
      <c r="U479" s="98"/>
      <c r="V479" s="98"/>
      <c r="W479" s="98"/>
      <c r="X479" s="98"/>
      <c r="Y479" s="98"/>
      <c r="Z479" s="98"/>
    </row>
    <row r="480">
      <c r="A480" s="69">
        <v>17851.0</v>
      </c>
      <c r="B480" s="68" t="s">
        <v>1641</v>
      </c>
      <c r="C480" s="69">
        <v>2017.0</v>
      </c>
      <c r="D480" s="68" t="s">
        <v>40</v>
      </c>
      <c r="E480" s="68" t="s">
        <v>1639</v>
      </c>
      <c r="F480" s="70" t="s">
        <v>1642</v>
      </c>
      <c r="G480" s="71">
        <v>46125.0</v>
      </c>
      <c r="H480" s="72">
        <f t="shared" si="4"/>
        <v>0</v>
      </c>
      <c r="I480" s="73" t="s">
        <v>496</v>
      </c>
      <c r="J480" s="74">
        <v>46125.0</v>
      </c>
      <c r="K480" s="73"/>
      <c r="L480" s="75"/>
      <c r="M480" s="75"/>
      <c r="N480" s="75"/>
      <c r="O480" s="75"/>
      <c r="P480" s="75"/>
      <c r="Q480" s="75"/>
      <c r="R480" s="75"/>
      <c r="S480" s="75"/>
      <c r="T480" s="75"/>
      <c r="U480" s="75"/>
      <c r="V480" s="75"/>
      <c r="W480" s="75"/>
      <c r="X480" s="75"/>
      <c r="Y480" s="75"/>
      <c r="Z480" s="75"/>
    </row>
    <row r="481">
      <c r="A481" s="91">
        <v>17855.0</v>
      </c>
      <c r="B481" s="90" t="s">
        <v>1643</v>
      </c>
      <c r="C481" s="91">
        <v>2021.0</v>
      </c>
      <c r="D481" s="90" t="s">
        <v>292</v>
      </c>
      <c r="E481" s="90" t="s">
        <v>912</v>
      </c>
      <c r="F481" s="101" t="s">
        <v>1644</v>
      </c>
      <c r="G481" s="93">
        <v>46125.0</v>
      </c>
      <c r="H481" s="94">
        <f t="shared" si="4"/>
        <v>0</v>
      </c>
      <c r="I481" s="95" t="s">
        <v>1645</v>
      </c>
      <c r="J481" s="96">
        <v>46125.0</v>
      </c>
      <c r="K481" s="95"/>
      <c r="L481" s="98"/>
      <c r="M481" s="98"/>
      <c r="N481" s="98"/>
      <c r="O481" s="98"/>
      <c r="P481" s="98"/>
      <c r="Q481" s="98"/>
      <c r="R481" s="98"/>
      <c r="S481" s="98"/>
      <c r="T481" s="98"/>
      <c r="U481" s="98"/>
      <c r="V481" s="98"/>
      <c r="W481" s="98"/>
      <c r="X481" s="98"/>
      <c r="Y481" s="98"/>
      <c r="Z481" s="98"/>
    </row>
    <row r="482">
      <c r="A482" s="69">
        <v>17856.0</v>
      </c>
      <c r="B482" s="68" t="s">
        <v>450</v>
      </c>
      <c r="C482" s="69">
        <v>2019.0</v>
      </c>
      <c r="D482" s="68" t="s">
        <v>1646</v>
      </c>
      <c r="E482" s="68" t="s">
        <v>70</v>
      </c>
      <c r="F482" s="70" t="s">
        <v>453</v>
      </c>
      <c r="G482" s="71">
        <v>46125.0</v>
      </c>
      <c r="H482" s="72">
        <f t="shared" si="4"/>
        <v>0</v>
      </c>
      <c r="I482" s="73" t="s">
        <v>1647</v>
      </c>
      <c r="J482" s="74">
        <v>46125.0</v>
      </c>
      <c r="K482" s="73"/>
      <c r="L482" s="75"/>
      <c r="M482" s="75"/>
      <c r="N482" s="75"/>
      <c r="O482" s="75"/>
      <c r="P482" s="75"/>
      <c r="Q482" s="75"/>
      <c r="R482" s="75"/>
      <c r="S482" s="75"/>
      <c r="T482" s="75"/>
      <c r="U482" s="75"/>
      <c r="V482" s="75"/>
      <c r="W482" s="75"/>
      <c r="X482" s="75"/>
      <c r="Y482" s="75"/>
      <c r="Z482" s="75"/>
    </row>
    <row r="483">
      <c r="A483" s="91">
        <v>17857.0</v>
      </c>
      <c r="B483" s="90" t="s">
        <v>1648</v>
      </c>
      <c r="C483" s="91">
        <v>2014.0</v>
      </c>
      <c r="D483" s="90" t="s">
        <v>251</v>
      </c>
      <c r="E483" s="90" t="s">
        <v>368</v>
      </c>
      <c r="F483" s="101" t="s">
        <v>1649</v>
      </c>
      <c r="G483" s="93">
        <v>46125.0</v>
      </c>
      <c r="H483" s="94">
        <f t="shared" si="4"/>
        <v>0</v>
      </c>
      <c r="I483" s="95" t="s">
        <v>1650</v>
      </c>
      <c r="J483" s="96">
        <v>46125.0</v>
      </c>
      <c r="K483" s="95"/>
      <c r="L483" s="98"/>
      <c r="M483" s="98"/>
      <c r="N483" s="98"/>
      <c r="O483" s="98"/>
      <c r="P483" s="98"/>
      <c r="Q483" s="98"/>
      <c r="R483" s="98"/>
      <c r="S483" s="98"/>
      <c r="T483" s="98"/>
      <c r="U483" s="98"/>
      <c r="V483" s="98"/>
      <c r="W483" s="98"/>
      <c r="X483" s="98"/>
      <c r="Y483" s="98"/>
      <c r="Z483" s="98"/>
    </row>
    <row r="484">
      <c r="A484" s="69">
        <v>17858.0</v>
      </c>
      <c r="B484" s="68" t="s">
        <v>965</v>
      </c>
      <c r="C484" s="69">
        <v>2022.0</v>
      </c>
      <c r="D484" s="68" t="s">
        <v>40</v>
      </c>
      <c r="E484" s="68" t="s">
        <v>368</v>
      </c>
      <c r="F484" s="70" t="s">
        <v>966</v>
      </c>
      <c r="G484" s="71">
        <v>46125.0</v>
      </c>
      <c r="H484" s="72">
        <f t="shared" si="4"/>
        <v>0</v>
      </c>
      <c r="I484" s="73" t="s">
        <v>1651</v>
      </c>
      <c r="J484" s="74">
        <v>46125.0</v>
      </c>
      <c r="K484" s="73"/>
      <c r="L484" s="75"/>
      <c r="M484" s="103"/>
      <c r="N484" s="103"/>
      <c r="O484" s="103"/>
      <c r="P484" s="103"/>
      <c r="Q484" s="103"/>
      <c r="R484" s="103"/>
      <c r="S484" s="103"/>
      <c r="T484" s="103"/>
      <c r="U484" s="103"/>
      <c r="V484" s="103"/>
      <c r="W484" s="103"/>
      <c r="X484" s="103"/>
      <c r="Y484" s="103"/>
      <c r="Z484" s="103"/>
    </row>
    <row r="485">
      <c r="A485" s="91">
        <v>17859.0</v>
      </c>
      <c r="B485" s="90" t="s">
        <v>1005</v>
      </c>
      <c r="C485" s="91">
        <v>2022.0</v>
      </c>
      <c r="D485" s="90" t="s">
        <v>40</v>
      </c>
      <c r="E485" s="90" t="s">
        <v>207</v>
      </c>
      <c r="F485" s="101" t="s">
        <v>1006</v>
      </c>
      <c r="G485" s="93">
        <v>46125.0</v>
      </c>
      <c r="H485" s="94">
        <f t="shared" si="4"/>
        <v>100</v>
      </c>
      <c r="I485" s="95" t="s">
        <v>1652</v>
      </c>
      <c r="J485" s="98"/>
      <c r="K485" s="95"/>
      <c r="L485" s="98"/>
      <c r="M485" s="98"/>
      <c r="N485" s="98"/>
      <c r="O485" s="98"/>
      <c r="P485" s="98"/>
      <c r="Q485" s="98"/>
      <c r="R485" s="98"/>
      <c r="S485" s="98"/>
      <c r="T485" s="98"/>
      <c r="U485" s="98"/>
      <c r="V485" s="98"/>
      <c r="W485" s="98"/>
      <c r="X485" s="98"/>
      <c r="Y485" s="98"/>
      <c r="Z485" s="98"/>
    </row>
    <row r="486">
      <c r="A486" s="69">
        <v>17806.0</v>
      </c>
      <c r="B486" s="68" t="s">
        <v>1653</v>
      </c>
      <c r="C486" s="69">
        <v>2019.0</v>
      </c>
      <c r="D486" s="68" t="s">
        <v>1597</v>
      </c>
      <c r="E486" s="68" t="s">
        <v>459</v>
      </c>
      <c r="F486" s="70"/>
      <c r="G486" s="71">
        <v>46126.0</v>
      </c>
      <c r="H486" s="72">
        <f t="shared" si="4"/>
        <v>9</v>
      </c>
      <c r="I486" s="73" t="s">
        <v>1654</v>
      </c>
      <c r="J486" s="74">
        <v>46135.0</v>
      </c>
      <c r="K486" s="73"/>
      <c r="L486" s="75"/>
      <c r="M486" s="75"/>
      <c r="N486" s="75"/>
      <c r="O486" s="75"/>
      <c r="P486" s="75"/>
      <c r="Q486" s="75"/>
      <c r="R486" s="75"/>
      <c r="S486" s="75"/>
      <c r="T486" s="75"/>
      <c r="U486" s="75"/>
      <c r="V486" s="75"/>
      <c r="W486" s="75"/>
      <c r="X486" s="75"/>
      <c r="Y486" s="75"/>
      <c r="Z486" s="75"/>
    </row>
    <row r="487">
      <c r="A487" s="91">
        <v>17863.0</v>
      </c>
      <c r="B487" s="90" t="s">
        <v>471</v>
      </c>
      <c r="C487" s="91">
        <v>2022.0</v>
      </c>
      <c r="D487" s="90" t="s">
        <v>1655</v>
      </c>
      <c r="E487" s="90" t="s">
        <v>82</v>
      </c>
      <c r="F487" s="115" t="s">
        <v>472</v>
      </c>
      <c r="G487" s="93">
        <v>46126.0</v>
      </c>
      <c r="H487" s="94">
        <f t="shared" si="4"/>
        <v>22</v>
      </c>
      <c r="I487" s="95" t="s">
        <v>1656</v>
      </c>
      <c r="J487" s="96">
        <v>46148.0</v>
      </c>
      <c r="K487" s="95" t="s">
        <v>31</v>
      </c>
      <c r="L487" s="97">
        <v>66228.0</v>
      </c>
      <c r="M487" s="97"/>
      <c r="N487" s="97"/>
      <c r="O487" s="97"/>
      <c r="P487" s="97"/>
      <c r="Q487" s="97"/>
      <c r="R487" s="97"/>
      <c r="S487" s="97"/>
      <c r="T487" s="97"/>
      <c r="U487" s="97"/>
      <c r="V487" s="97"/>
      <c r="W487" s="97"/>
      <c r="X487" s="97"/>
      <c r="Y487" s="97"/>
      <c r="Z487" s="97"/>
    </row>
    <row r="488">
      <c r="A488" s="69">
        <v>17864.0</v>
      </c>
      <c r="B488" s="68" t="s">
        <v>1657</v>
      </c>
      <c r="C488" s="69">
        <v>2022.0</v>
      </c>
      <c r="D488" s="68" t="s">
        <v>1655</v>
      </c>
      <c r="E488" s="68" t="s">
        <v>82</v>
      </c>
      <c r="F488" s="116" t="s">
        <v>1658</v>
      </c>
      <c r="G488" s="71">
        <v>46126.0</v>
      </c>
      <c r="H488" s="72">
        <f t="shared" si="4"/>
        <v>0</v>
      </c>
      <c r="I488" s="73" t="s">
        <v>1659</v>
      </c>
      <c r="J488" s="74">
        <v>46126.0</v>
      </c>
      <c r="K488" s="73"/>
      <c r="L488" s="75"/>
      <c r="M488" s="75"/>
      <c r="N488" s="75"/>
      <c r="O488" s="75"/>
      <c r="P488" s="75"/>
      <c r="Q488" s="75"/>
      <c r="R488" s="75"/>
      <c r="S488" s="75"/>
      <c r="T488" s="75"/>
      <c r="U488" s="75"/>
      <c r="V488" s="75"/>
      <c r="W488" s="75"/>
      <c r="X488" s="75"/>
      <c r="Y488" s="75"/>
      <c r="Z488" s="75"/>
    </row>
    <row r="489">
      <c r="A489" s="89">
        <v>17867.0</v>
      </c>
      <c r="B489" s="90" t="s">
        <v>1660</v>
      </c>
      <c r="C489" s="91">
        <v>2022.0</v>
      </c>
      <c r="D489" s="90" t="s">
        <v>724</v>
      </c>
      <c r="E489" s="90" t="s">
        <v>1332</v>
      </c>
      <c r="F489" s="101" t="s">
        <v>1661</v>
      </c>
      <c r="G489" s="93">
        <v>46126.0</v>
      </c>
      <c r="H489" s="94">
        <f t="shared" si="4"/>
        <v>0</v>
      </c>
      <c r="I489" s="95" t="s">
        <v>1131</v>
      </c>
      <c r="J489" s="96">
        <v>46126.0</v>
      </c>
      <c r="K489" s="95"/>
      <c r="L489" s="98"/>
      <c r="M489" s="98"/>
      <c r="N489" s="98"/>
      <c r="O489" s="98"/>
      <c r="P489" s="98"/>
      <c r="Q489" s="98"/>
      <c r="R489" s="98"/>
      <c r="S489" s="98"/>
      <c r="T489" s="98"/>
      <c r="U489" s="98"/>
      <c r="V489" s="98"/>
      <c r="W489" s="98"/>
      <c r="X489" s="98"/>
      <c r="Y489" s="98"/>
      <c r="Z489" s="98"/>
    </row>
    <row r="490">
      <c r="A490" s="69">
        <v>17868.0</v>
      </c>
      <c r="B490" s="68" t="s">
        <v>1662</v>
      </c>
      <c r="C490" s="69">
        <v>2022.0</v>
      </c>
      <c r="D490" s="68" t="s">
        <v>911</v>
      </c>
      <c r="E490" s="68" t="s">
        <v>1663</v>
      </c>
      <c r="F490" s="70" t="s">
        <v>1664</v>
      </c>
      <c r="G490" s="71">
        <v>46126.0</v>
      </c>
      <c r="H490" s="72">
        <f t="shared" si="4"/>
        <v>0</v>
      </c>
      <c r="I490" s="73" t="s">
        <v>1665</v>
      </c>
      <c r="J490" s="74">
        <v>46126.0</v>
      </c>
      <c r="K490" s="73"/>
      <c r="L490" s="75"/>
      <c r="M490" s="75"/>
      <c r="N490" s="75"/>
      <c r="O490" s="75"/>
      <c r="P490" s="75"/>
      <c r="Q490" s="75"/>
      <c r="R490" s="75"/>
      <c r="S490" s="75"/>
      <c r="T490" s="75"/>
      <c r="U490" s="75"/>
      <c r="V490" s="75"/>
      <c r="W490" s="75"/>
      <c r="X490" s="75"/>
      <c r="Y490" s="75"/>
      <c r="Z490" s="75"/>
    </row>
    <row r="491">
      <c r="A491" s="91">
        <v>17869.0</v>
      </c>
      <c r="B491" s="90" t="s">
        <v>1666</v>
      </c>
      <c r="C491" s="91">
        <v>2022.0</v>
      </c>
      <c r="D491" s="90" t="s">
        <v>911</v>
      </c>
      <c r="E491" s="90" t="s">
        <v>1663</v>
      </c>
      <c r="F491" s="101" t="s">
        <v>1667</v>
      </c>
      <c r="G491" s="93">
        <v>46126.0</v>
      </c>
      <c r="H491" s="94">
        <f t="shared" si="4"/>
        <v>0</v>
      </c>
      <c r="I491" s="95" t="s">
        <v>1668</v>
      </c>
      <c r="J491" s="96">
        <v>46126.0</v>
      </c>
      <c r="K491" s="95"/>
      <c r="L491" s="98"/>
      <c r="M491" s="98"/>
      <c r="N491" s="98"/>
      <c r="O491" s="98"/>
      <c r="P491" s="98"/>
      <c r="Q491" s="98"/>
      <c r="R491" s="98"/>
      <c r="S491" s="98"/>
      <c r="T491" s="98"/>
      <c r="U491" s="98"/>
      <c r="V491" s="98"/>
      <c r="W491" s="98"/>
      <c r="X491" s="98"/>
      <c r="Y491" s="98"/>
      <c r="Z491" s="98"/>
    </row>
    <row r="492">
      <c r="A492" s="69">
        <v>17873.0</v>
      </c>
      <c r="B492" s="68" t="s">
        <v>1669</v>
      </c>
      <c r="C492" s="69">
        <v>2015.0</v>
      </c>
      <c r="D492" s="68" t="s">
        <v>1411</v>
      </c>
      <c r="E492" s="68" t="s">
        <v>70</v>
      </c>
      <c r="F492" s="70" t="s">
        <v>1670</v>
      </c>
      <c r="G492" s="71">
        <v>46126.0</v>
      </c>
      <c r="H492" s="72">
        <f t="shared" si="4"/>
        <v>91</v>
      </c>
      <c r="I492" s="73" t="s">
        <v>1671</v>
      </c>
      <c r="J492" s="74">
        <v>46217.0</v>
      </c>
      <c r="K492" s="73" t="s">
        <v>31</v>
      </c>
      <c r="L492" s="103">
        <v>14064.0</v>
      </c>
      <c r="M492" s="103"/>
      <c r="N492" s="103"/>
      <c r="O492" s="103"/>
      <c r="P492" s="103"/>
      <c r="Q492" s="103"/>
      <c r="R492" s="103"/>
      <c r="S492" s="103"/>
      <c r="T492" s="103"/>
      <c r="U492" s="103"/>
      <c r="V492" s="103"/>
      <c r="W492" s="103"/>
      <c r="X492" s="103"/>
      <c r="Y492" s="103"/>
      <c r="Z492" s="103"/>
    </row>
    <row r="493">
      <c r="A493" s="91">
        <v>17874.0</v>
      </c>
      <c r="B493" s="90" t="s">
        <v>1672</v>
      </c>
      <c r="C493" s="91">
        <v>2022.0</v>
      </c>
      <c r="D493" s="90" t="s">
        <v>1270</v>
      </c>
      <c r="E493" s="90" t="s">
        <v>1673</v>
      </c>
      <c r="F493" s="101" t="s">
        <v>1674</v>
      </c>
      <c r="G493" s="93">
        <v>46126.0</v>
      </c>
      <c r="H493" s="94">
        <f t="shared" si="4"/>
        <v>1</v>
      </c>
      <c r="I493" s="95" t="s">
        <v>1675</v>
      </c>
      <c r="J493" s="96">
        <v>46127.0</v>
      </c>
      <c r="K493" s="95"/>
      <c r="L493" s="98"/>
      <c r="M493" s="98"/>
      <c r="N493" s="98"/>
      <c r="O493" s="98"/>
      <c r="P493" s="98"/>
      <c r="Q493" s="98"/>
      <c r="R493" s="98"/>
      <c r="S493" s="98"/>
      <c r="T493" s="98"/>
      <c r="U493" s="98"/>
      <c r="V493" s="98"/>
      <c r="W493" s="98"/>
      <c r="X493" s="98"/>
      <c r="Y493" s="98"/>
      <c r="Z493" s="98"/>
    </row>
    <row r="494">
      <c r="A494" s="69" t="s">
        <v>1676</v>
      </c>
      <c r="B494" s="68" t="s">
        <v>1677</v>
      </c>
      <c r="C494" s="69">
        <v>2023.0</v>
      </c>
      <c r="D494" s="68" t="s">
        <v>1678</v>
      </c>
      <c r="E494" s="68" t="s">
        <v>1679</v>
      </c>
      <c r="F494" s="70" t="s">
        <v>1680</v>
      </c>
      <c r="G494" s="71">
        <v>46126.0</v>
      </c>
      <c r="H494" s="72">
        <f t="shared" si="4"/>
        <v>24</v>
      </c>
      <c r="I494" s="73" t="s">
        <v>1681</v>
      </c>
      <c r="J494" s="74">
        <v>46150.0</v>
      </c>
      <c r="K494" s="73"/>
      <c r="L494" s="75"/>
      <c r="M494" s="75"/>
      <c r="N494" s="75"/>
      <c r="O494" s="75"/>
      <c r="P494" s="75"/>
      <c r="Q494" s="75"/>
      <c r="R494" s="75"/>
      <c r="S494" s="75"/>
      <c r="T494" s="75"/>
      <c r="U494" s="75"/>
      <c r="V494" s="75"/>
      <c r="W494" s="75"/>
      <c r="X494" s="75"/>
      <c r="Y494" s="75"/>
      <c r="Z494" s="75"/>
    </row>
    <row r="495">
      <c r="A495" s="91">
        <v>18309.0</v>
      </c>
      <c r="B495" s="90" t="s">
        <v>1682</v>
      </c>
      <c r="C495" s="91">
        <v>2019.0</v>
      </c>
      <c r="D495" s="90" t="s">
        <v>182</v>
      </c>
      <c r="E495" s="90" t="s">
        <v>143</v>
      </c>
      <c r="F495" s="101" t="s">
        <v>1683</v>
      </c>
      <c r="G495" s="93">
        <v>46197.0</v>
      </c>
      <c r="H495" s="94">
        <f t="shared" si="4"/>
        <v>28</v>
      </c>
      <c r="I495" s="95" t="s">
        <v>1684</v>
      </c>
      <c r="J495" s="96"/>
      <c r="K495" s="95"/>
      <c r="L495" s="98"/>
      <c r="M495" s="98"/>
      <c r="N495" s="98"/>
      <c r="O495" s="98"/>
      <c r="P495" s="98"/>
      <c r="Q495" s="98"/>
      <c r="R495" s="98"/>
      <c r="S495" s="98"/>
      <c r="T495" s="98"/>
      <c r="U495" s="98"/>
      <c r="V495" s="98"/>
      <c r="W495" s="98"/>
      <c r="X495" s="98"/>
      <c r="Y495" s="98"/>
      <c r="Z495" s="98"/>
    </row>
    <row r="496">
      <c r="A496" s="69">
        <v>17876.0</v>
      </c>
      <c r="B496" s="68" t="s">
        <v>413</v>
      </c>
      <c r="C496" s="69">
        <v>2018.0</v>
      </c>
      <c r="D496" s="68" t="s">
        <v>182</v>
      </c>
      <c r="E496" s="68" t="s">
        <v>368</v>
      </c>
      <c r="F496" s="70"/>
      <c r="G496" s="71">
        <v>46127.0</v>
      </c>
      <c r="H496" s="72">
        <f t="shared" si="4"/>
        <v>98</v>
      </c>
      <c r="I496" s="73" t="s">
        <v>1685</v>
      </c>
      <c r="J496" s="74"/>
      <c r="K496" s="73"/>
      <c r="L496" s="75"/>
      <c r="M496" s="75"/>
      <c r="N496" s="75"/>
      <c r="O496" s="75"/>
      <c r="P496" s="75"/>
      <c r="Q496" s="75"/>
      <c r="R496" s="75"/>
      <c r="S496" s="75"/>
      <c r="T496" s="75"/>
      <c r="U496" s="75"/>
      <c r="V496" s="75"/>
      <c r="W496" s="75"/>
      <c r="X496" s="75"/>
      <c r="Y496" s="75"/>
      <c r="Z496" s="75"/>
    </row>
    <row r="497">
      <c r="A497" s="91">
        <v>17877.0</v>
      </c>
      <c r="B497" s="90" t="s">
        <v>417</v>
      </c>
      <c r="C497" s="91">
        <v>2022.0</v>
      </c>
      <c r="D497" s="90" t="s">
        <v>40</v>
      </c>
      <c r="E497" s="90" t="s">
        <v>418</v>
      </c>
      <c r="F497" s="101" t="s">
        <v>419</v>
      </c>
      <c r="G497" s="93">
        <v>46127.0</v>
      </c>
      <c r="H497" s="94">
        <f t="shared" si="4"/>
        <v>98</v>
      </c>
      <c r="I497" s="95" t="s">
        <v>1686</v>
      </c>
      <c r="J497" s="96"/>
      <c r="K497" s="95" t="s">
        <v>84</v>
      </c>
      <c r="L497" s="97">
        <v>110317.0</v>
      </c>
      <c r="M497" s="98"/>
      <c r="N497" s="98"/>
      <c r="O497" s="98"/>
      <c r="P497" s="98"/>
      <c r="Q497" s="98"/>
      <c r="R497" s="98"/>
      <c r="S497" s="98"/>
      <c r="T497" s="98"/>
      <c r="U497" s="98"/>
      <c r="V497" s="98"/>
      <c r="W497" s="98"/>
      <c r="X497" s="98"/>
      <c r="Y497" s="98"/>
      <c r="Z497" s="98"/>
    </row>
    <row r="498">
      <c r="A498" s="69">
        <v>17878.0</v>
      </c>
      <c r="B498" s="68" t="s">
        <v>1687</v>
      </c>
      <c r="C498" s="69">
        <v>2022.0</v>
      </c>
      <c r="D498" s="68" t="s">
        <v>1688</v>
      </c>
      <c r="E498" s="68" t="s">
        <v>70</v>
      </c>
      <c r="F498" s="70" t="s">
        <v>1689</v>
      </c>
      <c r="G498" s="71">
        <v>46128.0</v>
      </c>
      <c r="H498" s="72">
        <f t="shared" si="4"/>
        <v>36</v>
      </c>
      <c r="I498" s="73" t="s">
        <v>1690</v>
      </c>
      <c r="J498" s="74">
        <v>46164.0</v>
      </c>
      <c r="K498" s="73" t="s">
        <v>31</v>
      </c>
      <c r="L498" s="73">
        <v>12368.0</v>
      </c>
      <c r="M498" s="73"/>
      <c r="N498" s="73"/>
      <c r="O498" s="73"/>
      <c r="P498" s="73"/>
      <c r="Q498" s="73"/>
      <c r="R498" s="73"/>
      <c r="S498" s="73"/>
      <c r="T498" s="73"/>
      <c r="U498" s="73"/>
      <c r="V498" s="73"/>
      <c r="W498" s="73"/>
      <c r="X498" s="73"/>
      <c r="Y498" s="73"/>
      <c r="Z498" s="73"/>
    </row>
    <row r="499">
      <c r="A499" s="91">
        <v>17881.0</v>
      </c>
      <c r="B499" s="90" t="s">
        <v>1691</v>
      </c>
      <c r="C499" s="91">
        <v>2022.0</v>
      </c>
      <c r="D499" s="90" t="s">
        <v>239</v>
      </c>
      <c r="E499" s="90" t="s">
        <v>1692</v>
      </c>
      <c r="F499" s="101" t="s">
        <v>1693</v>
      </c>
      <c r="G499" s="93">
        <v>46128.0</v>
      </c>
      <c r="H499" s="94">
        <f t="shared" si="4"/>
        <v>7</v>
      </c>
      <c r="I499" s="95" t="s">
        <v>1694</v>
      </c>
      <c r="J499" s="96">
        <v>46135.0</v>
      </c>
      <c r="K499" s="95"/>
      <c r="L499" s="98"/>
      <c r="M499" s="98"/>
      <c r="N499" s="98"/>
      <c r="O499" s="98"/>
      <c r="P499" s="98"/>
      <c r="Q499" s="98"/>
      <c r="R499" s="98"/>
      <c r="S499" s="98"/>
      <c r="T499" s="98"/>
      <c r="U499" s="98"/>
      <c r="V499" s="98"/>
      <c r="W499" s="98"/>
      <c r="X499" s="98"/>
      <c r="Y499" s="98"/>
      <c r="Z499" s="98"/>
    </row>
    <row r="500">
      <c r="A500" s="69">
        <v>17882.0</v>
      </c>
      <c r="B500" s="68" t="s">
        <v>609</v>
      </c>
      <c r="C500" s="69">
        <v>2022.0</v>
      </c>
      <c r="D500" s="68" t="s">
        <v>40</v>
      </c>
      <c r="E500" s="68" t="s">
        <v>610</v>
      </c>
      <c r="F500" s="70" t="s">
        <v>611</v>
      </c>
      <c r="G500" s="71">
        <v>46128.0</v>
      </c>
      <c r="H500" s="72">
        <f t="shared" si="4"/>
        <v>0</v>
      </c>
      <c r="I500" s="73" t="s">
        <v>1695</v>
      </c>
      <c r="J500" s="74">
        <v>46128.0</v>
      </c>
      <c r="K500" s="73"/>
      <c r="L500" s="75"/>
      <c r="M500" s="75"/>
      <c r="N500" s="75"/>
      <c r="O500" s="75"/>
      <c r="P500" s="75"/>
      <c r="Q500" s="75"/>
      <c r="R500" s="75"/>
      <c r="S500" s="75"/>
      <c r="T500" s="75"/>
      <c r="U500" s="75"/>
      <c r="V500" s="75"/>
      <c r="W500" s="75"/>
      <c r="X500" s="75"/>
      <c r="Y500" s="75"/>
      <c r="Z500" s="75"/>
    </row>
    <row r="501">
      <c r="A501" s="91">
        <v>17883.0</v>
      </c>
      <c r="B501" s="90" t="s">
        <v>1696</v>
      </c>
      <c r="C501" s="91">
        <v>2022.0</v>
      </c>
      <c r="D501" s="90" t="s">
        <v>20</v>
      </c>
      <c r="E501" s="90" t="s">
        <v>1697</v>
      </c>
      <c r="F501" s="101" t="s">
        <v>1698</v>
      </c>
      <c r="G501" s="93">
        <v>46128.0</v>
      </c>
      <c r="H501" s="94">
        <f t="shared" si="4"/>
        <v>0</v>
      </c>
      <c r="I501" s="95" t="s">
        <v>496</v>
      </c>
      <c r="J501" s="96">
        <v>46128.0</v>
      </c>
      <c r="K501" s="95"/>
      <c r="L501" s="98"/>
      <c r="M501" s="98"/>
      <c r="N501" s="98"/>
      <c r="O501" s="98"/>
      <c r="P501" s="98"/>
      <c r="Q501" s="98"/>
      <c r="R501" s="98"/>
      <c r="S501" s="98"/>
      <c r="T501" s="98"/>
      <c r="U501" s="98"/>
      <c r="V501" s="98"/>
      <c r="W501" s="98"/>
      <c r="X501" s="98"/>
      <c r="Y501" s="98"/>
      <c r="Z501" s="98"/>
    </row>
    <row r="502">
      <c r="A502" s="69">
        <v>17884.0</v>
      </c>
      <c r="B502" s="68" t="s">
        <v>1699</v>
      </c>
      <c r="C502" s="69">
        <v>2022.0</v>
      </c>
      <c r="D502" s="68" t="s">
        <v>292</v>
      </c>
      <c r="E502" s="68" t="s">
        <v>1700</v>
      </c>
      <c r="F502" s="70">
        <v>94001.0</v>
      </c>
      <c r="G502" s="71">
        <v>46128.0</v>
      </c>
      <c r="H502" s="72">
        <f t="shared" si="4"/>
        <v>0</v>
      </c>
      <c r="I502" s="73" t="s">
        <v>1701</v>
      </c>
      <c r="J502" s="74">
        <v>46128.0</v>
      </c>
      <c r="K502" s="73"/>
      <c r="L502" s="75"/>
      <c r="M502" s="75"/>
      <c r="N502" s="75"/>
      <c r="O502" s="75"/>
      <c r="P502" s="75"/>
      <c r="Q502" s="75"/>
      <c r="R502" s="75"/>
      <c r="S502" s="75"/>
      <c r="T502" s="75"/>
      <c r="U502" s="75"/>
      <c r="V502" s="75"/>
      <c r="W502" s="75"/>
      <c r="X502" s="75"/>
      <c r="Y502" s="75"/>
      <c r="Z502" s="75"/>
    </row>
    <row r="503">
      <c r="A503" s="91">
        <v>17885.0</v>
      </c>
      <c r="B503" s="90" t="s">
        <v>1702</v>
      </c>
      <c r="C503" s="91">
        <v>2015.0</v>
      </c>
      <c r="D503" s="90" t="s">
        <v>1018</v>
      </c>
      <c r="E503" s="90" t="s">
        <v>70</v>
      </c>
      <c r="F503" s="101" t="s">
        <v>1703</v>
      </c>
      <c r="G503" s="93">
        <v>46128.0</v>
      </c>
      <c r="H503" s="94">
        <f t="shared" si="4"/>
        <v>97</v>
      </c>
      <c r="I503" s="95" t="s">
        <v>1704</v>
      </c>
      <c r="J503" s="98"/>
      <c r="K503" s="95"/>
      <c r="L503" s="98"/>
      <c r="M503" s="98"/>
      <c r="N503" s="98"/>
      <c r="O503" s="98"/>
      <c r="P503" s="98"/>
      <c r="Q503" s="98"/>
      <c r="R503" s="98"/>
      <c r="S503" s="98"/>
      <c r="T503" s="98"/>
      <c r="U503" s="98"/>
      <c r="V503" s="98"/>
      <c r="W503" s="98"/>
      <c r="X503" s="98"/>
      <c r="Y503" s="98"/>
      <c r="Z503" s="98"/>
    </row>
    <row r="504">
      <c r="A504" s="69">
        <v>17887.0</v>
      </c>
      <c r="B504" s="68" t="s">
        <v>1705</v>
      </c>
      <c r="C504" s="69">
        <v>2019.0</v>
      </c>
      <c r="D504" s="68" t="s">
        <v>911</v>
      </c>
      <c r="E504" s="68" t="s">
        <v>1425</v>
      </c>
      <c r="F504" s="70" t="s">
        <v>1706</v>
      </c>
      <c r="G504" s="71">
        <v>46128.0</v>
      </c>
      <c r="H504" s="72">
        <f t="shared" si="4"/>
        <v>0</v>
      </c>
      <c r="I504" s="73" t="s">
        <v>1707</v>
      </c>
      <c r="J504" s="74">
        <v>46128.0</v>
      </c>
      <c r="K504" s="73"/>
      <c r="L504" s="75"/>
      <c r="M504" s="75"/>
      <c r="N504" s="75"/>
      <c r="O504" s="75"/>
      <c r="P504" s="75"/>
      <c r="Q504" s="75"/>
      <c r="R504" s="75"/>
      <c r="S504" s="75"/>
      <c r="T504" s="75"/>
      <c r="U504" s="75"/>
      <c r="V504" s="75"/>
      <c r="W504" s="75"/>
      <c r="X504" s="75"/>
      <c r="Y504" s="75"/>
      <c r="Z504" s="75"/>
    </row>
    <row r="505">
      <c r="A505" s="91">
        <v>17888.0</v>
      </c>
      <c r="B505" s="90" t="s">
        <v>1103</v>
      </c>
      <c r="C505" s="91">
        <v>2014.0</v>
      </c>
      <c r="D505" s="90" t="s">
        <v>1104</v>
      </c>
      <c r="E505" s="90" t="s">
        <v>70</v>
      </c>
      <c r="F505" s="101" t="s">
        <v>1105</v>
      </c>
      <c r="G505" s="93">
        <v>46128.0</v>
      </c>
      <c r="H505" s="94">
        <f t="shared" si="4"/>
        <v>22</v>
      </c>
      <c r="I505" s="95" t="s">
        <v>1708</v>
      </c>
      <c r="J505" s="96">
        <v>46150.0</v>
      </c>
      <c r="K505" s="95" t="s">
        <v>31</v>
      </c>
      <c r="L505" s="97">
        <v>15000.0</v>
      </c>
      <c r="M505" s="98"/>
      <c r="N505" s="98"/>
      <c r="O505" s="98"/>
      <c r="P505" s="98"/>
      <c r="Q505" s="98"/>
      <c r="R505" s="98"/>
      <c r="S505" s="98"/>
      <c r="T505" s="98"/>
      <c r="U505" s="98"/>
      <c r="V505" s="98"/>
      <c r="W505" s="98"/>
      <c r="X505" s="98"/>
      <c r="Y505" s="98"/>
      <c r="Z505" s="98"/>
    </row>
    <row r="506">
      <c r="A506" s="69" t="s">
        <v>1709</v>
      </c>
      <c r="B506" s="68" t="s">
        <v>502</v>
      </c>
      <c r="C506" s="69">
        <v>2023.0</v>
      </c>
      <c r="D506" s="68" t="s">
        <v>69</v>
      </c>
      <c r="E506" s="68" t="s">
        <v>70</v>
      </c>
      <c r="F506" s="70" t="s">
        <v>503</v>
      </c>
      <c r="G506" s="71">
        <v>46129.0</v>
      </c>
      <c r="H506" s="72">
        <f t="shared" si="4"/>
        <v>21</v>
      </c>
      <c r="I506" s="73" t="s">
        <v>1710</v>
      </c>
      <c r="J506" s="74">
        <v>46150.0</v>
      </c>
      <c r="K506" s="73"/>
      <c r="L506" s="75"/>
      <c r="M506" s="75"/>
      <c r="N506" s="75"/>
      <c r="O506" s="75"/>
      <c r="P506" s="75"/>
      <c r="Q506" s="75"/>
      <c r="R506" s="75"/>
      <c r="S506" s="75"/>
      <c r="T506" s="75"/>
      <c r="U506" s="75"/>
      <c r="V506" s="75"/>
      <c r="W506" s="75"/>
      <c r="X506" s="75"/>
      <c r="Y506" s="75"/>
      <c r="Z506" s="75"/>
    </row>
    <row r="507">
      <c r="A507" s="91">
        <v>17891.0</v>
      </c>
      <c r="B507" s="90" t="s">
        <v>1711</v>
      </c>
      <c r="C507" s="91">
        <v>2022.0</v>
      </c>
      <c r="D507" s="90" t="s">
        <v>977</v>
      </c>
      <c r="E507" s="90" t="s">
        <v>70</v>
      </c>
      <c r="F507" s="101" t="s">
        <v>1712</v>
      </c>
      <c r="G507" s="93">
        <v>46132.0</v>
      </c>
      <c r="H507" s="94">
        <f t="shared" si="4"/>
        <v>10</v>
      </c>
      <c r="I507" s="95" t="s">
        <v>1713</v>
      </c>
      <c r="J507" s="96">
        <v>46142.0</v>
      </c>
      <c r="K507" s="95"/>
      <c r="L507" s="98"/>
      <c r="M507" s="98"/>
      <c r="N507" s="98"/>
      <c r="O507" s="98"/>
      <c r="P507" s="98"/>
      <c r="Q507" s="98"/>
      <c r="R507" s="98"/>
      <c r="S507" s="98"/>
      <c r="T507" s="98"/>
      <c r="U507" s="98"/>
      <c r="V507" s="98"/>
      <c r="W507" s="98"/>
      <c r="X507" s="98"/>
      <c r="Y507" s="98"/>
      <c r="Z507" s="98"/>
    </row>
    <row r="508">
      <c r="A508" s="69">
        <v>17892.0</v>
      </c>
      <c r="B508" s="68" t="s">
        <v>1714</v>
      </c>
      <c r="C508" s="69">
        <v>2021.0</v>
      </c>
      <c r="D508" s="68" t="s">
        <v>1213</v>
      </c>
      <c r="E508" s="68" t="s">
        <v>70</v>
      </c>
      <c r="F508" s="70">
        <v>21205.0</v>
      </c>
      <c r="G508" s="71">
        <v>46132.0</v>
      </c>
      <c r="H508" s="72">
        <f t="shared" si="4"/>
        <v>12</v>
      </c>
      <c r="I508" s="73" t="s">
        <v>1715</v>
      </c>
      <c r="J508" s="74">
        <v>46144.0</v>
      </c>
      <c r="K508" s="73"/>
      <c r="L508" s="75"/>
      <c r="M508" s="75"/>
      <c r="N508" s="75"/>
      <c r="O508" s="75"/>
      <c r="P508" s="75"/>
      <c r="Q508" s="75"/>
      <c r="R508" s="75"/>
      <c r="S508" s="75"/>
      <c r="T508" s="75"/>
      <c r="U508" s="75"/>
      <c r="V508" s="75"/>
      <c r="W508" s="75"/>
      <c r="X508" s="75"/>
      <c r="Y508" s="75"/>
      <c r="Z508" s="75"/>
    </row>
    <row r="509">
      <c r="A509" s="91">
        <v>17893.0</v>
      </c>
      <c r="B509" s="90" t="s">
        <v>1716</v>
      </c>
      <c r="C509" s="91">
        <v>2014.0</v>
      </c>
      <c r="D509" s="90" t="s">
        <v>251</v>
      </c>
      <c r="E509" s="90" t="s">
        <v>70</v>
      </c>
      <c r="F509" s="101" t="s">
        <v>1717</v>
      </c>
      <c r="G509" s="93">
        <v>46133.0</v>
      </c>
      <c r="H509" s="94">
        <f t="shared" si="4"/>
        <v>1</v>
      </c>
      <c r="I509" s="95" t="s">
        <v>1718</v>
      </c>
      <c r="J509" s="96">
        <v>46134.0</v>
      </c>
      <c r="K509" s="95" t="s">
        <v>31</v>
      </c>
      <c r="L509" s="97">
        <v>186866.0</v>
      </c>
      <c r="M509" s="97"/>
      <c r="N509" s="97"/>
      <c r="O509" s="97"/>
      <c r="P509" s="97"/>
      <c r="Q509" s="97"/>
      <c r="R509" s="97"/>
      <c r="S509" s="97"/>
      <c r="T509" s="97"/>
      <c r="U509" s="97"/>
      <c r="V509" s="97"/>
      <c r="W509" s="97"/>
      <c r="X509" s="97"/>
      <c r="Y509" s="97"/>
      <c r="Z509" s="97"/>
    </row>
    <row r="510">
      <c r="A510" s="69">
        <v>17894.0</v>
      </c>
      <c r="B510" s="68" t="s">
        <v>1719</v>
      </c>
      <c r="C510" s="69">
        <v>2015.0</v>
      </c>
      <c r="D510" s="68" t="s">
        <v>1117</v>
      </c>
      <c r="E510" s="68" t="s">
        <v>70</v>
      </c>
      <c r="F510" s="70" t="s">
        <v>1720</v>
      </c>
      <c r="G510" s="71">
        <v>46134.0</v>
      </c>
      <c r="H510" s="72">
        <f t="shared" si="4"/>
        <v>20</v>
      </c>
      <c r="I510" s="73" t="s">
        <v>1151</v>
      </c>
      <c r="J510" s="74">
        <v>46154.0</v>
      </c>
      <c r="K510" s="73" t="s">
        <v>1152</v>
      </c>
      <c r="L510" s="103">
        <v>254768.0</v>
      </c>
      <c r="M510" s="103"/>
      <c r="N510" s="103"/>
      <c r="O510" s="103"/>
      <c r="P510" s="103"/>
      <c r="Q510" s="103"/>
      <c r="R510" s="103"/>
      <c r="S510" s="103"/>
      <c r="T510" s="103"/>
      <c r="U510" s="103"/>
      <c r="V510" s="103"/>
      <c r="W510" s="103"/>
      <c r="X510" s="103"/>
      <c r="Y510" s="103"/>
      <c r="Z510" s="103"/>
    </row>
    <row r="511">
      <c r="A511" s="91">
        <v>17895.0</v>
      </c>
      <c r="B511" s="90" t="s">
        <v>1721</v>
      </c>
      <c r="C511" s="91">
        <v>2022.0</v>
      </c>
      <c r="D511" s="90" t="s">
        <v>239</v>
      </c>
      <c r="E511" s="90" t="s">
        <v>725</v>
      </c>
      <c r="F511" s="101" t="s">
        <v>1722</v>
      </c>
      <c r="G511" s="93">
        <v>46134.0</v>
      </c>
      <c r="H511" s="94">
        <f t="shared" si="4"/>
        <v>0</v>
      </c>
      <c r="I511" s="95" t="s">
        <v>551</v>
      </c>
      <c r="J511" s="96">
        <v>46134.0</v>
      </c>
      <c r="K511" s="95" t="s">
        <v>31</v>
      </c>
      <c r="L511" s="97">
        <v>67753.0</v>
      </c>
      <c r="M511" s="97"/>
      <c r="N511" s="97"/>
      <c r="O511" s="97"/>
      <c r="P511" s="97"/>
      <c r="Q511" s="97"/>
      <c r="R511" s="97"/>
      <c r="S511" s="97"/>
      <c r="T511" s="97"/>
      <c r="U511" s="97"/>
      <c r="V511" s="97"/>
      <c r="W511" s="97"/>
      <c r="X511" s="97"/>
      <c r="Y511" s="97"/>
      <c r="Z511" s="97"/>
    </row>
    <row r="512">
      <c r="A512" s="69">
        <v>17897.0</v>
      </c>
      <c r="B512" s="68" t="s">
        <v>574</v>
      </c>
      <c r="C512" s="114"/>
      <c r="D512" s="68" t="s">
        <v>575</v>
      </c>
      <c r="E512" s="68" t="s">
        <v>329</v>
      </c>
      <c r="F512" s="70" t="s">
        <v>576</v>
      </c>
      <c r="G512" s="71">
        <v>46134.0</v>
      </c>
      <c r="H512" s="72">
        <f t="shared" si="4"/>
        <v>13</v>
      </c>
      <c r="I512" s="73" t="s">
        <v>1723</v>
      </c>
      <c r="J512" s="74">
        <v>46147.0</v>
      </c>
      <c r="K512" s="73"/>
      <c r="L512" s="75"/>
      <c r="M512" s="75"/>
      <c r="N512" s="75"/>
      <c r="O512" s="75"/>
      <c r="P512" s="75"/>
      <c r="Q512" s="75"/>
      <c r="R512" s="75"/>
      <c r="S512" s="75"/>
      <c r="T512" s="75"/>
      <c r="U512" s="75"/>
      <c r="V512" s="75"/>
      <c r="W512" s="75"/>
      <c r="X512" s="75"/>
      <c r="Y512" s="75"/>
      <c r="Z512" s="75"/>
    </row>
    <row r="513">
      <c r="A513" s="91">
        <v>17898.0</v>
      </c>
      <c r="B513" s="90" t="s">
        <v>1724</v>
      </c>
      <c r="C513" s="91">
        <v>2013.0</v>
      </c>
      <c r="D513" s="90" t="s">
        <v>1725</v>
      </c>
      <c r="E513" s="90" t="s">
        <v>47</v>
      </c>
      <c r="F513" s="101" t="s">
        <v>1726</v>
      </c>
      <c r="G513" s="93">
        <v>46134.0</v>
      </c>
      <c r="H513" s="94">
        <f t="shared" si="4"/>
        <v>34</v>
      </c>
      <c r="I513" s="95" t="s">
        <v>1727</v>
      </c>
      <c r="J513" s="96">
        <v>46168.0</v>
      </c>
      <c r="K513" s="95" t="s">
        <v>1152</v>
      </c>
      <c r="L513" s="97">
        <v>296722.0</v>
      </c>
      <c r="M513" s="98"/>
      <c r="N513" s="98"/>
      <c r="O513" s="98"/>
      <c r="P513" s="98"/>
      <c r="Q513" s="98"/>
      <c r="R513" s="98"/>
      <c r="S513" s="98"/>
      <c r="T513" s="98"/>
      <c r="U513" s="98"/>
      <c r="V513" s="98"/>
      <c r="W513" s="98"/>
      <c r="X513" s="98"/>
      <c r="Y513" s="98"/>
      <c r="Z513" s="98"/>
    </row>
    <row r="514">
      <c r="A514" s="69" t="s">
        <v>1728</v>
      </c>
      <c r="B514" s="68" t="s">
        <v>1729</v>
      </c>
      <c r="C514" s="69">
        <v>2026.0</v>
      </c>
      <c r="D514" s="68" t="s">
        <v>1635</v>
      </c>
      <c r="E514" s="68" t="s">
        <v>1730</v>
      </c>
      <c r="F514" s="88"/>
      <c r="G514" s="71">
        <v>46134.0</v>
      </c>
      <c r="H514" s="72">
        <f t="shared" si="4"/>
        <v>6</v>
      </c>
      <c r="I514" s="73" t="s">
        <v>1731</v>
      </c>
      <c r="J514" s="74">
        <v>46140.0</v>
      </c>
      <c r="K514" s="73"/>
      <c r="L514" s="75"/>
      <c r="M514" s="75"/>
      <c r="N514" s="75"/>
      <c r="O514" s="75"/>
      <c r="P514" s="75"/>
      <c r="Q514" s="75"/>
      <c r="R514" s="75"/>
      <c r="S514" s="75"/>
      <c r="T514" s="75"/>
      <c r="U514" s="75"/>
      <c r="V514" s="75"/>
      <c r="W514" s="75"/>
      <c r="X514" s="75"/>
      <c r="Y514" s="75"/>
      <c r="Z514" s="75"/>
    </row>
    <row r="515">
      <c r="A515" s="91">
        <v>17903.0</v>
      </c>
      <c r="B515" s="90" t="s">
        <v>1732</v>
      </c>
      <c r="C515" s="91">
        <v>2022.0</v>
      </c>
      <c r="D515" s="90" t="s">
        <v>40</v>
      </c>
      <c r="E515" s="90" t="s">
        <v>368</v>
      </c>
      <c r="F515" s="101" t="s">
        <v>1733</v>
      </c>
      <c r="G515" s="93">
        <v>46135.0</v>
      </c>
      <c r="H515" s="94">
        <f t="shared" si="4"/>
        <v>0</v>
      </c>
      <c r="I515" s="95" t="s">
        <v>1734</v>
      </c>
      <c r="J515" s="96">
        <v>46135.0</v>
      </c>
      <c r="K515" s="95"/>
      <c r="L515" s="98"/>
      <c r="M515" s="98"/>
      <c r="N515" s="98"/>
      <c r="O515" s="98"/>
      <c r="P515" s="98"/>
      <c r="Q515" s="98"/>
      <c r="R515" s="98"/>
      <c r="S515" s="98"/>
      <c r="T515" s="98"/>
      <c r="U515" s="98"/>
      <c r="V515" s="98"/>
      <c r="W515" s="98"/>
      <c r="X515" s="98"/>
      <c r="Y515" s="98"/>
      <c r="Z515" s="98"/>
    </row>
    <row r="516">
      <c r="A516" s="69">
        <v>17904.0</v>
      </c>
      <c r="B516" s="68" t="s">
        <v>341</v>
      </c>
      <c r="C516" s="69">
        <v>2022.0</v>
      </c>
      <c r="D516" s="68" t="s">
        <v>40</v>
      </c>
      <c r="E516" s="68" t="s">
        <v>82</v>
      </c>
      <c r="F516" s="70" t="s">
        <v>342</v>
      </c>
      <c r="G516" s="71">
        <v>46135.0</v>
      </c>
      <c r="H516" s="72">
        <f t="shared" si="4"/>
        <v>1</v>
      </c>
      <c r="I516" s="73" t="s">
        <v>1735</v>
      </c>
      <c r="J516" s="74">
        <v>46136.0</v>
      </c>
      <c r="K516" s="73" t="s">
        <v>84</v>
      </c>
      <c r="L516" s="103">
        <v>110263.0</v>
      </c>
      <c r="M516" s="75"/>
      <c r="N516" s="75"/>
      <c r="O516" s="75"/>
      <c r="P516" s="75"/>
      <c r="Q516" s="75"/>
      <c r="R516" s="75"/>
      <c r="S516" s="75"/>
      <c r="T516" s="75"/>
      <c r="U516" s="75"/>
      <c r="V516" s="75"/>
      <c r="W516" s="75"/>
      <c r="X516" s="75"/>
      <c r="Y516" s="75"/>
      <c r="Z516" s="75"/>
    </row>
    <row r="517">
      <c r="A517" s="91" t="s">
        <v>1736</v>
      </c>
      <c r="B517" s="90" t="s">
        <v>1737</v>
      </c>
      <c r="C517" s="91">
        <v>2017.0</v>
      </c>
      <c r="D517" s="90" t="s">
        <v>182</v>
      </c>
      <c r="E517" s="90" t="s">
        <v>1738</v>
      </c>
      <c r="F517" s="101" t="s">
        <v>1739</v>
      </c>
      <c r="G517" s="93">
        <v>46135.0</v>
      </c>
      <c r="H517" s="94">
        <f t="shared" si="4"/>
        <v>1</v>
      </c>
      <c r="I517" s="95" t="s">
        <v>1740</v>
      </c>
      <c r="J517" s="96">
        <v>46136.0</v>
      </c>
      <c r="K517" s="95"/>
      <c r="L517" s="98"/>
      <c r="M517" s="98"/>
      <c r="N517" s="98"/>
      <c r="O517" s="98"/>
      <c r="P517" s="98"/>
      <c r="Q517" s="98"/>
      <c r="R517" s="98"/>
      <c r="S517" s="98"/>
      <c r="T517" s="98"/>
      <c r="U517" s="98"/>
      <c r="V517" s="98"/>
      <c r="W517" s="98"/>
      <c r="X517" s="98"/>
      <c r="Y517" s="98"/>
      <c r="Z517" s="98"/>
    </row>
    <row r="518">
      <c r="A518" s="67">
        <v>17417.0</v>
      </c>
      <c r="B518" s="68" t="s">
        <v>244</v>
      </c>
      <c r="C518" s="69">
        <v>2022.0</v>
      </c>
      <c r="D518" s="68" t="s">
        <v>245</v>
      </c>
      <c r="E518" s="68" t="s">
        <v>28</v>
      </c>
      <c r="F518" s="70" t="s">
        <v>246</v>
      </c>
      <c r="G518" s="71">
        <v>46136.0</v>
      </c>
      <c r="H518" s="72">
        <f t="shared" si="4"/>
        <v>0</v>
      </c>
      <c r="I518" s="73" t="s">
        <v>1741</v>
      </c>
      <c r="J518" s="74">
        <v>46136.0</v>
      </c>
      <c r="K518" s="73"/>
      <c r="L518" s="75"/>
      <c r="M518" s="75"/>
      <c r="N518" s="75"/>
      <c r="O518" s="75"/>
      <c r="P518" s="75"/>
      <c r="Q518" s="75"/>
      <c r="R518" s="75"/>
      <c r="S518" s="75"/>
      <c r="T518" s="75"/>
      <c r="U518" s="75"/>
      <c r="V518" s="75"/>
      <c r="W518" s="75"/>
      <c r="X518" s="75"/>
      <c r="Y518" s="75"/>
      <c r="Z518" s="75"/>
    </row>
    <row r="519">
      <c r="A519" s="91" t="s">
        <v>1676</v>
      </c>
      <c r="B519" s="90" t="s">
        <v>1742</v>
      </c>
      <c r="C519" s="91">
        <v>2023.0</v>
      </c>
      <c r="D519" s="90" t="s">
        <v>1743</v>
      </c>
      <c r="E519" s="90" t="s">
        <v>1744</v>
      </c>
      <c r="F519" s="101" t="s">
        <v>1745</v>
      </c>
      <c r="G519" s="93">
        <v>46136.0</v>
      </c>
      <c r="H519" s="94">
        <f t="shared" si="4"/>
        <v>14</v>
      </c>
      <c r="I519" s="95" t="s">
        <v>1746</v>
      </c>
      <c r="J519" s="96">
        <v>46150.0</v>
      </c>
      <c r="K519" s="95"/>
      <c r="L519" s="98"/>
      <c r="M519" s="98"/>
      <c r="N519" s="98"/>
      <c r="O519" s="98"/>
      <c r="P519" s="98"/>
      <c r="Q519" s="98"/>
      <c r="R519" s="98"/>
      <c r="S519" s="98"/>
      <c r="T519" s="98"/>
      <c r="U519" s="98"/>
      <c r="V519" s="98"/>
      <c r="W519" s="98"/>
      <c r="X519" s="98"/>
      <c r="Y519" s="98"/>
      <c r="Z519" s="98"/>
    </row>
    <row r="520">
      <c r="A520" s="69" t="s">
        <v>1747</v>
      </c>
      <c r="B520" s="68" t="s">
        <v>910</v>
      </c>
      <c r="C520" s="69">
        <v>2018.0</v>
      </c>
      <c r="D520" s="68" t="s">
        <v>911</v>
      </c>
      <c r="E520" s="68" t="s">
        <v>912</v>
      </c>
      <c r="F520" s="70" t="s">
        <v>913</v>
      </c>
      <c r="G520" s="71">
        <v>46136.0</v>
      </c>
      <c r="H520" s="72">
        <f t="shared" si="4"/>
        <v>0</v>
      </c>
      <c r="I520" s="73" t="s">
        <v>1748</v>
      </c>
      <c r="J520" s="74">
        <v>46136.0</v>
      </c>
      <c r="K520" s="73"/>
      <c r="L520" s="75"/>
      <c r="M520" s="75"/>
      <c r="N520" s="75"/>
      <c r="O520" s="75"/>
      <c r="P520" s="75"/>
      <c r="Q520" s="75"/>
      <c r="R520" s="75"/>
      <c r="S520" s="75"/>
      <c r="T520" s="75"/>
      <c r="U520" s="75"/>
      <c r="V520" s="75"/>
      <c r="W520" s="75"/>
      <c r="X520" s="75"/>
      <c r="Y520" s="75"/>
      <c r="Z520" s="75"/>
    </row>
    <row r="521">
      <c r="A521" s="91" t="s">
        <v>712</v>
      </c>
      <c r="B521" s="90" t="s">
        <v>713</v>
      </c>
      <c r="C521" s="91">
        <v>2018.0</v>
      </c>
      <c r="D521" s="90" t="s">
        <v>40</v>
      </c>
      <c r="E521" s="90" t="s">
        <v>53</v>
      </c>
      <c r="F521" s="117">
        <v>46129.0</v>
      </c>
      <c r="G521" s="93">
        <v>46136.0</v>
      </c>
      <c r="H521" s="94">
        <f t="shared" si="4"/>
        <v>89</v>
      </c>
      <c r="I521" s="95" t="s">
        <v>1749</v>
      </c>
      <c r="J521" s="98"/>
      <c r="K521" s="95"/>
      <c r="L521" s="98"/>
      <c r="M521" s="98"/>
      <c r="N521" s="98"/>
      <c r="O521" s="98"/>
      <c r="P521" s="98"/>
      <c r="Q521" s="98"/>
      <c r="R521" s="98"/>
      <c r="S521" s="98"/>
      <c r="T521" s="98"/>
      <c r="U521" s="98"/>
      <c r="V521" s="98"/>
      <c r="W521" s="98"/>
      <c r="X521" s="98"/>
      <c r="Y521" s="98"/>
      <c r="Z521" s="98"/>
    </row>
    <row r="522">
      <c r="A522" s="69" t="s">
        <v>1750</v>
      </c>
      <c r="B522" s="68" t="s">
        <v>1751</v>
      </c>
      <c r="C522" s="69">
        <v>2010.0</v>
      </c>
      <c r="D522" s="68" t="s">
        <v>1752</v>
      </c>
      <c r="E522" s="68" t="s">
        <v>225</v>
      </c>
      <c r="F522" s="70" t="s">
        <v>83</v>
      </c>
      <c r="G522" s="71">
        <v>46136.0</v>
      </c>
      <c r="H522" s="72">
        <f t="shared" si="4"/>
        <v>52</v>
      </c>
      <c r="I522" s="73" t="s">
        <v>1753</v>
      </c>
      <c r="J522" s="74">
        <v>46188.0</v>
      </c>
      <c r="K522" s="73"/>
      <c r="L522" s="75"/>
      <c r="M522" s="75"/>
      <c r="N522" s="75"/>
      <c r="O522" s="75"/>
      <c r="P522" s="75"/>
      <c r="Q522" s="75"/>
      <c r="R522" s="75"/>
      <c r="S522" s="75"/>
      <c r="T522" s="75"/>
      <c r="U522" s="75"/>
      <c r="V522" s="75"/>
      <c r="W522" s="75"/>
      <c r="X522" s="75"/>
      <c r="Y522" s="75"/>
      <c r="Z522" s="75"/>
    </row>
    <row r="523">
      <c r="A523" s="91" t="s">
        <v>1754</v>
      </c>
      <c r="B523" s="90" t="s">
        <v>1755</v>
      </c>
      <c r="C523" s="91">
        <v>2022.0</v>
      </c>
      <c r="D523" s="90" t="s">
        <v>40</v>
      </c>
      <c r="E523" s="90" t="s">
        <v>582</v>
      </c>
      <c r="F523" s="101" t="s">
        <v>1756</v>
      </c>
      <c r="G523" s="93">
        <v>46136.0</v>
      </c>
      <c r="H523" s="94">
        <f t="shared" si="4"/>
        <v>0</v>
      </c>
      <c r="I523" s="95" t="s">
        <v>1757</v>
      </c>
      <c r="J523" s="96">
        <v>46136.0</v>
      </c>
      <c r="K523" s="95"/>
      <c r="L523" s="98"/>
      <c r="M523" s="98"/>
      <c r="N523" s="98"/>
      <c r="O523" s="98"/>
      <c r="P523" s="98"/>
      <c r="Q523" s="98"/>
      <c r="R523" s="98"/>
      <c r="S523" s="98"/>
      <c r="T523" s="98"/>
      <c r="U523" s="98"/>
      <c r="V523" s="98"/>
      <c r="W523" s="98"/>
      <c r="X523" s="98"/>
      <c r="Y523" s="98"/>
      <c r="Z523" s="98"/>
    </row>
    <row r="524">
      <c r="A524" s="69" t="s">
        <v>1758</v>
      </c>
      <c r="B524" s="68" t="s">
        <v>1759</v>
      </c>
      <c r="C524" s="69">
        <v>2017.0</v>
      </c>
      <c r="D524" s="68" t="s">
        <v>182</v>
      </c>
      <c r="E524" s="68" t="s">
        <v>47</v>
      </c>
      <c r="F524" s="70" t="s">
        <v>1760</v>
      </c>
      <c r="G524" s="71">
        <v>46136.0</v>
      </c>
      <c r="H524" s="72">
        <f t="shared" si="4"/>
        <v>20</v>
      </c>
      <c r="I524" s="73" t="s">
        <v>1761</v>
      </c>
      <c r="J524" s="74">
        <v>46156.0</v>
      </c>
      <c r="K524" s="73"/>
      <c r="L524" s="75"/>
      <c r="M524" s="75"/>
      <c r="N524" s="75"/>
      <c r="O524" s="75"/>
      <c r="P524" s="75"/>
      <c r="Q524" s="75"/>
      <c r="R524" s="75"/>
      <c r="S524" s="75"/>
      <c r="T524" s="75"/>
      <c r="U524" s="75"/>
      <c r="V524" s="75"/>
      <c r="W524" s="75"/>
      <c r="X524" s="75"/>
      <c r="Y524" s="75"/>
      <c r="Z524" s="75"/>
    </row>
    <row r="525">
      <c r="A525" s="91" t="s">
        <v>1762</v>
      </c>
      <c r="B525" s="90" t="s">
        <v>1763</v>
      </c>
      <c r="C525" s="91">
        <v>2016.0</v>
      </c>
      <c r="D525" s="90" t="s">
        <v>1597</v>
      </c>
      <c r="E525" s="90" t="s">
        <v>1764</v>
      </c>
      <c r="F525" s="101" t="s">
        <v>1765</v>
      </c>
      <c r="G525" s="93">
        <v>46136.0</v>
      </c>
      <c r="H525" s="94">
        <f t="shared" si="4"/>
        <v>14</v>
      </c>
      <c r="I525" s="95" t="s">
        <v>1766</v>
      </c>
      <c r="J525" s="96">
        <v>46150.0</v>
      </c>
      <c r="K525" s="95"/>
      <c r="L525" s="98"/>
      <c r="M525" s="98"/>
      <c r="N525" s="98"/>
      <c r="O525" s="98"/>
      <c r="P525" s="98"/>
      <c r="Q525" s="98"/>
      <c r="R525" s="98"/>
      <c r="S525" s="98"/>
      <c r="T525" s="98"/>
      <c r="U525" s="98"/>
      <c r="V525" s="98"/>
      <c r="W525" s="98"/>
      <c r="X525" s="98"/>
      <c r="Y525" s="98"/>
      <c r="Z525" s="98"/>
    </row>
    <row r="526">
      <c r="A526" s="69" t="s">
        <v>1767</v>
      </c>
      <c r="B526" s="68" t="s">
        <v>1768</v>
      </c>
      <c r="C526" s="69">
        <v>2016.0</v>
      </c>
      <c r="D526" s="68" t="s">
        <v>1597</v>
      </c>
      <c r="E526" s="68" t="s">
        <v>1769</v>
      </c>
      <c r="F526" s="70" t="s">
        <v>1770</v>
      </c>
      <c r="G526" s="71">
        <v>46136.0</v>
      </c>
      <c r="H526" s="72">
        <f t="shared" si="4"/>
        <v>12</v>
      </c>
      <c r="I526" s="73" t="s">
        <v>1771</v>
      </c>
      <c r="J526" s="74">
        <v>46148.0</v>
      </c>
      <c r="K526" s="73"/>
      <c r="L526" s="75"/>
      <c r="M526" s="75"/>
      <c r="N526" s="75"/>
      <c r="O526" s="75"/>
      <c r="P526" s="75"/>
      <c r="Q526" s="75"/>
      <c r="R526" s="75"/>
      <c r="S526" s="75"/>
      <c r="T526" s="75"/>
      <c r="U526" s="75"/>
      <c r="V526" s="75"/>
      <c r="W526" s="75"/>
      <c r="X526" s="75"/>
      <c r="Y526" s="75"/>
      <c r="Z526" s="75"/>
    </row>
    <row r="527">
      <c r="A527" s="91" t="s">
        <v>1772</v>
      </c>
      <c r="B527" s="90" t="s">
        <v>1773</v>
      </c>
      <c r="C527" s="91">
        <v>2018.0</v>
      </c>
      <c r="D527" s="90" t="s">
        <v>1597</v>
      </c>
      <c r="E527" s="90" t="s">
        <v>1774</v>
      </c>
      <c r="F527" s="101" t="s">
        <v>1775</v>
      </c>
      <c r="G527" s="93">
        <v>46136.0</v>
      </c>
      <c r="H527" s="94">
        <f t="shared" si="4"/>
        <v>12</v>
      </c>
      <c r="I527" s="95" t="s">
        <v>1776</v>
      </c>
      <c r="J527" s="96">
        <v>46148.0</v>
      </c>
      <c r="K527" s="95"/>
      <c r="L527" s="98"/>
      <c r="M527" s="98"/>
      <c r="N527" s="98"/>
      <c r="O527" s="98"/>
      <c r="P527" s="98"/>
      <c r="Q527" s="98"/>
      <c r="R527" s="98"/>
      <c r="S527" s="98"/>
      <c r="T527" s="98"/>
      <c r="U527" s="98"/>
      <c r="V527" s="98"/>
      <c r="W527" s="98"/>
      <c r="X527" s="98"/>
      <c r="Y527" s="98"/>
      <c r="Z527" s="98"/>
    </row>
    <row r="528">
      <c r="A528" s="69" t="s">
        <v>1777</v>
      </c>
      <c r="B528" s="68" t="s">
        <v>349</v>
      </c>
      <c r="C528" s="69">
        <v>2023.0</v>
      </c>
      <c r="D528" s="68" t="s">
        <v>40</v>
      </c>
      <c r="E528" s="68" t="s">
        <v>125</v>
      </c>
      <c r="F528" s="113">
        <v>46054.0</v>
      </c>
      <c r="G528" s="71">
        <v>46136.0</v>
      </c>
      <c r="H528" s="72">
        <f t="shared" si="4"/>
        <v>0</v>
      </c>
      <c r="I528" s="73" t="s">
        <v>1778</v>
      </c>
      <c r="J528" s="74">
        <v>46136.0</v>
      </c>
      <c r="K528" s="73" t="s">
        <v>31</v>
      </c>
      <c r="L528" s="103">
        <v>31287.0</v>
      </c>
      <c r="M528" s="75"/>
      <c r="N528" s="75"/>
      <c r="O528" s="75"/>
      <c r="P528" s="75"/>
      <c r="Q528" s="75"/>
      <c r="R528" s="75"/>
      <c r="S528" s="75"/>
      <c r="T528" s="75"/>
      <c r="U528" s="75"/>
      <c r="V528" s="75"/>
      <c r="W528" s="75"/>
      <c r="X528" s="75"/>
      <c r="Y528" s="75"/>
      <c r="Z528" s="75"/>
    </row>
    <row r="529">
      <c r="A529" s="91" t="s">
        <v>722</v>
      </c>
      <c r="B529" s="90" t="s">
        <v>723</v>
      </c>
      <c r="C529" s="91">
        <v>2017.0</v>
      </c>
      <c r="D529" s="90" t="s">
        <v>724</v>
      </c>
      <c r="E529" s="90" t="s">
        <v>725</v>
      </c>
      <c r="F529" s="101" t="s">
        <v>726</v>
      </c>
      <c r="G529" s="93">
        <v>46136.0</v>
      </c>
      <c r="H529" s="94">
        <f t="shared" si="4"/>
        <v>89</v>
      </c>
      <c r="I529" s="95" t="s">
        <v>1779</v>
      </c>
      <c r="J529" s="98"/>
      <c r="K529" s="95"/>
      <c r="L529" s="98"/>
      <c r="M529" s="98"/>
      <c r="N529" s="98"/>
      <c r="O529" s="98"/>
      <c r="P529" s="98"/>
      <c r="Q529" s="98"/>
      <c r="R529" s="98"/>
      <c r="S529" s="98"/>
      <c r="T529" s="98"/>
      <c r="U529" s="98"/>
      <c r="V529" s="98"/>
      <c r="W529" s="98"/>
      <c r="X529" s="98"/>
      <c r="Y529" s="98"/>
      <c r="Z529" s="98"/>
    </row>
    <row r="530">
      <c r="A530" s="69">
        <v>17917.0</v>
      </c>
      <c r="B530" s="68" t="s">
        <v>422</v>
      </c>
      <c r="C530" s="69">
        <v>2013.0</v>
      </c>
      <c r="D530" s="68" t="s">
        <v>27</v>
      </c>
      <c r="E530" s="68" t="s">
        <v>160</v>
      </c>
      <c r="F530" s="70" t="s">
        <v>423</v>
      </c>
      <c r="G530" s="71">
        <v>46139.0</v>
      </c>
      <c r="H530" s="72">
        <f t="shared" si="4"/>
        <v>86</v>
      </c>
      <c r="I530" s="73" t="s">
        <v>1780</v>
      </c>
      <c r="J530" s="74"/>
      <c r="K530" s="73"/>
      <c r="L530" s="75"/>
      <c r="M530" s="75"/>
      <c r="N530" s="75"/>
      <c r="O530" s="75"/>
      <c r="P530" s="75"/>
      <c r="Q530" s="75"/>
      <c r="R530" s="75"/>
      <c r="S530" s="75"/>
      <c r="T530" s="75"/>
      <c r="U530" s="75"/>
      <c r="V530" s="75"/>
      <c r="W530" s="75"/>
      <c r="X530" s="75"/>
      <c r="Y530" s="75"/>
      <c r="Z530" s="75"/>
    </row>
    <row r="531">
      <c r="A531" s="91">
        <v>17918.0</v>
      </c>
      <c r="B531" s="90" t="s">
        <v>104</v>
      </c>
      <c r="C531" s="91">
        <v>2013.0</v>
      </c>
      <c r="D531" s="90" t="s">
        <v>27</v>
      </c>
      <c r="E531" s="90" t="s">
        <v>106</v>
      </c>
      <c r="F531" s="101" t="s">
        <v>107</v>
      </c>
      <c r="G531" s="93">
        <v>46139.0</v>
      </c>
      <c r="H531" s="94">
        <f t="shared" si="4"/>
        <v>8</v>
      </c>
      <c r="I531" s="95" t="s">
        <v>1781</v>
      </c>
      <c r="J531" s="96">
        <v>46147.0</v>
      </c>
      <c r="K531" s="95" t="s">
        <v>31</v>
      </c>
      <c r="L531" s="97">
        <v>128890.0</v>
      </c>
      <c r="M531" s="97"/>
      <c r="N531" s="97"/>
      <c r="O531" s="97"/>
      <c r="P531" s="97"/>
      <c r="Q531" s="97"/>
      <c r="R531" s="97"/>
      <c r="S531" s="97"/>
      <c r="T531" s="97"/>
      <c r="U531" s="97"/>
      <c r="V531" s="97"/>
      <c r="W531" s="97"/>
      <c r="X531" s="97"/>
      <c r="Y531" s="97"/>
      <c r="Z531" s="97"/>
    </row>
    <row r="532">
      <c r="A532" s="69">
        <v>18368.0</v>
      </c>
      <c r="B532" s="68" t="s">
        <v>1782</v>
      </c>
      <c r="C532" s="69">
        <v>2018.0</v>
      </c>
      <c r="D532" s="68" t="s">
        <v>40</v>
      </c>
      <c r="E532" s="68" t="s">
        <v>53</v>
      </c>
      <c r="F532" s="113">
        <v>46343.0</v>
      </c>
      <c r="G532" s="71">
        <v>46210.0</v>
      </c>
      <c r="H532" s="72">
        <f t="shared" si="4"/>
        <v>15</v>
      </c>
      <c r="I532" s="73" t="s">
        <v>1783</v>
      </c>
      <c r="J532" s="74"/>
      <c r="K532" s="73"/>
      <c r="L532" s="75"/>
      <c r="M532" s="75"/>
      <c r="N532" s="75"/>
      <c r="O532" s="75"/>
      <c r="P532" s="75"/>
      <c r="Q532" s="75"/>
      <c r="R532" s="75"/>
      <c r="S532" s="75"/>
      <c r="T532" s="75"/>
      <c r="U532" s="75"/>
      <c r="V532" s="75"/>
      <c r="W532" s="75"/>
      <c r="X532" s="75"/>
      <c r="Y532" s="75"/>
      <c r="Z532" s="75"/>
    </row>
    <row r="533">
      <c r="A533" s="91">
        <v>17921.0</v>
      </c>
      <c r="B533" s="90" t="s">
        <v>1784</v>
      </c>
      <c r="C533" s="91">
        <v>2015.0</v>
      </c>
      <c r="D533" s="90" t="s">
        <v>1785</v>
      </c>
      <c r="E533" s="90" t="s">
        <v>82</v>
      </c>
      <c r="F533" s="101" t="s">
        <v>1786</v>
      </c>
      <c r="G533" s="93">
        <v>46139.0</v>
      </c>
      <c r="H533" s="94">
        <f t="shared" si="4"/>
        <v>32</v>
      </c>
      <c r="I533" s="95" t="s">
        <v>1787</v>
      </c>
      <c r="J533" s="96">
        <v>46171.0</v>
      </c>
      <c r="K533" s="95" t="s">
        <v>31</v>
      </c>
      <c r="L533" s="97">
        <v>177564.0</v>
      </c>
      <c r="M533" s="98"/>
      <c r="N533" s="98"/>
      <c r="O533" s="98"/>
      <c r="P533" s="98"/>
      <c r="Q533" s="98"/>
      <c r="R533" s="98"/>
      <c r="S533" s="98"/>
      <c r="T533" s="98"/>
      <c r="U533" s="98"/>
      <c r="V533" s="98"/>
      <c r="W533" s="98"/>
      <c r="X533" s="98"/>
      <c r="Y533" s="98"/>
      <c r="Z533" s="98"/>
    </row>
    <row r="534">
      <c r="A534" s="69" t="s">
        <v>1788</v>
      </c>
      <c r="B534" s="68" t="s">
        <v>1789</v>
      </c>
      <c r="C534" s="69">
        <v>2022.0</v>
      </c>
      <c r="D534" s="68" t="s">
        <v>239</v>
      </c>
      <c r="E534" s="68" t="s">
        <v>1692</v>
      </c>
      <c r="F534" s="70" t="s">
        <v>1790</v>
      </c>
      <c r="G534" s="71">
        <v>46139.0</v>
      </c>
      <c r="H534" s="72">
        <f t="shared" si="4"/>
        <v>1</v>
      </c>
      <c r="I534" s="73" t="s">
        <v>1791</v>
      </c>
      <c r="J534" s="74">
        <v>46140.0</v>
      </c>
      <c r="K534" s="73"/>
      <c r="L534" s="75"/>
      <c r="M534" s="75"/>
      <c r="N534" s="75"/>
      <c r="O534" s="75"/>
      <c r="P534" s="75"/>
      <c r="Q534" s="75"/>
      <c r="R534" s="75"/>
      <c r="S534" s="75"/>
      <c r="T534" s="75"/>
      <c r="U534" s="75"/>
      <c r="V534" s="75"/>
      <c r="W534" s="75"/>
      <c r="X534" s="75"/>
      <c r="Y534" s="75"/>
      <c r="Z534" s="75"/>
    </row>
    <row r="535">
      <c r="A535" s="89">
        <v>17924.0</v>
      </c>
      <c r="B535" s="90" t="s">
        <v>961</v>
      </c>
      <c r="C535" s="91">
        <v>2018.0</v>
      </c>
      <c r="D535" s="90" t="s">
        <v>182</v>
      </c>
      <c r="E535" s="90" t="s">
        <v>70</v>
      </c>
      <c r="F535" s="101" t="s">
        <v>963</v>
      </c>
      <c r="G535" s="93">
        <v>46140.0</v>
      </c>
      <c r="H535" s="94">
        <f t="shared" si="4"/>
        <v>0</v>
      </c>
      <c r="I535" s="95" t="s">
        <v>1792</v>
      </c>
      <c r="J535" s="96">
        <v>46140.0</v>
      </c>
      <c r="K535" s="95" t="s">
        <v>31</v>
      </c>
      <c r="L535" s="97">
        <v>97137.0</v>
      </c>
      <c r="M535" s="97"/>
      <c r="N535" s="97"/>
      <c r="O535" s="97"/>
      <c r="P535" s="97"/>
      <c r="Q535" s="97"/>
      <c r="R535" s="97"/>
      <c r="S535" s="97"/>
      <c r="T535" s="97"/>
      <c r="U535" s="97"/>
      <c r="V535" s="97"/>
      <c r="W535" s="97"/>
      <c r="X535" s="97"/>
      <c r="Y535" s="97"/>
      <c r="Z535" s="97"/>
    </row>
    <row r="536">
      <c r="A536" s="69">
        <v>17925.0</v>
      </c>
      <c r="B536" s="68" t="s">
        <v>1793</v>
      </c>
      <c r="C536" s="69">
        <v>2009.0</v>
      </c>
      <c r="D536" s="68" t="s">
        <v>1794</v>
      </c>
      <c r="E536" s="68" t="s">
        <v>183</v>
      </c>
      <c r="F536" s="70" t="s">
        <v>1795</v>
      </c>
      <c r="G536" s="71">
        <v>46140.0</v>
      </c>
      <c r="H536" s="72">
        <f t="shared" si="4"/>
        <v>29</v>
      </c>
      <c r="I536" s="73" t="s">
        <v>1796</v>
      </c>
      <c r="J536" s="74">
        <v>46169.0</v>
      </c>
      <c r="K536" s="73" t="s">
        <v>31</v>
      </c>
      <c r="L536" s="103">
        <v>16585.0</v>
      </c>
      <c r="M536" s="75"/>
      <c r="N536" s="75"/>
      <c r="O536" s="75"/>
      <c r="P536" s="75"/>
      <c r="Q536" s="75"/>
      <c r="R536" s="75"/>
      <c r="S536" s="75"/>
      <c r="T536" s="75"/>
      <c r="U536" s="75"/>
      <c r="V536" s="75"/>
      <c r="W536" s="75"/>
      <c r="X536" s="75"/>
      <c r="Y536" s="75"/>
      <c r="Z536" s="75"/>
    </row>
    <row r="537">
      <c r="A537" s="91">
        <v>17926.0</v>
      </c>
      <c r="B537" s="90" t="s">
        <v>1797</v>
      </c>
      <c r="C537" s="91">
        <v>2009.0</v>
      </c>
      <c r="D537" s="90" t="s">
        <v>1794</v>
      </c>
      <c r="E537" s="90" t="s">
        <v>183</v>
      </c>
      <c r="F537" s="101" t="s">
        <v>1798</v>
      </c>
      <c r="G537" s="93">
        <v>46140.0</v>
      </c>
      <c r="H537" s="94">
        <f t="shared" si="4"/>
        <v>52</v>
      </c>
      <c r="I537" s="95" t="s">
        <v>1799</v>
      </c>
      <c r="J537" s="96">
        <v>46192.0</v>
      </c>
      <c r="K537" s="95" t="s">
        <v>31</v>
      </c>
      <c r="L537" s="97">
        <v>20011.0</v>
      </c>
      <c r="M537" s="98"/>
      <c r="N537" s="98"/>
      <c r="O537" s="98"/>
      <c r="P537" s="98"/>
      <c r="Q537" s="98"/>
      <c r="R537" s="98"/>
      <c r="S537" s="98"/>
      <c r="T537" s="98"/>
      <c r="U537" s="98"/>
      <c r="V537" s="98"/>
      <c r="W537" s="98"/>
      <c r="X537" s="98"/>
      <c r="Y537" s="98"/>
      <c r="Z537" s="98"/>
    </row>
    <row r="538">
      <c r="A538" s="69">
        <v>18349.0</v>
      </c>
      <c r="B538" s="68" t="s">
        <v>1800</v>
      </c>
      <c r="C538" s="69">
        <v>2022.0</v>
      </c>
      <c r="D538" s="68" t="s">
        <v>40</v>
      </c>
      <c r="E538" s="68" t="s">
        <v>173</v>
      </c>
      <c r="F538" s="70" t="s">
        <v>1801</v>
      </c>
      <c r="G538" s="71">
        <v>46206.0</v>
      </c>
      <c r="H538" s="72">
        <f t="shared" si="4"/>
        <v>19</v>
      </c>
      <c r="I538" s="73" t="s">
        <v>1802</v>
      </c>
      <c r="J538" s="74"/>
      <c r="K538" s="73"/>
      <c r="L538" s="75"/>
      <c r="M538" s="75"/>
      <c r="N538" s="75"/>
      <c r="O538" s="75"/>
      <c r="P538" s="75"/>
      <c r="Q538" s="75"/>
      <c r="R538" s="75"/>
      <c r="S538" s="75"/>
      <c r="T538" s="75"/>
      <c r="U538" s="75"/>
      <c r="V538" s="75"/>
      <c r="W538" s="75"/>
      <c r="X538" s="75"/>
      <c r="Y538" s="75"/>
      <c r="Z538" s="75"/>
    </row>
    <row r="539">
      <c r="A539" s="91" t="s">
        <v>1803</v>
      </c>
      <c r="B539" s="90" t="s">
        <v>1804</v>
      </c>
      <c r="C539" s="91">
        <v>2022.0</v>
      </c>
      <c r="D539" s="90" t="s">
        <v>911</v>
      </c>
      <c r="E539" s="90" t="s">
        <v>438</v>
      </c>
      <c r="F539" s="101" t="s">
        <v>1805</v>
      </c>
      <c r="G539" s="93">
        <v>46140.0</v>
      </c>
      <c r="H539" s="94">
        <f t="shared" si="4"/>
        <v>1</v>
      </c>
      <c r="I539" s="95" t="s">
        <v>1806</v>
      </c>
      <c r="J539" s="96">
        <v>46141.0</v>
      </c>
      <c r="K539" s="95"/>
      <c r="L539" s="98"/>
      <c r="M539" s="98"/>
      <c r="N539" s="98"/>
      <c r="O539" s="98"/>
      <c r="P539" s="98"/>
      <c r="Q539" s="98"/>
      <c r="R539" s="98"/>
      <c r="S539" s="98"/>
      <c r="T539" s="98"/>
      <c r="U539" s="98"/>
      <c r="V539" s="98"/>
      <c r="W539" s="98"/>
      <c r="X539" s="98"/>
      <c r="Y539" s="98"/>
      <c r="Z539" s="98"/>
    </row>
    <row r="540">
      <c r="A540" s="69">
        <v>18097.0</v>
      </c>
      <c r="B540" s="68" t="s">
        <v>1807</v>
      </c>
      <c r="C540" s="69">
        <v>2024.0</v>
      </c>
      <c r="D540" s="68" t="s">
        <v>1515</v>
      </c>
      <c r="E540" s="68" t="s">
        <v>70</v>
      </c>
      <c r="F540" s="70" t="s">
        <v>1808</v>
      </c>
      <c r="G540" s="71">
        <v>46164.0</v>
      </c>
      <c r="H540" s="72">
        <f t="shared" si="4"/>
        <v>0</v>
      </c>
      <c r="I540" s="73" t="s">
        <v>1809</v>
      </c>
      <c r="J540" s="74">
        <v>46164.0</v>
      </c>
      <c r="K540" s="73"/>
      <c r="L540" s="75"/>
      <c r="M540" s="75"/>
      <c r="N540" s="75"/>
      <c r="O540" s="75"/>
      <c r="P540" s="75"/>
      <c r="Q540" s="75"/>
      <c r="R540" s="75"/>
      <c r="S540" s="75"/>
      <c r="T540" s="75"/>
      <c r="U540" s="75"/>
      <c r="V540" s="75"/>
      <c r="W540" s="75"/>
      <c r="X540" s="75"/>
      <c r="Y540" s="75"/>
      <c r="Z540" s="75"/>
    </row>
    <row r="541">
      <c r="A541" s="91" t="s">
        <v>1810</v>
      </c>
      <c r="B541" s="90" t="s">
        <v>1811</v>
      </c>
      <c r="C541" s="91">
        <v>2022.0</v>
      </c>
      <c r="D541" s="90" t="s">
        <v>1270</v>
      </c>
      <c r="E541" s="90" t="s">
        <v>1673</v>
      </c>
      <c r="F541" s="101" t="s">
        <v>1812</v>
      </c>
      <c r="G541" s="93">
        <v>46140.0</v>
      </c>
      <c r="H541" s="94">
        <f t="shared" si="4"/>
        <v>36</v>
      </c>
      <c r="I541" s="95" t="s">
        <v>1583</v>
      </c>
      <c r="J541" s="96">
        <v>46176.0</v>
      </c>
      <c r="K541" s="95"/>
      <c r="L541" s="98"/>
      <c r="M541" s="98"/>
      <c r="N541" s="98"/>
      <c r="O541" s="98"/>
      <c r="P541" s="98"/>
      <c r="Q541" s="98"/>
      <c r="R541" s="98"/>
      <c r="S541" s="98"/>
      <c r="T541" s="98"/>
      <c r="U541" s="98"/>
      <c r="V541" s="98"/>
      <c r="W541" s="98"/>
      <c r="X541" s="98"/>
      <c r="Y541" s="98"/>
      <c r="Z541" s="98"/>
    </row>
    <row r="542">
      <c r="A542" s="69" t="s">
        <v>1813</v>
      </c>
      <c r="B542" s="68" t="s">
        <v>1814</v>
      </c>
      <c r="C542" s="69">
        <v>2022.0</v>
      </c>
      <c r="D542" s="68" t="s">
        <v>1270</v>
      </c>
      <c r="E542" s="68" t="s">
        <v>1673</v>
      </c>
      <c r="F542" s="70" t="s">
        <v>1815</v>
      </c>
      <c r="G542" s="71">
        <v>46140.0</v>
      </c>
      <c r="H542" s="72">
        <f t="shared" si="4"/>
        <v>3</v>
      </c>
      <c r="I542" s="73" t="s">
        <v>1816</v>
      </c>
      <c r="J542" s="74">
        <v>46143.0</v>
      </c>
      <c r="K542" s="73"/>
      <c r="L542" s="75"/>
      <c r="M542" s="75"/>
      <c r="N542" s="75"/>
      <c r="O542" s="75"/>
      <c r="P542" s="75"/>
      <c r="Q542" s="75"/>
      <c r="R542" s="75"/>
      <c r="S542" s="75"/>
      <c r="T542" s="75"/>
      <c r="U542" s="75"/>
      <c r="V542" s="75"/>
      <c r="W542" s="75"/>
      <c r="X542" s="75"/>
      <c r="Y542" s="75"/>
      <c r="Z542" s="75"/>
    </row>
    <row r="543">
      <c r="A543" s="91" t="s">
        <v>1817</v>
      </c>
      <c r="B543" s="95" t="s">
        <v>1818</v>
      </c>
      <c r="C543" s="91">
        <v>1992.0</v>
      </c>
      <c r="D543" s="95" t="s">
        <v>1819</v>
      </c>
      <c r="E543" s="95" t="s">
        <v>70</v>
      </c>
      <c r="F543" s="101" t="s">
        <v>1820</v>
      </c>
      <c r="G543" s="96">
        <v>46140.0</v>
      </c>
      <c r="H543" s="98"/>
      <c r="I543" s="95" t="s">
        <v>668</v>
      </c>
      <c r="J543" s="96"/>
      <c r="K543" s="95" t="s">
        <v>1037</v>
      </c>
      <c r="L543" s="95">
        <v>50000.0</v>
      </c>
      <c r="M543" s="97"/>
      <c r="N543" s="97"/>
      <c r="O543" s="97"/>
      <c r="P543" s="97"/>
      <c r="Q543" s="97"/>
      <c r="R543" s="97"/>
      <c r="S543" s="97"/>
      <c r="T543" s="97"/>
      <c r="U543" s="97"/>
      <c r="V543" s="97"/>
      <c r="W543" s="97"/>
      <c r="X543" s="97"/>
      <c r="Y543" s="97"/>
      <c r="Z543" s="97"/>
    </row>
    <row r="544">
      <c r="A544" s="69" t="s">
        <v>1821</v>
      </c>
      <c r="B544" s="68" t="s">
        <v>1822</v>
      </c>
      <c r="C544" s="69">
        <v>2026.0</v>
      </c>
      <c r="D544" s="68" t="s">
        <v>1635</v>
      </c>
      <c r="E544" s="68" t="s">
        <v>1730</v>
      </c>
      <c r="F544" s="70" t="s">
        <v>1823</v>
      </c>
      <c r="G544" s="71">
        <v>46140.0</v>
      </c>
      <c r="H544" s="72">
        <f t="shared" ref="H544:H887" si="5">IF(G544="","",IF(J544="",TODAY()-G544,J544-G544))</f>
        <v>1</v>
      </c>
      <c r="I544" s="73" t="s">
        <v>1824</v>
      </c>
      <c r="J544" s="74">
        <v>46141.0</v>
      </c>
      <c r="K544" s="73"/>
      <c r="L544" s="75"/>
      <c r="M544" s="75"/>
      <c r="N544" s="75"/>
      <c r="O544" s="75"/>
      <c r="P544" s="75"/>
      <c r="Q544" s="75"/>
      <c r="R544" s="75"/>
      <c r="S544" s="75"/>
      <c r="T544" s="75"/>
      <c r="U544" s="75"/>
      <c r="V544" s="75"/>
      <c r="W544" s="75"/>
      <c r="X544" s="75"/>
      <c r="Y544" s="75"/>
      <c r="Z544" s="75"/>
    </row>
    <row r="545">
      <c r="A545" s="91">
        <v>17929.0</v>
      </c>
      <c r="B545" s="90" t="s">
        <v>1825</v>
      </c>
      <c r="C545" s="91">
        <v>2020.0</v>
      </c>
      <c r="D545" s="90" t="s">
        <v>1597</v>
      </c>
      <c r="E545" s="90" t="s">
        <v>1581</v>
      </c>
      <c r="F545" s="101" t="s">
        <v>1826</v>
      </c>
      <c r="G545" s="93">
        <v>46141.0</v>
      </c>
      <c r="H545" s="94">
        <f t="shared" si="5"/>
        <v>8</v>
      </c>
      <c r="I545" s="95" t="s">
        <v>1827</v>
      </c>
      <c r="J545" s="96">
        <v>46149.0</v>
      </c>
      <c r="K545" s="95"/>
      <c r="L545" s="98"/>
      <c r="M545" s="98"/>
      <c r="N545" s="98"/>
      <c r="O545" s="98"/>
      <c r="P545" s="98"/>
      <c r="Q545" s="98"/>
      <c r="R545" s="98"/>
      <c r="S545" s="98"/>
      <c r="T545" s="98"/>
      <c r="U545" s="98"/>
      <c r="V545" s="98"/>
      <c r="W545" s="98"/>
      <c r="X545" s="98"/>
      <c r="Y545" s="98"/>
      <c r="Z545" s="98"/>
    </row>
    <row r="546">
      <c r="A546" s="69">
        <v>17930.0</v>
      </c>
      <c r="B546" s="68" t="s">
        <v>1828</v>
      </c>
      <c r="C546" s="69">
        <v>2019.0</v>
      </c>
      <c r="D546" s="68" t="s">
        <v>1597</v>
      </c>
      <c r="E546" s="68" t="s">
        <v>1202</v>
      </c>
      <c r="F546" s="70" t="s">
        <v>1829</v>
      </c>
      <c r="G546" s="71">
        <v>46141.0</v>
      </c>
      <c r="H546" s="72">
        <f t="shared" si="5"/>
        <v>6</v>
      </c>
      <c r="I546" s="73" t="s">
        <v>1830</v>
      </c>
      <c r="J546" s="74">
        <v>46147.0</v>
      </c>
      <c r="K546" s="73"/>
      <c r="L546" s="75"/>
      <c r="M546" s="75"/>
      <c r="N546" s="75"/>
      <c r="O546" s="75"/>
      <c r="P546" s="75"/>
      <c r="Q546" s="75"/>
      <c r="R546" s="75"/>
      <c r="S546" s="75"/>
      <c r="T546" s="75"/>
      <c r="U546" s="75"/>
      <c r="V546" s="75"/>
      <c r="W546" s="75"/>
      <c r="X546" s="75"/>
      <c r="Y546" s="75"/>
      <c r="Z546" s="75"/>
    </row>
    <row r="547">
      <c r="A547" s="91">
        <v>17931.0</v>
      </c>
      <c r="B547" s="90" t="s">
        <v>1831</v>
      </c>
      <c r="C547" s="91">
        <v>2022.0</v>
      </c>
      <c r="D547" s="90" t="s">
        <v>292</v>
      </c>
      <c r="E547" s="90" t="s">
        <v>805</v>
      </c>
      <c r="F547" s="101" t="s">
        <v>1832</v>
      </c>
      <c r="G547" s="93">
        <v>46141.0</v>
      </c>
      <c r="H547" s="94">
        <f t="shared" si="5"/>
        <v>63</v>
      </c>
      <c r="I547" s="95" t="s">
        <v>1833</v>
      </c>
      <c r="J547" s="96">
        <v>46204.0</v>
      </c>
      <c r="K547" s="95" t="s">
        <v>31</v>
      </c>
      <c r="L547" s="97">
        <v>109468.0</v>
      </c>
      <c r="M547" s="97"/>
      <c r="N547" s="97"/>
      <c r="O547" s="97"/>
      <c r="P547" s="97"/>
      <c r="Q547" s="97"/>
      <c r="R547" s="97"/>
      <c r="S547" s="97"/>
      <c r="T547" s="97"/>
      <c r="U547" s="97"/>
      <c r="V547" s="97"/>
      <c r="W547" s="97"/>
      <c r="X547" s="97"/>
      <c r="Y547" s="97"/>
      <c r="Z547" s="97"/>
    </row>
    <row r="548">
      <c r="A548" s="69">
        <v>17934.0</v>
      </c>
      <c r="B548" s="68" t="s">
        <v>1834</v>
      </c>
      <c r="C548" s="69">
        <v>2019.0</v>
      </c>
      <c r="D548" s="68" t="s">
        <v>182</v>
      </c>
      <c r="E548" s="68" t="s">
        <v>28</v>
      </c>
      <c r="F548" s="113">
        <v>46251.0</v>
      </c>
      <c r="G548" s="71">
        <v>46141.0</v>
      </c>
      <c r="H548" s="72">
        <f t="shared" si="5"/>
        <v>34</v>
      </c>
      <c r="I548" s="73" t="s">
        <v>1835</v>
      </c>
      <c r="J548" s="74">
        <v>46175.0</v>
      </c>
      <c r="K548" s="73"/>
      <c r="L548" s="75"/>
      <c r="M548" s="75"/>
      <c r="N548" s="75"/>
      <c r="O548" s="75"/>
      <c r="P548" s="75"/>
      <c r="Q548" s="75"/>
      <c r="R548" s="75"/>
      <c r="S548" s="75"/>
      <c r="T548" s="75"/>
      <c r="U548" s="75"/>
      <c r="V548" s="75"/>
      <c r="W548" s="75"/>
      <c r="X548" s="75"/>
      <c r="Y548" s="75"/>
      <c r="Z548" s="75"/>
    </row>
    <row r="549">
      <c r="A549" s="91">
        <v>17935.0</v>
      </c>
      <c r="B549" s="90" t="s">
        <v>1836</v>
      </c>
      <c r="C549" s="91">
        <v>2014.0</v>
      </c>
      <c r="D549" s="90" t="s">
        <v>1288</v>
      </c>
      <c r="E549" s="90" t="s">
        <v>805</v>
      </c>
      <c r="F549" s="101" t="s">
        <v>1837</v>
      </c>
      <c r="G549" s="93">
        <v>46141.0</v>
      </c>
      <c r="H549" s="94">
        <f t="shared" si="5"/>
        <v>5</v>
      </c>
      <c r="I549" s="95" t="s">
        <v>1838</v>
      </c>
      <c r="J549" s="96">
        <v>46146.0</v>
      </c>
      <c r="K549" s="95"/>
      <c r="L549" s="98"/>
      <c r="M549" s="98"/>
      <c r="N549" s="98"/>
      <c r="O549" s="98"/>
      <c r="P549" s="98"/>
      <c r="Q549" s="98"/>
      <c r="R549" s="98"/>
      <c r="S549" s="98"/>
      <c r="T549" s="98"/>
      <c r="U549" s="98"/>
      <c r="V549" s="98"/>
      <c r="W549" s="98"/>
      <c r="X549" s="98"/>
      <c r="Y549" s="98"/>
      <c r="Z549" s="98"/>
    </row>
    <row r="550">
      <c r="A550" s="67">
        <v>17522.0</v>
      </c>
      <c r="B550" s="68" t="s">
        <v>985</v>
      </c>
      <c r="C550" s="69">
        <v>2014.0</v>
      </c>
      <c r="D550" s="68" t="s">
        <v>251</v>
      </c>
      <c r="E550" s="68" t="s">
        <v>47</v>
      </c>
      <c r="F550" s="70"/>
      <c r="G550" s="71">
        <v>46142.0</v>
      </c>
      <c r="H550" s="72">
        <f t="shared" si="5"/>
        <v>0</v>
      </c>
      <c r="I550" s="73" t="s">
        <v>986</v>
      </c>
      <c r="J550" s="74">
        <v>46142.0</v>
      </c>
      <c r="K550" s="73" t="s">
        <v>31</v>
      </c>
      <c r="L550" s="103">
        <v>195775.0</v>
      </c>
      <c r="M550" s="103"/>
      <c r="N550" s="103"/>
      <c r="O550" s="103"/>
      <c r="P550" s="103"/>
      <c r="Q550" s="103"/>
      <c r="R550" s="103"/>
      <c r="S550" s="103"/>
      <c r="T550" s="103"/>
      <c r="U550" s="103"/>
      <c r="V550" s="103"/>
      <c r="W550" s="103"/>
      <c r="X550" s="103"/>
      <c r="Y550" s="103"/>
      <c r="Z550" s="103"/>
    </row>
    <row r="551">
      <c r="A551" s="89">
        <v>17568.0</v>
      </c>
      <c r="B551" s="90" t="s">
        <v>1116</v>
      </c>
      <c r="C551" s="91">
        <v>2020.0</v>
      </c>
      <c r="D551" s="90" t="s">
        <v>1117</v>
      </c>
      <c r="E551" s="90" t="s">
        <v>47</v>
      </c>
      <c r="F551" s="101" t="s">
        <v>1118</v>
      </c>
      <c r="G551" s="93">
        <v>46142.0</v>
      </c>
      <c r="H551" s="94">
        <f t="shared" si="5"/>
        <v>13</v>
      </c>
      <c r="I551" s="95" t="s">
        <v>1839</v>
      </c>
      <c r="J551" s="96">
        <v>46155.0</v>
      </c>
      <c r="K551" s="95" t="s">
        <v>31</v>
      </c>
      <c r="L551" s="97">
        <v>83148.0</v>
      </c>
      <c r="M551" s="98"/>
      <c r="N551" s="98"/>
      <c r="O551" s="98"/>
      <c r="P551" s="98"/>
      <c r="Q551" s="98"/>
      <c r="R551" s="98"/>
      <c r="S551" s="98"/>
      <c r="T551" s="98"/>
      <c r="U551" s="98"/>
      <c r="V551" s="98"/>
      <c r="W551" s="98"/>
      <c r="X551" s="98"/>
      <c r="Y551" s="98"/>
      <c r="Z551" s="98"/>
    </row>
    <row r="552">
      <c r="A552" s="67">
        <v>17927.0</v>
      </c>
      <c r="B552" s="68" t="s">
        <v>1840</v>
      </c>
      <c r="C552" s="69">
        <v>2019.0</v>
      </c>
      <c r="D552" s="68" t="s">
        <v>182</v>
      </c>
      <c r="E552" s="68" t="s">
        <v>368</v>
      </c>
      <c r="F552" s="70" t="s">
        <v>1841</v>
      </c>
      <c r="G552" s="71">
        <v>46142.0</v>
      </c>
      <c r="H552" s="72">
        <f t="shared" si="5"/>
        <v>12</v>
      </c>
      <c r="I552" s="73" t="s">
        <v>1842</v>
      </c>
      <c r="J552" s="74">
        <v>46154.0</v>
      </c>
      <c r="K552" s="73" t="s">
        <v>84</v>
      </c>
      <c r="L552" s="103">
        <v>48373.0</v>
      </c>
      <c r="M552" s="103"/>
      <c r="N552" s="103"/>
      <c r="O552" s="103"/>
      <c r="P552" s="103"/>
      <c r="Q552" s="103"/>
      <c r="R552" s="103"/>
      <c r="S552" s="103"/>
      <c r="T552" s="103"/>
      <c r="U552" s="103"/>
      <c r="V552" s="103"/>
      <c r="W552" s="103"/>
      <c r="X552" s="103"/>
      <c r="Y552" s="103"/>
      <c r="Z552" s="103"/>
    </row>
    <row r="553">
      <c r="A553" s="91">
        <v>17936.0</v>
      </c>
      <c r="B553" s="90" t="s">
        <v>1843</v>
      </c>
      <c r="C553" s="91">
        <v>2010.0</v>
      </c>
      <c r="D553" s="90" t="s">
        <v>1844</v>
      </c>
      <c r="E553" s="90" t="s">
        <v>1845</v>
      </c>
      <c r="F553" s="101" t="s">
        <v>1846</v>
      </c>
      <c r="G553" s="93">
        <v>46142.0</v>
      </c>
      <c r="H553" s="94">
        <f t="shared" si="5"/>
        <v>0</v>
      </c>
      <c r="I553" s="95" t="s">
        <v>1847</v>
      </c>
      <c r="J553" s="96">
        <v>46142.0</v>
      </c>
      <c r="K553" s="95"/>
      <c r="L553" s="98"/>
      <c r="M553" s="98"/>
      <c r="N553" s="98"/>
      <c r="O553" s="98"/>
      <c r="P553" s="98"/>
      <c r="Q553" s="98"/>
      <c r="R553" s="98"/>
      <c r="S553" s="98"/>
      <c r="T553" s="98"/>
      <c r="U553" s="98"/>
      <c r="V553" s="98"/>
      <c r="W553" s="98"/>
      <c r="X553" s="98"/>
      <c r="Y553" s="98"/>
      <c r="Z553" s="98"/>
    </row>
    <row r="554">
      <c r="A554" s="69">
        <v>17938.0</v>
      </c>
      <c r="B554" s="68" t="s">
        <v>1848</v>
      </c>
      <c r="C554" s="69">
        <v>2019.0</v>
      </c>
      <c r="D554" s="68" t="s">
        <v>927</v>
      </c>
      <c r="E554" s="68" t="s">
        <v>1849</v>
      </c>
      <c r="F554" s="70" t="s">
        <v>1850</v>
      </c>
      <c r="G554" s="71">
        <v>46142.0</v>
      </c>
      <c r="H554" s="72">
        <f t="shared" si="5"/>
        <v>15</v>
      </c>
      <c r="I554" s="73" t="s">
        <v>1851</v>
      </c>
      <c r="J554" s="74">
        <v>46157.0</v>
      </c>
      <c r="K554" s="73"/>
      <c r="L554" s="75"/>
      <c r="M554" s="75"/>
      <c r="N554" s="75"/>
      <c r="O554" s="75"/>
      <c r="P554" s="75"/>
      <c r="Q554" s="75"/>
      <c r="R554" s="75"/>
      <c r="S554" s="75"/>
      <c r="T554" s="75"/>
      <c r="U554" s="75"/>
      <c r="V554" s="75"/>
      <c r="W554" s="75"/>
      <c r="X554" s="75"/>
      <c r="Y554" s="75"/>
      <c r="Z554" s="75"/>
    </row>
    <row r="555">
      <c r="A555" s="91">
        <v>17940.0</v>
      </c>
      <c r="B555" s="90" t="s">
        <v>1852</v>
      </c>
      <c r="C555" s="91">
        <v>2022.0</v>
      </c>
      <c r="D555" s="90" t="s">
        <v>292</v>
      </c>
      <c r="E555" s="90" t="s">
        <v>1853</v>
      </c>
      <c r="F555" s="101" t="s">
        <v>1854</v>
      </c>
      <c r="G555" s="93">
        <v>46142.0</v>
      </c>
      <c r="H555" s="94">
        <f t="shared" si="5"/>
        <v>0</v>
      </c>
      <c r="I555" s="95" t="s">
        <v>1855</v>
      </c>
      <c r="J555" s="96">
        <v>46142.0</v>
      </c>
      <c r="K555" s="95"/>
      <c r="L555" s="98"/>
      <c r="M555" s="98"/>
      <c r="N555" s="98"/>
      <c r="O555" s="98"/>
      <c r="P555" s="98"/>
      <c r="Q555" s="98"/>
      <c r="R555" s="98"/>
      <c r="S555" s="98"/>
      <c r="T555" s="98"/>
      <c r="U555" s="98"/>
      <c r="V555" s="98"/>
      <c r="W555" s="98"/>
      <c r="X555" s="98"/>
      <c r="Y555" s="98"/>
      <c r="Z555" s="98"/>
    </row>
    <row r="556">
      <c r="A556" s="69">
        <v>17942.0</v>
      </c>
      <c r="B556" s="68" t="s">
        <v>1856</v>
      </c>
      <c r="C556" s="69">
        <v>2023.0</v>
      </c>
      <c r="D556" s="68" t="s">
        <v>40</v>
      </c>
      <c r="E556" s="68" t="s">
        <v>459</v>
      </c>
      <c r="F556" s="70" t="s">
        <v>587</v>
      </c>
      <c r="G556" s="71">
        <v>46142.0</v>
      </c>
      <c r="H556" s="72">
        <f t="shared" si="5"/>
        <v>75</v>
      </c>
      <c r="I556" s="73" t="s">
        <v>1857</v>
      </c>
      <c r="J556" s="74">
        <v>46217.0</v>
      </c>
      <c r="K556" s="73" t="s">
        <v>31</v>
      </c>
      <c r="L556" s="103">
        <v>98916.0</v>
      </c>
      <c r="M556" s="103"/>
      <c r="N556" s="103"/>
      <c r="O556" s="103"/>
      <c r="P556" s="103"/>
      <c r="Q556" s="103"/>
      <c r="R556" s="103"/>
      <c r="S556" s="103"/>
      <c r="T556" s="103"/>
      <c r="U556" s="103"/>
      <c r="V556" s="103"/>
      <c r="W556" s="103"/>
      <c r="X556" s="103"/>
      <c r="Y556" s="103"/>
      <c r="Z556" s="103"/>
    </row>
    <row r="557">
      <c r="A557" s="91">
        <v>17943.0</v>
      </c>
      <c r="B557" s="90" t="s">
        <v>1858</v>
      </c>
      <c r="C557" s="91">
        <v>2020.0</v>
      </c>
      <c r="D557" s="90" t="s">
        <v>536</v>
      </c>
      <c r="E557" s="90" t="s">
        <v>792</v>
      </c>
      <c r="F557" s="92">
        <v>46157.0</v>
      </c>
      <c r="G557" s="93">
        <v>46142.0</v>
      </c>
      <c r="H557" s="94">
        <f t="shared" si="5"/>
        <v>7</v>
      </c>
      <c r="I557" s="95" t="s">
        <v>551</v>
      </c>
      <c r="J557" s="96">
        <v>46149.0</v>
      </c>
      <c r="K557" s="95" t="s">
        <v>31</v>
      </c>
      <c r="L557" s="97">
        <v>68891.0</v>
      </c>
      <c r="M557" s="97"/>
      <c r="N557" s="97"/>
      <c r="O557" s="97"/>
      <c r="P557" s="97"/>
      <c r="Q557" s="97"/>
      <c r="R557" s="97"/>
      <c r="S557" s="97"/>
      <c r="T557" s="97"/>
      <c r="U557" s="97"/>
      <c r="V557" s="97"/>
      <c r="W557" s="97"/>
      <c r="X557" s="97"/>
      <c r="Y557" s="97"/>
      <c r="Z557" s="97"/>
    </row>
    <row r="558">
      <c r="A558" s="69">
        <v>18337.0</v>
      </c>
      <c r="B558" s="68" t="s">
        <v>1859</v>
      </c>
      <c r="C558" s="69">
        <v>2022.0</v>
      </c>
      <c r="D558" s="68" t="s">
        <v>40</v>
      </c>
      <c r="E558" s="68" t="s">
        <v>792</v>
      </c>
      <c r="F558" s="70" t="s">
        <v>1860</v>
      </c>
      <c r="G558" s="71">
        <v>46204.0</v>
      </c>
      <c r="H558" s="72">
        <f t="shared" si="5"/>
        <v>21</v>
      </c>
      <c r="I558" s="73" t="s">
        <v>1861</v>
      </c>
      <c r="J558" s="74"/>
      <c r="K558" s="73"/>
      <c r="L558" s="75"/>
      <c r="M558" s="75"/>
      <c r="N558" s="75"/>
      <c r="O558" s="75"/>
      <c r="P558" s="75"/>
      <c r="Q558" s="75"/>
      <c r="R558" s="75"/>
      <c r="S558" s="75"/>
      <c r="T558" s="75"/>
      <c r="U558" s="75"/>
      <c r="V558" s="75"/>
      <c r="W558" s="75"/>
      <c r="X558" s="75"/>
      <c r="Y558" s="75"/>
      <c r="Z558" s="75"/>
    </row>
    <row r="559">
      <c r="A559" s="91">
        <v>17946.0</v>
      </c>
      <c r="B559" s="90" t="s">
        <v>1862</v>
      </c>
      <c r="C559" s="91">
        <v>2014.0</v>
      </c>
      <c r="D559" s="90" t="s">
        <v>1177</v>
      </c>
      <c r="E559" s="90" t="s">
        <v>805</v>
      </c>
      <c r="F559" s="101" t="s">
        <v>1863</v>
      </c>
      <c r="G559" s="93">
        <v>46142.0</v>
      </c>
      <c r="H559" s="94">
        <f t="shared" si="5"/>
        <v>15</v>
      </c>
      <c r="I559" s="95" t="s">
        <v>1864</v>
      </c>
      <c r="J559" s="96">
        <v>46157.0</v>
      </c>
      <c r="K559" s="95" t="s">
        <v>31</v>
      </c>
      <c r="L559" s="97">
        <v>370108.0</v>
      </c>
      <c r="M559" s="98"/>
      <c r="N559" s="98"/>
      <c r="O559" s="98"/>
      <c r="P559" s="98"/>
      <c r="Q559" s="98"/>
      <c r="R559" s="98"/>
      <c r="S559" s="98"/>
      <c r="T559" s="98"/>
      <c r="U559" s="98"/>
      <c r="V559" s="98"/>
      <c r="W559" s="98"/>
      <c r="X559" s="98"/>
      <c r="Y559" s="98"/>
      <c r="Z559" s="98"/>
    </row>
    <row r="560">
      <c r="A560" s="69">
        <v>17947.0</v>
      </c>
      <c r="B560" s="68" t="s">
        <v>1865</v>
      </c>
      <c r="C560" s="69">
        <v>2018.0</v>
      </c>
      <c r="D560" s="68" t="s">
        <v>182</v>
      </c>
      <c r="E560" s="68" t="s">
        <v>277</v>
      </c>
      <c r="F560" s="70" t="s">
        <v>1866</v>
      </c>
      <c r="G560" s="71">
        <v>46142.0</v>
      </c>
      <c r="H560" s="72">
        <f t="shared" si="5"/>
        <v>29</v>
      </c>
      <c r="I560" s="73" t="s">
        <v>1867</v>
      </c>
      <c r="J560" s="74">
        <v>46171.0</v>
      </c>
      <c r="K560" s="73" t="s">
        <v>31</v>
      </c>
      <c r="L560" s="103">
        <v>111969.0</v>
      </c>
      <c r="M560" s="75"/>
      <c r="N560" s="75"/>
      <c r="O560" s="75"/>
      <c r="P560" s="75"/>
      <c r="Q560" s="75"/>
      <c r="R560" s="75"/>
      <c r="S560" s="75"/>
      <c r="T560" s="75"/>
      <c r="U560" s="75"/>
      <c r="V560" s="75"/>
      <c r="W560" s="75"/>
      <c r="X560" s="75"/>
      <c r="Y560" s="75"/>
      <c r="Z560" s="75"/>
    </row>
    <row r="561">
      <c r="A561" s="91" t="s">
        <v>1868</v>
      </c>
      <c r="B561" s="90" t="s">
        <v>1869</v>
      </c>
      <c r="C561" s="91">
        <v>2025.0</v>
      </c>
      <c r="D561" s="90" t="s">
        <v>1635</v>
      </c>
      <c r="E561" s="90" t="s">
        <v>805</v>
      </c>
      <c r="F561" s="101" t="s">
        <v>236</v>
      </c>
      <c r="G561" s="93">
        <v>46142.0</v>
      </c>
      <c r="H561" s="94">
        <f t="shared" si="5"/>
        <v>0</v>
      </c>
      <c r="I561" s="95" t="s">
        <v>1870</v>
      </c>
      <c r="J561" s="96">
        <v>46142.0</v>
      </c>
      <c r="K561" s="95"/>
      <c r="L561" s="98"/>
      <c r="M561" s="98"/>
      <c r="N561" s="98"/>
      <c r="O561" s="98"/>
      <c r="P561" s="98"/>
      <c r="Q561" s="98"/>
      <c r="R561" s="98"/>
      <c r="S561" s="98"/>
      <c r="T561" s="98"/>
      <c r="U561" s="98"/>
      <c r="V561" s="98"/>
      <c r="W561" s="98"/>
      <c r="X561" s="98"/>
      <c r="Y561" s="98"/>
      <c r="Z561" s="98"/>
    </row>
    <row r="562">
      <c r="A562" s="69" t="s">
        <v>1871</v>
      </c>
      <c r="B562" s="68" t="s">
        <v>1872</v>
      </c>
      <c r="C562" s="69">
        <v>2022.0</v>
      </c>
      <c r="D562" s="68" t="s">
        <v>292</v>
      </c>
      <c r="E562" s="68" t="s">
        <v>1332</v>
      </c>
      <c r="F562" s="70" t="s">
        <v>1873</v>
      </c>
      <c r="G562" s="71">
        <v>46142.0</v>
      </c>
      <c r="H562" s="72">
        <f t="shared" si="5"/>
        <v>0</v>
      </c>
      <c r="I562" s="73" t="s">
        <v>1131</v>
      </c>
      <c r="J562" s="74">
        <v>46142.0</v>
      </c>
      <c r="K562" s="73"/>
      <c r="L562" s="75"/>
      <c r="M562" s="75"/>
      <c r="N562" s="75"/>
      <c r="O562" s="75"/>
      <c r="P562" s="75"/>
      <c r="Q562" s="75"/>
      <c r="R562" s="75"/>
      <c r="S562" s="75"/>
      <c r="T562" s="75"/>
      <c r="U562" s="75"/>
      <c r="V562" s="75"/>
      <c r="W562" s="75"/>
      <c r="X562" s="75"/>
      <c r="Y562" s="75"/>
      <c r="Z562" s="75"/>
    </row>
    <row r="563">
      <c r="A563" s="91">
        <v>17522.0</v>
      </c>
      <c r="B563" s="90" t="s">
        <v>1874</v>
      </c>
      <c r="C563" s="91">
        <v>2014.0</v>
      </c>
      <c r="D563" s="90" t="s">
        <v>251</v>
      </c>
      <c r="E563" s="90" t="s">
        <v>47</v>
      </c>
      <c r="F563" s="101" t="s">
        <v>1875</v>
      </c>
      <c r="G563" s="93">
        <v>46143.0</v>
      </c>
      <c r="H563" s="94">
        <f t="shared" si="5"/>
        <v>4</v>
      </c>
      <c r="I563" s="95" t="s">
        <v>1876</v>
      </c>
      <c r="J563" s="96">
        <v>46147.0</v>
      </c>
      <c r="K563" s="95" t="s">
        <v>1200</v>
      </c>
      <c r="L563" s="97">
        <v>216668.0</v>
      </c>
      <c r="M563" s="97"/>
      <c r="N563" s="97"/>
      <c r="O563" s="97"/>
      <c r="P563" s="97"/>
      <c r="Q563" s="97"/>
      <c r="R563" s="97"/>
      <c r="S563" s="97"/>
      <c r="T563" s="97"/>
      <c r="U563" s="97"/>
      <c r="V563" s="97"/>
      <c r="W563" s="97"/>
      <c r="X563" s="97"/>
      <c r="Y563" s="97"/>
      <c r="Z563" s="97"/>
    </row>
    <row r="564">
      <c r="A564" s="69">
        <v>17948.0</v>
      </c>
      <c r="B564" s="68" t="s">
        <v>1877</v>
      </c>
      <c r="C564" s="69">
        <v>2010.0</v>
      </c>
      <c r="D564" s="68" t="s">
        <v>1270</v>
      </c>
      <c r="E564" s="68" t="s">
        <v>1878</v>
      </c>
      <c r="F564" s="70" t="s">
        <v>1879</v>
      </c>
      <c r="G564" s="71">
        <v>46143.0</v>
      </c>
      <c r="H564" s="72">
        <f t="shared" si="5"/>
        <v>3</v>
      </c>
      <c r="I564" s="73" t="s">
        <v>1880</v>
      </c>
      <c r="J564" s="74">
        <v>46146.0</v>
      </c>
      <c r="K564" s="73"/>
      <c r="L564" s="75"/>
      <c r="M564" s="75"/>
      <c r="N564" s="75"/>
      <c r="O564" s="75"/>
      <c r="P564" s="75"/>
      <c r="Q564" s="75"/>
      <c r="R564" s="75"/>
      <c r="S564" s="75"/>
      <c r="T564" s="75"/>
      <c r="U564" s="75"/>
      <c r="V564" s="75"/>
      <c r="W564" s="75"/>
      <c r="X564" s="75"/>
      <c r="Y564" s="75"/>
      <c r="Z564" s="75"/>
    </row>
    <row r="565">
      <c r="A565" s="91">
        <v>17950.0</v>
      </c>
      <c r="B565" s="90" t="s">
        <v>1881</v>
      </c>
      <c r="C565" s="91">
        <v>2022.0</v>
      </c>
      <c r="D565" s="90" t="s">
        <v>1882</v>
      </c>
      <c r="E565" s="90" t="s">
        <v>53</v>
      </c>
      <c r="F565" s="101" t="s">
        <v>1883</v>
      </c>
      <c r="G565" s="93">
        <v>46143.0</v>
      </c>
      <c r="H565" s="94">
        <f t="shared" si="5"/>
        <v>5</v>
      </c>
      <c r="I565" s="95" t="s">
        <v>1884</v>
      </c>
      <c r="J565" s="96">
        <v>46148.0</v>
      </c>
      <c r="K565" s="95"/>
      <c r="L565" s="98"/>
      <c r="M565" s="98"/>
      <c r="N565" s="98"/>
      <c r="O565" s="98"/>
      <c r="P565" s="98"/>
      <c r="Q565" s="98"/>
      <c r="R565" s="98"/>
      <c r="S565" s="98"/>
      <c r="T565" s="98"/>
      <c r="U565" s="98"/>
      <c r="V565" s="98"/>
      <c r="W565" s="98"/>
      <c r="X565" s="98"/>
      <c r="Y565" s="98"/>
      <c r="Z565" s="98"/>
    </row>
    <row r="566">
      <c r="A566" s="69">
        <v>18086.0</v>
      </c>
      <c r="B566" s="68" t="s">
        <v>1885</v>
      </c>
      <c r="C566" s="69">
        <v>2023.0</v>
      </c>
      <c r="D566" s="68" t="s">
        <v>69</v>
      </c>
      <c r="E566" s="68" t="s">
        <v>70</v>
      </c>
      <c r="F566" s="70" t="s">
        <v>1886</v>
      </c>
      <c r="G566" s="71">
        <v>46163.0</v>
      </c>
      <c r="H566" s="72">
        <f t="shared" si="5"/>
        <v>62</v>
      </c>
      <c r="I566" s="73" t="s">
        <v>504</v>
      </c>
      <c r="J566" s="74"/>
      <c r="K566" s="73"/>
      <c r="L566" s="75"/>
      <c r="M566" s="75"/>
      <c r="N566" s="75"/>
      <c r="O566" s="75"/>
      <c r="P566" s="75"/>
      <c r="Q566" s="75"/>
      <c r="R566" s="75"/>
      <c r="S566" s="75"/>
      <c r="T566" s="75"/>
      <c r="U566" s="75"/>
      <c r="V566" s="75"/>
      <c r="W566" s="75"/>
      <c r="X566" s="75"/>
      <c r="Y566" s="75"/>
      <c r="Z566" s="75"/>
    </row>
    <row r="567">
      <c r="A567" s="91">
        <v>17951.0</v>
      </c>
      <c r="B567" s="90" t="s">
        <v>1887</v>
      </c>
      <c r="C567" s="91">
        <v>2022.0</v>
      </c>
      <c r="D567" s="90" t="s">
        <v>1270</v>
      </c>
      <c r="E567" s="90" t="s">
        <v>653</v>
      </c>
      <c r="F567" s="101" t="s">
        <v>1888</v>
      </c>
      <c r="G567" s="93">
        <v>46146.0</v>
      </c>
      <c r="H567" s="94">
        <f t="shared" si="5"/>
        <v>10</v>
      </c>
      <c r="I567" s="95" t="s">
        <v>1889</v>
      </c>
      <c r="J567" s="96">
        <v>46156.0</v>
      </c>
      <c r="K567" s="95"/>
      <c r="L567" s="98"/>
      <c r="M567" s="98"/>
      <c r="N567" s="98"/>
      <c r="O567" s="98"/>
      <c r="P567" s="98"/>
      <c r="Q567" s="98"/>
      <c r="R567" s="98"/>
      <c r="S567" s="98"/>
      <c r="T567" s="98"/>
      <c r="U567" s="98"/>
      <c r="V567" s="98"/>
      <c r="W567" s="98"/>
      <c r="X567" s="98"/>
      <c r="Y567" s="98"/>
      <c r="Z567" s="98"/>
    </row>
    <row r="568">
      <c r="A568" s="69">
        <v>17953.0</v>
      </c>
      <c r="B568" s="68" t="s">
        <v>111</v>
      </c>
      <c r="C568" s="69">
        <v>2022.0</v>
      </c>
      <c r="D568" s="68" t="s">
        <v>40</v>
      </c>
      <c r="E568" s="68" t="s">
        <v>28</v>
      </c>
      <c r="F568" s="70" t="s">
        <v>112</v>
      </c>
      <c r="G568" s="71">
        <v>46146.0</v>
      </c>
      <c r="H568" s="72">
        <f t="shared" si="5"/>
        <v>0</v>
      </c>
      <c r="I568" s="73" t="s">
        <v>496</v>
      </c>
      <c r="J568" s="74">
        <v>46146.0</v>
      </c>
      <c r="K568" s="73"/>
      <c r="L568" s="75"/>
      <c r="M568" s="75"/>
      <c r="N568" s="75"/>
      <c r="O568" s="75"/>
      <c r="P568" s="75"/>
      <c r="Q568" s="75"/>
      <c r="R568" s="75"/>
      <c r="S568" s="75"/>
      <c r="T568" s="75"/>
      <c r="U568" s="75"/>
      <c r="V568" s="75"/>
      <c r="W568" s="75"/>
      <c r="X568" s="75"/>
      <c r="Y568" s="75"/>
      <c r="Z568" s="75"/>
    </row>
    <row r="569">
      <c r="A569" s="91">
        <v>17954.0</v>
      </c>
      <c r="B569" s="90" t="s">
        <v>1046</v>
      </c>
      <c r="C569" s="91">
        <v>2022.0</v>
      </c>
      <c r="D569" s="90" t="s">
        <v>292</v>
      </c>
      <c r="E569" s="90" t="s">
        <v>125</v>
      </c>
      <c r="F569" s="101" t="s">
        <v>1047</v>
      </c>
      <c r="G569" s="93">
        <v>46146.0</v>
      </c>
      <c r="H569" s="94">
        <f t="shared" si="5"/>
        <v>0</v>
      </c>
      <c r="I569" s="95" t="s">
        <v>1890</v>
      </c>
      <c r="J569" s="96">
        <v>46146.0</v>
      </c>
      <c r="K569" s="95"/>
      <c r="L569" s="98"/>
      <c r="M569" s="98"/>
      <c r="N569" s="98"/>
      <c r="O569" s="98"/>
      <c r="P569" s="98"/>
      <c r="Q569" s="98"/>
      <c r="R569" s="98"/>
      <c r="S569" s="98"/>
      <c r="T569" s="98"/>
      <c r="U569" s="98"/>
      <c r="V569" s="98"/>
      <c r="W569" s="98"/>
      <c r="X569" s="98"/>
      <c r="Y569" s="98"/>
      <c r="Z569" s="98"/>
    </row>
    <row r="570">
      <c r="A570" s="69">
        <v>17955.0</v>
      </c>
      <c r="B570" s="68" t="s">
        <v>98</v>
      </c>
      <c r="C570" s="69">
        <v>2022.0</v>
      </c>
      <c r="D570" s="68" t="s">
        <v>40</v>
      </c>
      <c r="E570" s="68" t="s">
        <v>99</v>
      </c>
      <c r="F570" s="70" t="s">
        <v>100</v>
      </c>
      <c r="G570" s="71">
        <v>46146.0</v>
      </c>
      <c r="H570" s="72">
        <f t="shared" si="5"/>
        <v>7</v>
      </c>
      <c r="I570" s="73" t="s">
        <v>1891</v>
      </c>
      <c r="J570" s="74">
        <v>46153.0</v>
      </c>
      <c r="K570" s="73"/>
      <c r="L570" s="75"/>
      <c r="M570" s="75"/>
      <c r="N570" s="75"/>
      <c r="O570" s="75"/>
      <c r="P570" s="75"/>
      <c r="Q570" s="75"/>
      <c r="R570" s="75"/>
      <c r="S570" s="75"/>
      <c r="T570" s="75"/>
      <c r="U570" s="75"/>
      <c r="V570" s="75"/>
      <c r="W570" s="75"/>
      <c r="X570" s="75"/>
      <c r="Y570" s="75"/>
      <c r="Z570" s="75"/>
    </row>
    <row r="571">
      <c r="A571" s="91">
        <v>17956.0</v>
      </c>
      <c r="B571" s="90" t="s">
        <v>1892</v>
      </c>
      <c r="C571" s="91">
        <v>2022.0</v>
      </c>
      <c r="D571" s="90" t="s">
        <v>911</v>
      </c>
      <c r="E571" s="90" t="s">
        <v>1878</v>
      </c>
      <c r="F571" s="101" t="s">
        <v>1893</v>
      </c>
      <c r="G571" s="93">
        <v>46147.0</v>
      </c>
      <c r="H571" s="94">
        <f t="shared" si="5"/>
        <v>0</v>
      </c>
      <c r="I571" s="95" t="s">
        <v>1131</v>
      </c>
      <c r="J571" s="96">
        <v>46147.0</v>
      </c>
      <c r="K571" s="95"/>
      <c r="L571" s="98"/>
      <c r="M571" s="98"/>
      <c r="N571" s="98"/>
      <c r="O571" s="98"/>
      <c r="P571" s="98"/>
      <c r="Q571" s="98"/>
      <c r="R571" s="98"/>
      <c r="S571" s="98"/>
      <c r="T571" s="98"/>
      <c r="U571" s="98"/>
      <c r="V571" s="98"/>
      <c r="W571" s="98"/>
      <c r="X571" s="98"/>
      <c r="Y571" s="98"/>
      <c r="Z571" s="98"/>
    </row>
    <row r="572">
      <c r="A572" s="69">
        <v>17960.0</v>
      </c>
      <c r="B572" s="68" t="s">
        <v>1894</v>
      </c>
      <c r="C572" s="69">
        <v>2015.0</v>
      </c>
      <c r="D572" s="68" t="s">
        <v>1895</v>
      </c>
      <c r="E572" s="68" t="s">
        <v>28</v>
      </c>
      <c r="F572" s="70" t="s">
        <v>1896</v>
      </c>
      <c r="G572" s="71">
        <v>46147.0</v>
      </c>
      <c r="H572" s="72">
        <f t="shared" si="5"/>
        <v>31</v>
      </c>
      <c r="I572" s="73" t="s">
        <v>1897</v>
      </c>
      <c r="J572" s="74">
        <v>46178.0</v>
      </c>
      <c r="K572" s="73" t="s">
        <v>31</v>
      </c>
      <c r="L572" s="103">
        <v>41402.0</v>
      </c>
      <c r="M572" s="75"/>
      <c r="N572" s="75"/>
      <c r="O572" s="75"/>
      <c r="P572" s="75"/>
      <c r="Q572" s="75"/>
      <c r="R572" s="75"/>
      <c r="S572" s="75"/>
      <c r="T572" s="75"/>
      <c r="U572" s="75"/>
      <c r="V572" s="75"/>
      <c r="W572" s="75"/>
      <c r="X572" s="75"/>
      <c r="Y572" s="75"/>
      <c r="Z572" s="75"/>
    </row>
    <row r="573">
      <c r="A573" s="91">
        <v>17961.0</v>
      </c>
      <c r="B573" s="90" t="s">
        <v>498</v>
      </c>
      <c r="C573" s="91">
        <v>2022.0</v>
      </c>
      <c r="D573" s="90" t="s">
        <v>40</v>
      </c>
      <c r="E573" s="90" t="s">
        <v>125</v>
      </c>
      <c r="F573" s="101" t="s">
        <v>499</v>
      </c>
      <c r="G573" s="93">
        <v>46147.0</v>
      </c>
      <c r="H573" s="94">
        <f t="shared" si="5"/>
        <v>6</v>
      </c>
      <c r="I573" s="95" t="s">
        <v>1898</v>
      </c>
      <c r="J573" s="96">
        <v>46153.0</v>
      </c>
      <c r="K573" s="95"/>
      <c r="L573" s="98"/>
      <c r="M573" s="98"/>
      <c r="N573" s="98"/>
      <c r="O573" s="98"/>
      <c r="P573" s="98"/>
      <c r="Q573" s="98"/>
      <c r="R573" s="98"/>
      <c r="S573" s="98"/>
      <c r="T573" s="98"/>
      <c r="U573" s="98"/>
      <c r="V573" s="98"/>
      <c r="W573" s="98"/>
      <c r="X573" s="98"/>
      <c r="Y573" s="98"/>
      <c r="Z573" s="98"/>
    </row>
    <row r="574">
      <c r="A574" s="69">
        <v>17963.0</v>
      </c>
      <c r="B574" s="68" t="s">
        <v>1899</v>
      </c>
      <c r="C574" s="69">
        <v>2020.0</v>
      </c>
      <c r="D574" s="68" t="s">
        <v>1147</v>
      </c>
      <c r="E574" s="68" t="s">
        <v>329</v>
      </c>
      <c r="F574" s="70" t="s">
        <v>1900</v>
      </c>
      <c r="G574" s="71">
        <v>46147.0</v>
      </c>
      <c r="H574" s="72">
        <f t="shared" si="5"/>
        <v>3</v>
      </c>
      <c r="I574" s="73" t="s">
        <v>1901</v>
      </c>
      <c r="J574" s="74">
        <v>46150.0</v>
      </c>
      <c r="K574" s="73"/>
      <c r="L574" s="75"/>
      <c r="M574" s="75"/>
      <c r="N574" s="75"/>
      <c r="O574" s="75"/>
      <c r="P574" s="75"/>
      <c r="Q574" s="75"/>
      <c r="R574" s="75"/>
      <c r="S574" s="75"/>
      <c r="T574" s="75"/>
      <c r="U574" s="75"/>
      <c r="V574" s="75"/>
      <c r="W574" s="75"/>
      <c r="X574" s="75"/>
      <c r="Y574" s="75"/>
      <c r="Z574" s="75"/>
    </row>
    <row r="575">
      <c r="A575" s="91">
        <v>17964.0</v>
      </c>
      <c r="B575" s="90" t="s">
        <v>1902</v>
      </c>
      <c r="C575" s="91">
        <v>2022.0</v>
      </c>
      <c r="D575" s="90" t="s">
        <v>1319</v>
      </c>
      <c r="E575" s="90" t="s">
        <v>82</v>
      </c>
      <c r="F575" s="101" t="s">
        <v>1903</v>
      </c>
      <c r="G575" s="93">
        <v>46147.0</v>
      </c>
      <c r="H575" s="94">
        <f t="shared" si="5"/>
        <v>29</v>
      </c>
      <c r="I575" s="95" t="s">
        <v>30</v>
      </c>
      <c r="J575" s="96">
        <v>46176.0</v>
      </c>
      <c r="K575" s="95" t="s">
        <v>31</v>
      </c>
      <c r="L575" s="97">
        <v>155358.0</v>
      </c>
      <c r="M575" s="98"/>
      <c r="N575" s="98"/>
      <c r="O575" s="98"/>
      <c r="P575" s="98"/>
      <c r="Q575" s="98"/>
      <c r="R575" s="98"/>
      <c r="S575" s="98"/>
      <c r="T575" s="98"/>
      <c r="U575" s="98"/>
      <c r="V575" s="98"/>
      <c r="W575" s="98"/>
      <c r="X575" s="98"/>
      <c r="Y575" s="98"/>
      <c r="Z575" s="98"/>
    </row>
    <row r="576">
      <c r="A576" s="69">
        <v>17965.0</v>
      </c>
      <c r="B576" s="68" t="s">
        <v>1904</v>
      </c>
      <c r="C576" s="69">
        <v>2022.0</v>
      </c>
      <c r="D576" s="68" t="s">
        <v>292</v>
      </c>
      <c r="E576" s="68" t="s">
        <v>1024</v>
      </c>
      <c r="F576" s="70" t="s">
        <v>1905</v>
      </c>
      <c r="G576" s="71">
        <v>46147.0</v>
      </c>
      <c r="H576" s="72">
        <f t="shared" si="5"/>
        <v>0</v>
      </c>
      <c r="I576" s="73" t="s">
        <v>1906</v>
      </c>
      <c r="J576" s="74">
        <v>46147.0</v>
      </c>
      <c r="K576" s="73"/>
      <c r="L576" s="75"/>
      <c r="M576" s="75"/>
      <c r="N576" s="75"/>
      <c r="O576" s="75"/>
      <c r="P576" s="75"/>
      <c r="Q576" s="75"/>
      <c r="R576" s="75"/>
      <c r="S576" s="75"/>
      <c r="T576" s="75"/>
      <c r="U576" s="75"/>
      <c r="V576" s="75"/>
      <c r="W576" s="75"/>
      <c r="X576" s="75"/>
      <c r="Y576" s="75"/>
      <c r="Z576" s="75"/>
    </row>
    <row r="577">
      <c r="A577" s="91">
        <v>17966.0</v>
      </c>
      <c r="B577" s="90" t="s">
        <v>1907</v>
      </c>
      <c r="C577" s="91">
        <v>2013.0</v>
      </c>
      <c r="D577" s="90" t="s">
        <v>27</v>
      </c>
      <c r="E577" s="90" t="s">
        <v>169</v>
      </c>
      <c r="F577" s="92">
        <v>46084.0</v>
      </c>
      <c r="G577" s="93">
        <v>46147.0</v>
      </c>
      <c r="H577" s="94">
        <f t="shared" si="5"/>
        <v>1</v>
      </c>
      <c r="I577" s="95" t="s">
        <v>1908</v>
      </c>
      <c r="J577" s="96">
        <v>46148.0</v>
      </c>
      <c r="K577" s="95" t="s">
        <v>31</v>
      </c>
      <c r="L577" s="97">
        <v>92225.0</v>
      </c>
      <c r="M577" s="97"/>
      <c r="N577" s="97"/>
      <c r="O577" s="97"/>
      <c r="P577" s="97"/>
      <c r="Q577" s="97"/>
      <c r="R577" s="97"/>
      <c r="S577" s="97"/>
      <c r="T577" s="97"/>
      <c r="U577" s="97"/>
      <c r="V577" s="97"/>
      <c r="W577" s="97"/>
      <c r="X577" s="97"/>
      <c r="Y577" s="97"/>
      <c r="Z577" s="97"/>
    </row>
    <row r="578">
      <c r="A578" s="69">
        <v>17967.0</v>
      </c>
      <c r="B578" s="68" t="s">
        <v>1909</v>
      </c>
      <c r="C578" s="69">
        <v>2022.0</v>
      </c>
      <c r="D578" s="68" t="s">
        <v>40</v>
      </c>
      <c r="E578" s="68" t="s">
        <v>173</v>
      </c>
      <c r="F578" s="70" t="s">
        <v>1910</v>
      </c>
      <c r="G578" s="71">
        <v>46147.0</v>
      </c>
      <c r="H578" s="72">
        <f t="shared" si="5"/>
        <v>2</v>
      </c>
      <c r="I578" s="73" t="s">
        <v>1911</v>
      </c>
      <c r="J578" s="74">
        <v>46149.0</v>
      </c>
      <c r="K578" s="73"/>
      <c r="L578" s="75"/>
      <c r="M578" s="75"/>
      <c r="N578" s="75"/>
      <c r="O578" s="75"/>
      <c r="P578" s="75"/>
      <c r="Q578" s="75"/>
      <c r="R578" s="75"/>
      <c r="S578" s="75"/>
      <c r="T578" s="75"/>
      <c r="U578" s="75"/>
      <c r="V578" s="75"/>
      <c r="W578" s="75"/>
      <c r="X578" s="75"/>
      <c r="Y578" s="75"/>
      <c r="Z578" s="75"/>
    </row>
    <row r="579">
      <c r="A579" s="91">
        <v>18081.0</v>
      </c>
      <c r="B579" s="90" t="s">
        <v>1912</v>
      </c>
      <c r="C579" s="91">
        <v>2023.0</v>
      </c>
      <c r="D579" s="90" t="s">
        <v>1913</v>
      </c>
      <c r="E579" s="90" t="s">
        <v>70</v>
      </c>
      <c r="F579" s="101" t="s">
        <v>1914</v>
      </c>
      <c r="G579" s="93">
        <v>46163.0</v>
      </c>
      <c r="H579" s="94">
        <f t="shared" si="5"/>
        <v>62</v>
      </c>
      <c r="I579" s="95" t="s">
        <v>504</v>
      </c>
      <c r="J579" s="96"/>
      <c r="K579" s="95"/>
      <c r="L579" s="98"/>
      <c r="M579" s="98"/>
      <c r="N579" s="98"/>
      <c r="O579" s="98"/>
      <c r="P579" s="98"/>
      <c r="Q579" s="98"/>
      <c r="R579" s="98"/>
      <c r="S579" s="98"/>
      <c r="T579" s="98"/>
      <c r="U579" s="98"/>
      <c r="V579" s="98"/>
      <c r="W579" s="98"/>
      <c r="X579" s="98"/>
      <c r="Y579" s="98"/>
      <c r="Z579" s="98"/>
    </row>
    <row r="580">
      <c r="A580" s="69">
        <v>17971.0</v>
      </c>
      <c r="B580" s="68" t="s">
        <v>1915</v>
      </c>
      <c r="C580" s="69">
        <v>2014.0</v>
      </c>
      <c r="D580" s="68" t="s">
        <v>1916</v>
      </c>
      <c r="E580" s="68" t="s">
        <v>47</v>
      </c>
      <c r="F580" s="70" t="s">
        <v>1917</v>
      </c>
      <c r="G580" s="71">
        <v>46147.0</v>
      </c>
      <c r="H580" s="72">
        <f t="shared" si="5"/>
        <v>41</v>
      </c>
      <c r="I580" s="73" t="s">
        <v>1918</v>
      </c>
      <c r="J580" s="74">
        <v>46188.0</v>
      </c>
      <c r="K580" s="73" t="s">
        <v>31</v>
      </c>
      <c r="L580" s="103">
        <v>52080.0</v>
      </c>
      <c r="M580" s="75"/>
      <c r="N580" s="75"/>
      <c r="O580" s="75"/>
      <c r="P580" s="75"/>
      <c r="Q580" s="75"/>
      <c r="R580" s="75"/>
      <c r="S580" s="75"/>
      <c r="T580" s="75"/>
      <c r="U580" s="75"/>
      <c r="V580" s="75"/>
      <c r="W580" s="75"/>
      <c r="X580" s="75"/>
      <c r="Y580" s="75"/>
      <c r="Z580" s="75"/>
    </row>
    <row r="581">
      <c r="A581" s="91">
        <v>17973.0</v>
      </c>
      <c r="B581" s="90" t="s">
        <v>1919</v>
      </c>
      <c r="C581" s="91">
        <v>2015.0</v>
      </c>
      <c r="D581" s="90" t="s">
        <v>911</v>
      </c>
      <c r="E581" s="90" t="s">
        <v>725</v>
      </c>
      <c r="F581" s="101" t="s">
        <v>1920</v>
      </c>
      <c r="G581" s="93">
        <v>46148.0</v>
      </c>
      <c r="H581" s="94">
        <f t="shared" si="5"/>
        <v>26</v>
      </c>
      <c r="I581" s="95" t="s">
        <v>1921</v>
      </c>
      <c r="J581" s="96">
        <v>46174.0</v>
      </c>
      <c r="K581" s="95" t="s">
        <v>31</v>
      </c>
      <c r="L581" s="97">
        <v>44852.0</v>
      </c>
      <c r="M581" s="98"/>
      <c r="N581" s="98"/>
      <c r="O581" s="98"/>
      <c r="P581" s="98"/>
      <c r="Q581" s="98"/>
      <c r="R581" s="98"/>
      <c r="S581" s="98"/>
      <c r="T581" s="98"/>
      <c r="U581" s="98"/>
      <c r="V581" s="98"/>
      <c r="W581" s="98"/>
      <c r="X581" s="98"/>
      <c r="Y581" s="98"/>
      <c r="Z581" s="98"/>
    </row>
    <row r="582">
      <c r="A582" s="69">
        <v>18062.0</v>
      </c>
      <c r="B582" s="68" t="s">
        <v>1922</v>
      </c>
      <c r="C582" s="69">
        <v>2021.0</v>
      </c>
      <c r="D582" s="68" t="s">
        <v>40</v>
      </c>
      <c r="E582" s="68" t="s">
        <v>70</v>
      </c>
      <c r="F582" s="70" t="s">
        <v>1923</v>
      </c>
      <c r="G582" s="71">
        <v>46161.0</v>
      </c>
      <c r="H582" s="72">
        <f t="shared" si="5"/>
        <v>10</v>
      </c>
      <c r="I582" s="73" t="s">
        <v>1924</v>
      </c>
      <c r="J582" s="74">
        <v>46171.0</v>
      </c>
      <c r="K582" s="73" t="s">
        <v>31</v>
      </c>
      <c r="L582" s="103">
        <v>64986.0</v>
      </c>
      <c r="M582" s="75"/>
      <c r="N582" s="75"/>
      <c r="O582" s="75"/>
      <c r="P582" s="75"/>
      <c r="Q582" s="75"/>
      <c r="R582" s="75"/>
      <c r="S582" s="75"/>
      <c r="T582" s="75"/>
      <c r="U582" s="75"/>
      <c r="V582" s="75"/>
      <c r="W582" s="75"/>
      <c r="X582" s="75"/>
      <c r="Y582" s="75"/>
      <c r="Z582" s="75"/>
    </row>
    <row r="583">
      <c r="A583" s="91">
        <v>17975.0</v>
      </c>
      <c r="B583" s="90" t="s">
        <v>837</v>
      </c>
      <c r="C583" s="91">
        <v>2022.0</v>
      </c>
      <c r="D583" s="90" t="s">
        <v>40</v>
      </c>
      <c r="E583" s="90" t="s">
        <v>183</v>
      </c>
      <c r="F583" s="101" t="s">
        <v>838</v>
      </c>
      <c r="G583" s="93">
        <v>46148.0</v>
      </c>
      <c r="H583" s="94">
        <f t="shared" si="5"/>
        <v>2</v>
      </c>
      <c r="I583" s="95" t="s">
        <v>1925</v>
      </c>
      <c r="J583" s="96">
        <v>46150.0</v>
      </c>
      <c r="K583" s="95"/>
      <c r="L583" s="98"/>
      <c r="M583" s="97"/>
      <c r="N583" s="97"/>
      <c r="O583" s="97"/>
      <c r="P583" s="97"/>
      <c r="Q583" s="97"/>
      <c r="R583" s="97"/>
      <c r="S583" s="97"/>
      <c r="T583" s="97"/>
      <c r="U583" s="97"/>
      <c r="V583" s="97"/>
      <c r="W583" s="97"/>
      <c r="X583" s="97"/>
      <c r="Y583" s="97"/>
      <c r="Z583" s="97"/>
    </row>
    <row r="584">
      <c r="A584" s="69">
        <v>17976.0</v>
      </c>
      <c r="B584" s="68" t="s">
        <v>250</v>
      </c>
      <c r="C584" s="69">
        <v>2014.0</v>
      </c>
      <c r="D584" s="68" t="s">
        <v>251</v>
      </c>
      <c r="E584" s="68" t="s">
        <v>70</v>
      </c>
      <c r="F584" s="70" t="s">
        <v>252</v>
      </c>
      <c r="G584" s="71">
        <v>46148.0</v>
      </c>
      <c r="H584" s="72">
        <f t="shared" si="5"/>
        <v>77</v>
      </c>
      <c r="I584" s="73" t="s">
        <v>1926</v>
      </c>
      <c r="J584" s="74"/>
      <c r="K584" s="73"/>
      <c r="L584" s="75"/>
      <c r="M584" s="75"/>
      <c r="N584" s="75"/>
      <c r="O584" s="75"/>
      <c r="P584" s="75"/>
      <c r="Q584" s="75"/>
      <c r="R584" s="75"/>
      <c r="S584" s="75"/>
      <c r="T584" s="75"/>
      <c r="U584" s="75"/>
      <c r="V584" s="75"/>
      <c r="W584" s="75"/>
      <c r="X584" s="75"/>
      <c r="Y584" s="75"/>
      <c r="Z584" s="75"/>
    </row>
    <row r="585">
      <c r="A585" s="91">
        <v>17978.0</v>
      </c>
      <c r="B585" s="90" t="s">
        <v>1927</v>
      </c>
      <c r="C585" s="91">
        <v>2021.0</v>
      </c>
      <c r="D585" s="90" t="s">
        <v>1270</v>
      </c>
      <c r="E585" s="90" t="s">
        <v>571</v>
      </c>
      <c r="F585" s="101" t="s">
        <v>1928</v>
      </c>
      <c r="G585" s="93">
        <v>46148.0</v>
      </c>
      <c r="H585" s="94">
        <f t="shared" si="5"/>
        <v>12</v>
      </c>
      <c r="I585" s="95" t="s">
        <v>1929</v>
      </c>
      <c r="J585" s="96">
        <v>46160.0</v>
      </c>
      <c r="K585" s="95"/>
      <c r="L585" s="98"/>
      <c r="M585" s="98"/>
      <c r="N585" s="98"/>
      <c r="O585" s="98"/>
      <c r="P585" s="98"/>
      <c r="Q585" s="98"/>
      <c r="R585" s="98"/>
      <c r="S585" s="98"/>
      <c r="T585" s="98"/>
      <c r="U585" s="98"/>
      <c r="V585" s="98"/>
      <c r="W585" s="98"/>
      <c r="X585" s="98"/>
      <c r="Y585" s="98"/>
      <c r="Z585" s="98"/>
    </row>
    <row r="586">
      <c r="A586" s="69">
        <v>17979.0</v>
      </c>
      <c r="B586" s="68" t="s">
        <v>1930</v>
      </c>
      <c r="C586" s="69">
        <v>2022.0</v>
      </c>
      <c r="D586" s="68" t="s">
        <v>1270</v>
      </c>
      <c r="E586" s="68" t="s">
        <v>571</v>
      </c>
      <c r="F586" s="70" t="s">
        <v>1931</v>
      </c>
      <c r="G586" s="71">
        <v>46148.0</v>
      </c>
      <c r="H586" s="72">
        <f t="shared" si="5"/>
        <v>51</v>
      </c>
      <c r="I586" s="73" t="s">
        <v>1932</v>
      </c>
      <c r="J586" s="74">
        <v>46199.0</v>
      </c>
      <c r="K586" s="73"/>
      <c r="L586" s="75"/>
      <c r="M586" s="75"/>
      <c r="N586" s="75"/>
      <c r="O586" s="75"/>
      <c r="P586" s="75"/>
      <c r="Q586" s="75"/>
      <c r="R586" s="75"/>
      <c r="S586" s="75"/>
      <c r="T586" s="75"/>
      <c r="U586" s="75"/>
      <c r="V586" s="75"/>
      <c r="W586" s="75"/>
      <c r="X586" s="75"/>
      <c r="Y586" s="75"/>
      <c r="Z586" s="75"/>
    </row>
    <row r="587">
      <c r="A587" s="91" t="s">
        <v>1933</v>
      </c>
      <c r="B587" s="90" t="s">
        <v>1934</v>
      </c>
      <c r="C587" s="91">
        <v>2021.0</v>
      </c>
      <c r="D587" s="90" t="s">
        <v>1213</v>
      </c>
      <c r="E587" s="90" t="s">
        <v>70</v>
      </c>
      <c r="F587" s="92">
        <v>46149.0</v>
      </c>
      <c r="G587" s="93">
        <v>46176.0</v>
      </c>
      <c r="H587" s="94">
        <f t="shared" si="5"/>
        <v>0</v>
      </c>
      <c r="I587" s="95" t="s">
        <v>1935</v>
      </c>
      <c r="J587" s="96">
        <v>46176.0</v>
      </c>
      <c r="K587" s="95"/>
      <c r="L587" s="98"/>
      <c r="M587" s="98"/>
      <c r="N587" s="98"/>
      <c r="O587" s="98"/>
      <c r="P587" s="98"/>
      <c r="Q587" s="98"/>
      <c r="R587" s="98"/>
      <c r="S587" s="98"/>
      <c r="T587" s="98"/>
      <c r="U587" s="98"/>
      <c r="V587" s="98"/>
      <c r="W587" s="98"/>
      <c r="X587" s="98"/>
      <c r="Y587" s="98"/>
      <c r="Z587" s="98"/>
    </row>
    <row r="588">
      <c r="A588" s="69" t="s">
        <v>1936</v>
      </c>
      <c r="B588" s="68" t="s">
        <v>1937</v>
      </c>
      <c r="C588" s="69">
        <v>2024.0</v>
      </c>
      <c r="D588" s="68" t="s">
        <v>1938</v>
      </c>
      <c r="E588" s="68" t="s">
        <v>70</v>
      </c>
      <c r="F588" s="70">
        <v>15296.0</v>
      </c>
      <c r="G588" s="71">
        <v>46148.0</v>
      </c>
      <c r="H588" s="72">
        <f t="shared" si="5"/>
        <v>6</v>
      </c>
      <c r="I588" s="73" t="s">
        <v>1939</v>
      </c>
      <c r="J588" s="74">
        <v>46154.0</v>
      </c>
      <c r="K588" s="73"/>
      <c r="L588" s="75"/>
      <c r="M588" s="75"/>
      <c r="N588" s="75"/>
      <c r="O588" s="75"/>
      <c r="P588" s="75"/>
      <c r="Q588" s="75"/>
      <c r="R588" s="75"/>
      <c r="S588" s="75"/>
      <c r="T588" s="75"/>
      <c r="U588" s="75"/>
      <c r="V588" s="75"/>
      <c r="W588" s="75"/>
      <c r="X588" s="75"/>
      <c r="Y588" s="75"/>
      <c r="Z588" s="75"/>
    </row>
    <row r="589">
      <c r="A589" s="91">
        <v>17981.0</v>
      </c>
      <c r="B589" s="90" t="s">
        <v>1940</v>
      </c>
      <c r="C589" s="91">
        <v>2021.0</v>
      </c>
      <c r="D589" s="90" t="s">
        <v>1147</v>
      </c>
      <c r="E589" s="90" t="s">
        <v>1878</v>
      </c>
      <c r="F589" s="101" t="s">
        <v>1941</v>
      </c>
      <c r="G589" s="93">
        <v>46149.0</v>
      </c>
      <c r="H589" s="94">
        <f t="shared" si="5"/>
        <v>0</v>
      </c>
      <c r="I589" s="95" t="s">
        <v>1942</v>
      </c>
      <c r="J589" s="96">
        <v>46149.0</v>
      </c>
      <c r="K589" s="95"/>
      <c r="L589" s="98"/>
      <c r="M589" s="98"/>
      <c r="N589" s="98"/>
      <c r="O589" s="98"/>
      <c r="P589" s="98"/>
      <c r="Q589" s="98"/>
      <c r="R589" s="98"/>
      <c r="S589" s="98"/>
      <c r="T589" s="98"/>
      <c r="U589" s="98"/>
      <c r="V589" s="98"/>
      <c r="W589" s="98"/>
      <c r="X589" s="98"/>
      <c r="Y589" s="98"/>
      <c r="Z589" s="98"/>
    </row>
    <row r="590">
      <c r="A590" s="69">
        <v>17982.0</v>
      </c>
      <c r="B590" s="68" t="s">
        <v>1943</v>
      </c>
      <c r="C590" s="69">
        <v>2014.0</v>
      </c>
      <c r="D590" s="68" t="s">
        <v>1091</v>
      </c>
      <c r="E590" s="68" t="s">
        <v>235</v>
      </c>
      <c r="F590" s="70" t="s">
        <v>1944</v>
      </c>
      <c r="G590" s="71">
        <v>46149.0</v>
      </c>
      <c r="H590" s="72">
        <f t="shared" si="5"/>
        <v>55</v>
      </c>
      <c r="I590" s="73" t="s">
        <v>1945</v>
      </c>
      <c r="J590" s="74">
        <v>46204.0</v>
      </c>
      <c r="K590" s="73" t="s">
        <v>31</v>
      </c>
      <c r="L590" s="103">
        <v>146482.0</v>
      </c>
      <c r="M590" s="103"/>
      <c r="N590" s="103"/>
      <c r="O590" s="103"/>
      <c r="P590" s="103"/>
      <c r="Q590" s="103"/>
      <c r="R590" s="103"/>
      <c r="S590" s="103"/>
      <c r="T590" s="103"/>
      <c r="U590" s="103"/>
      <c r="V590" s="103"/>
      <c r="W590" s="103"/>
      <c r="X590" s="103"/>
      <c r="Y590" s="103"/>
      <c r="Z590" s="103"/>
    </row>
    <row r="591">
      <c r="A591" s="91">
        <v>17983.0</v>
      </c>
      <c r="B591" s="90" t="s">
        <v>1946</v>
      </c>
      <c r="C591" s="91">
        <v>2022.0</v>
      </c>
      <c r="D591" s="90" t="s">
        <v>292</v>
      </c>
      <c r="E591" s="90" t="s">
        <v>1947</v>
      </c>
      <c r="F591" s="101" t="s">
        <v>1948</v>
      </c>
      <c r="G591" s="93">
        <v>46149.0</v>
      </c>
      <c r="H591" s="94">
        <f t="shared" si="5"/>
        <v>0</v>
      </c>
      <c r="I591" s="95" t="s">
        <v>1949</v>
      </c>
      <c r="J591" s="96">
        <v>46149.0</v>
      </c>
      <c r="K591" s="95"/>
      <c r="L591" s="98"/>
      <c r="M591" s="98"/>
      <c r="N591" s="98"/>
      <c r="O591" s="98"/>
      <c r="P591" s="98"/>
      <c r="Q591" s="98"/>
      <c r="R591" s="98"/>
      <c r="S591" s="98"/>
      <c r="T591" s="98"/>
      <c r="U591" s="98"/>
      <c r="V591" s="98"/>
      <c r="W591" s="98"/>
      <c r="X591" s="98"/>
      <c r="Y591" s="98"/>
      <c r="Z591" s="98"/>
    </row>
    <row r="592">
      <c r="A592" s="69">
        <v>17987.0</v>
      </c>
      <c r="B592" s="68" t="s">
        <v>1950</v>
      </c>
      <c r="C592" s="69">
        <v>2023.0</v>
      </c>
      <c r="D592" s="68" t="s">
        <v>69</v>
      </c>
      <c r="E592" s="68" t="s">
        <v>70</v>
      </c>
      <c r="F592" s="70" t="s">
        <v>1951</v>
      </c>
      <c r="G592" s="71">
        <v>46149.0</v>
      </c>
      <c r="H592" s="72">
        <f t="shared" si="5"/>
        <v>49</v>
      </c>
      <c r="I592" s="73" t="s">
        <v>1952</v>
      </c>
      <c r="J592" s="74">
        <v>46198.0</v>
      </c>
      <c r="K592" s="73" t="s">
        <v>31</v>
      </c>
      <c r="L592" s="103">
        <v>33867.0</v>
      </c>
      <c r="M592" s="75"/>
      <c r="N592" s="75"/>
      <c r="O592" s="75"/>
      <c r="P592" s="75"/>
      <c r="Q592" s="75"/>
      <c r="R592" s="75"/>
      <c r="S592" s="75"/>
      <c r="T592" s="75"/>
      <c r="U592" s="75"/>
      <c r="V592" s="75"/>
      <c r="W592" s="75"/>
      <c r="X592" s="75"/>
      <c r="Y592" s="75"/>
      <c r="Z592" s="75"/>
    </row>
    <row r="593">
      <c r="A593" s="91">
        <v>17988.0</v>
      </c>
      <c r="B593" s="90" t="s">
        <v>535</v>
      </c>
      <c r="C593" s="91">
        <v>2020.0</v>
      </c>
      <c r="D593" s="90" t="s">
        <v>536</v>
      </c>
      <c r="E593" s="90" t="s">
        <v>350</v>
      </c>
      <c r="F593" s="101" t="s">
        <v>537</v>
      </c>
      <c r="G593" s="93">
        <v>46149.0</v>
      </c>
      <c r="H593" s="94">
        <f t="shared" si="5"/>
        <v>0</v>
      </c>
      <c r="I593" s="95" t="s">
        <v>1953</v>
      </c>
      <c r="J593" s="96">
        <v>46149.0</v>
      </c>
      <c r="K593" s="95"/>
      <c r="L593" s="98"/>
      <c r="M593" s="98"/>
      <c r="N593" s="98"/>
      <c r="O593" s="98"/>
      <c r="P593" s="98"/>
      <c r="Q593" s="98"/>
      <c r="R593" s="98"/>
      <c r="S593" s="98"/>
      <c r="T593" s="98"/>
      <c r="U593" s="98"/>
      <c r="V593" s="98"/>
      <c r="W593" s="98"/>
      <c r="X593" s="98"/>
      <c r="Y593" s="98"/>
      <c r="Z593" s="98"/>
    </row>
    <row r="594">
      <c r="A594" s="69" t="s">
        <v>1954</v>
      </c>
      <c r="B594" s="68" t="s">
        <v>1955</v>
      </c>
      <c r="C594" s="69">
        <v>2023.0</v>
      </c>
      <c r="D594" s="68" t="s">
        <v>1515</v>
      </c>
      <c r="E594" s="68" t="s">
        <v>70</v>
      </c>
      <c r="F594" s="70" t="s">
        <v>1956</v>
      </c>
      <c r="G594" s="71">
        <v>46150.0</v>
      </c>
      <c r="H594" s="72">
        <f t="shared" si="5"/>
        <v>14</v>
      </c>
      <c r="I594" s="73" t="s">
        <v>1957</v>
      </c>
      <c r="J594" s="74">
        <v>46164.0</v>
      </c>
      <c r="K594" s="73" t="s">
        <v>31</v>
      </c>
      <c r="L594" s="73">
        <v>32410.0</v>
      </c>
      <c r="M594" s="73"/>
      <c r="N594" s="73"/>
      <c r="O594" s="73"/>
      <c r="P594" s="73"/>
      <c r="Q594" s="73"/>
      <c r="R594" s="73"/>
      <c r="S594" s="73"/>
      <c r="T594" s="73"/>
      <c r="U594" s="73"/>
      <c r="V594" s="73"/>
      <c r="W594" s="73"/>
      <c r="X594" s="73"/>
      <c r="Y594" s="73"/>
      <c r="Z594" s="73"/>
    </row>
    <row r="595">
      <c r="A595" s="91">
        <v>17989.0</v>
      </c>
      <c r="B595" s="90" t="s">
        <v>94</v>
      </c>
      <c r="C595" s="91">
        <v>2022.0</v>
      </c>
      <c r="D595" s="90" t="s">
        <v>40</v>
      </c>
      <c r="E595" s="90" t="s">
        <v>350</v>
      </c>
      <c r="F595" s="101" t="s">
        <v>96</v>
      </c>
      <c r="G595" s="93">
        <v>46150.0</v>
      </c>
      <c r="H595" s="94">
        <f t="shared" si="5"/>
        <v>0</v>
      </c>
      <c r="I595" s="95" t="s">
        <v>1958</v>
      </c>
      <c r="J595" s="96">
        <v>46150.0</v>
      </c>
      <c r="K595" s="95"/>
      <c r="L595" s="98"/>
      <c r="M595" s="97"/>
      <c r="N595" s="97"/>
      <c r="O595" s="97"/>
      <c r="P595" s="97"/>
      <c r="Q595" s="97"/>
      <c r="R595" s="97"/>
      <c r="S595" s="97"/>
      <c r="T595" s="97"/>
      <c r="U595" s="97"/>
      <c r="V595" s="97"/>
      <c r="W595" s="97"/>
      <c r="X595" s="97"/>
      <c r="Y595" s="97"/>
      <c r="Z595" s="97"/>
    </row>
    <row r="596">
      <c r="A596" s="69">
        <v>17990.0</v>
      </c>
      <c r="B596" s="68" t="s">
        <v>1959</v>
      </c>
      <c r="C596" s="69">
        <v>2022.0</v>
      </c>
      <c r="D596" s="68" t="s">
        <v>1270</v>
      </c>
      <c r="E596" s="68" t="s">
        <v>1960</v>
      </c>
      <c r="F596" s="70" t="s">
        <v>1961</v>
      </c>
      <c r="G596" s="71">
        <v>46150.0</v>
      </c>
      <c r="H596" s="72">
        <f t="shared" si="5"/>
        <v>11</v>
      </c>
      <c r="I596" s="73" t="s">
        <v>1962</v>
      </c>
      <c r="J596" s="74">
        <v>46161.0</v>
      </c>
      <c r="K596" s="73"/>
      <c r="L596" s="75"/>
      <c r="M596" s="75"/>
      <c r="N596" s="75"/>
      <c r="O596" s="75"/>
      <c r="P596" s="75"/>
      <c r="Q596" s="75"/>
      <c r="R596" s="75"/>
      <c r="S596" s="75"/>
      <c r="T596" s="75"/>
      <c r="U596" s="75"/>
      <c r="V596" s="75"/>
      <c r="W596" s="75"/>
      <c r="X596" s="75"/>
      <c r="Y596" s="75"/>
      <c r="Z596" s="75"/>
    </row>
    <row r="597">
      <c r="A597" s="91">
        <v>17991.0</v>
      </c>
      <c r="B597" s="90" t="s">
        <v>1963</v>
      </c>
      <c r="C597" s="91">
        <v>2017.0</v>
      </c>
      <c r="D597" s="90" t="s">
        <v>575</v>
      </c>
      <c r="E597" s="90" t="s">
        <v>1960</v>
      </c>
      <c r="F597" s="101" t="s">
        <v>1964</v>
      </c>
      <c r="G597" s="93">
        <v>46150.0</v>
      </c>
      <c r="H597" s="94">
        <f t="shared" si="5"/>
        <v>12</v>
      </c>
      <c r="I597" s="95" t="s">
        <v>1965</v>
      </c>
      <c r="J597" s="96">
        <v>46162.0</v>
      </c>
      <c r="K597" s="95"/>
      <c r="L597" s="98"/>
      <c r="M597" s="98"/>
      <c r="N597" s="98"/>
      <c r="O597" s="98"/>
      <c r="P597" s="98"/>
      <c r="Q597" s="98"/>
      <c r="R597" s="98"/>
      <c r="S597" s="98"/>
      <c r="T597" s="98"/>
      <c r="U597" s="98"/>
      <c r="V597" s="98"/>
      <c r="W597" s="98"/>
      <c r="X597" s="98"/>
      <c r="Y597" s="98"/>
      <c r="Z597" s="98"/>
    </row>
    <row r="598">
      <c r="A598" s="69">
        <v>17992.0</v>
      </c>
      <c r="B598" s="68" t="s">
        <v>1966</v>
      </c>
      <c r="C598" s="69">
        <v>2013.0</v>
      </c>
      <c r="D598" s="68" t="s">
        <v>1967</v>
      </c>
      <c r="E598" s="68" t="s">
        <v>106</v>
      </c>
      <c r="F598" s="70" t="s">
        <v>1968</v>
      </c>
      <c r="G598" s="71">
        <v>46150.0</v>
      </c>
      <c r="H598" s="72">
        <f t="shared" si="5"/>
        <v>5</v>
      </c>
      <c r="I598" s="73" t="s">
        <v>1969</v>
      </c>
      <c r="J598" s="74">
        <v>46155.0</v>
      </c>
      <c r="K598" s="73"/>
      <c r="L598" s="75"/>
      <c r="M598" s="75"/>
      <c r="N598" s="75"/>
      <c r="O598" s="75"/>
      <c r="P598" s="75"/>
      <c r="Q598" s="75"/>
      <c r="R598" s="75"/>
      <c r="S598" s="75"/>
      <c r="T598" s="75"/>
      <c r="U598" s="75"/>
      <c r="V598" s="75"/>
      <c r="W598" s="75"/>
      <c r="X598" s="75"/>
      <c r="Y598" s="75"/>
      <c r="Z598" s="75"/>
    </row>
    <row r="599">
      <c r="A599" s="91">
        <v>17993.0</v>
      </c>
      <c r="B599" s="90" t="s">
        <v>1970</v>
      </c>
      <c r="C599" s="91">
        <v>2017.0</v>
      </c>
      <c r="D599" s="90" t="s">
        <v>182</v>
      </c>
      <c r="E599" s="90" t="s">
        <v>277</v>
      </c>
      <c r="F599" s="101" t="s">
        <v>1971</v>
      </c>
      <c r="G599" s="93">
        <v>46150.0</v>
      </c>
      <c r="H599" s="94">
        <f t="shared" si="5"/>
        <v>25</v>
      </c>
      <c r="I599" s="95" t="s">
        <v>31</v>
      </c>
      <c r="J599" s="96">
        <v>46175.0</v>
      </c>
      <c r="K599" s="95" t="s">
        <v>31</v>
      </c>
      <c r="L599" s="97">
        <v>81438.0</v>
      </c>
      <c r="M599" s="95"/>
      <c r="N599" s="95"/>
      <c r="O599" s="95"/>
      <c r="P599" s="95"/>
      <c r="Q599" s="95"/>
      <c r="R599" s="95"/>
      <c r="S599" s="95"/>
      <c r="T599" s="95"/>
      <c r="U599" s="95"/>
      <c r="V599" s="95"/>
      <c r="W599" s="95"/>
      <c r="X599" s="95"/>
      <c r="Y599" s="95"/>
      <c r="Z599" s="95"/>
    </row>
    <row r="600">
      <c r="A600" s="69">
        <v>18237.0</v>
      </c>
      <c r="B600" s="68" t="s">
        <v>1972</v>
      </c>
      <c r="C600" s="69">
        <v>2020.0</v>
      </c>
      <c r="D600" s="68" t="s">
        <v>1170</v>
      </c>
      <c r="E600" s="68" t="s">
        <v>1973</v>
      </c>
      <c r="F600" s="70" t="s">
        <v>1475</v>
      </c>
      <c r="G600" s="71">
        <v>46185.0</v>
      </c>
      <c r="H600" s="72">
        <f t="shared" si="5"/>
        <v>14</v>
      </c>
      <c r="I600" s="73" t="s">
        <v>1974</v>
      </c>
      <c r="J600" s="74">
        <v>46199.0</v>
      </c>
      <c r="K600" s="73"/>
      <c r="L600" s="75"/>
      <c r="M600" s="75"/>
      <c r="N600" s="75"/>
      <c r="O600" s="75"/>
      <c r="P600" s="75"/>
      <c r="Q600" s="75"/>
      <c r="R600" s="75"/>
      <c r="S600" s="75"/>
      <c r="T600" s="75"/>
      <c r="U600" s="75"/>
      <c r="V600" s="75"/>
      <c r="W600" s="75"/>
      <c r="X600" s="75"/>
      <c r="Y600" s="75"/>
      <c r="Z600" s="75"/>
    </row>
    <row r="601">
      <c r="A601" s="91">
        <v>18001.0</v>
      </c>
      <c r="B601" s="90" t="s">
        <v>1975</v>
      </c>
      <c r="C601" s="91">
        <v>2022.0</v>
      </c>
      <c r="D601" s="90" t="s">
        <v>1976</v>
      </c>
      <c r="E601" s="90" t="s">
        <v>1977</v>
      </c>
      <c r="F601" s="101" t="s">
        <v>1978</v>
      </c>
      <c r="G601" s="93">
        <v>46153.0</v>
      </c>
      <c r="H601" s="94">
        <f t="shared" si="5"/>
        <v>0</v>
      </c>
      <c r="I601" s="95" t="s">
        <v>1979</v>
      </c>
      <c r="J601" s="96">
        <v>46153.0</v>
      </c>
      <c r="K601" s="95"/>
      <c r="L601" s="98"/>
      <c r="M601" s="98"/>
      <c r="N601" s="98"/>
      <c r="O601" s="98"/>
      <c r="P601" s="98"/>
      <c r="Q601" s="98"/>
      <c r="R601" s="98"/>
      <c r="S601" s="98"/>
      <c r="T601" s="98"/>
      <c r="U601" s="98"/>
      <c r="V601" s="98"/>
      <c r="W601" s="98"/>
      <c r="X601" s="98"/>
      <c r="Y601" s="98"/>
      <c r="Z601" s="98"/>
    </row>
    <row r="602">
      <c r="A602" s="69">
        <v>18009.0</v>
      </c>
      <c r="B602" s="68" t="s">
        <v>1980</v>
      </c>
      <c r="C602" s="69">
        <v>2020.0</v>
      </c>
      <c r="D602" s="68" t="s">
        <v>536</v>
      </c>
      <c r="E602" s="68" t="s">
        <v>1256</v>
      </c>
      <c r="F602" s="70" t="s">
        <v>1981</v>
      </c>
      <c r="G602" s="71">
        <v>46154.0</v>
      </c>
      <c r="H602" s="72">
        <f t="shared" si="5"/>
        <v>0</v>
      </c>
      <c r="I602" s="73" t="s">
        <v>1982</v>
      </c>
      <c r="J602" s="74">
        <v>46154.0</v>
      </c>
      <c r="K602" s="73"/>
      <c r="L602" s="75"/>
      <c r="M602" s="75"/>
      <c r="N602" s="75"/>
      <c r="O602" s="75"/>
      <c r="P602" s="75"/>
      <c r="Q602" s="75"/>
      <c r="R602" s="75"/>
      <c r="S602" s="75"/>
      <c r="T602" s="75"/>
      <c r="U602" s="75"/>
      <c r="V602" s="75"/>
      <c r="W602" s="75"/>
      <c r="X602" s="75"/>
      <c r="Y602" s="75"/>
      <c r="Z602" s="75"/>
    </row>
    <row r="603">
      <c r="A603" s="91">
        <v>18010.0</v>
      </c>
      <c r="B603" s="90" t="s">
        <v>1983</v>
      </c>
      <c r="C603" s="91">
        <v>2020.0</v>
      </c>
      <c r="D603" s="90" t="s">
        <v>1170</v>
      </c>
      <c r="E603" s="90" t="s">
        <v>1598</v>
      </c>
      <c r="F603" s="101" t="s">
        <v>1984</v>
      </c>
      <c r="G603" s="93">
        <v>46154.0</v>
      </c>
      <c r="H603" s="94">
        <f t="shared" si="5"/>
        <v>0</v>
      </c>
      <c r="I603" s="95" t="s">
        <v>1985</v>
      </c>
      <c r="J603" s="96">
        <v>46154.0</v>
      </c>
      <c r="K603" s="95"/>
      <c r="L603" s="98"/>
      <c r="M603" s="98"/>
      <c r="N603" s="98"/>
      <c r="O603" s="98"/>
      <c r="P603" s="98"/>
      <c r="Q603" s="98"/>
      <c r="R603" s="98"/>
      <c r="S603" s="98"/>
      <c r="T603" s="98"/>
      <c r="U603" s="98"/>
      <c r="V603" s="98"/>
      <c r="W603" s="98"/>
      <c r="X603" s="98"/>
      <c r="Y603" s="98"/>
      <c r="Z603" s="98"/>
    </row>
    <row r="604">
      <c r="A604" s="69">
        <v>18011.0</v>
      </c>
      <c r="B604" s="68" t="s">
        <v>1986</v>
      </c>
      <c r="C604" s="69">
        <v>2022.0</v>
      </c>
      <c r="D604" s="68" t="s">
        <v>629</v>
      </c>
      <c r="E604" s="68" t="s">
        <v>173</v>
      </c>
      <c r="F604" s="70" t="s">
        <v>174</v>
      </c>
      <c r="G604" s="71">
        <v>46154.0</v>
      </c>
      <c r="H604" s="72">
        <f t="shared" si="5"/>
        <v>0</v>
      </c>
      <c r="I604" s="73" t="s">
        <v>1987</v>
      </c>
      <c r="J604" s="74">
        <v>46154.0</v>
      </c>
      <c r="K604" s="73"/>
      <c r="L604" s="75"/>
      <c r="M604" s="75"/>
      <c r="N604" s="75"/>
      <c r="O604" s="75"/>
      <c r="P604" s="75"/>
      <c r="Q604" s="75"/>
      <c r="R604" s="75"/>
      <c r="S604" s="75"/>
      <c r="T604" s="75"/>
      <c r="U604" s="75"/>
      <c r="V604" s="75"/>
      <c r="W604" s="75"/>
      <c r="X604" s="75"/>
      <c r="Y604" s="75"/>
      <c r="Z604" s="75"/>
    </row>
    <row r="605">
      <c r="A605" s="91">
        <v>18013.0</v>
      </c>
      <c r="B605" s="90" t="s">
        <v>1988</v>
      </c>
      <c r="C605" s="91">
        <v>2022.0</v>
      </c>
      <c r="D605" s="90" t="s">
        <v>629</v>
      </c>
      <c r="E605" s="90" t="s">
        <v>1989</v>
      </c>
      <c r="F605" s="101">
        <v>93100.0</v>
      </c>
      <c r="G605" s="93">
        <v>46154.0</v>
      </c>
      <c r="H605" s="94">
        <f t="shared" si="5"/>
        <v>0</v>
      </c>
      <c r="I605" s="95" t="s">
        <v>1990</v>
      </c>
      <c r="J605" s="96">
        <v>46154.0</v>
      </c>
      <c r="K605" s="95"/>
      <c r="L605" s="98"/>
      <c r="M605" s="98"/>
      <c r="N605" s="98"/>
      <c r="O605" s="98"/>
      <c r="P605" s="98"/>
      <c r="Q605" s="98"/>
      <c r="R605" s="98"/>
      <c r="S605" s="98"/>
      <c r="T605" s="98"/>
      <c r="U605" s="98"/>
      <c r="V605" s="98"/>
      <c r="W605" s="98"/>
      <c r="X605" s="98"/>
      <c r="Y605" s="98"/>
      <c r="Z605" s="98"/>
    </row>
    <row r="606">
      <c r="A606" s="69">
        <v>18014.0</v>
      </c>
      <c r="B606" s="68" t="s">
        <v>1991</v>
      </c>
      <c r="C606" s="69">
        <v>2000.0</v>
      </c>
      <c r="D606" s="68" t="s">
        <v>1992</v>
      </c>
      <c r="E606" s="68" t="s">
        <v>70</v>
      </c>
      <c r="F606" s="116" t="s">
        <v>1993</v>
      </c>
      <c r="G606" s="71">
        <v>46154.0</v>
      </c>
      <c r="H606" s="72">
        <f t="shared" si="5"/>
        <v>71</v>
      </c>
      <c r="I606" s="73" t="s">
        <v>1994</v>
      </c>
      <c r="J606" s="75"/>
      <c r="K606" s="73"/>
      <c r="L606" s="75"/>
      <c r="M606" s="75"/>
      <c r="N606" s="75"/>
      <c r="O606" s="75"/>
      <c r="P606" s="75"/>
      <c r="Q606" s="75"/>
      <c r="R606" s="75"/>
      <c r="S606" s="75"/>
      <c r="T606" s="75"/>
      <c r="U606" s="75"/>
      <c r="V606" s="75"/>
      <c r="W606" s="75"/>
      <c r="X606" s="75"/>
      <c r="Y606" s="75"/>
      <c r="Z606" s="75"/>
    </row>
    <row r="607">
      <c r="A607" s="91">
        <v>18015.0</v>
      </c>
      <c r="B607" s="90" t="s">
        <v>1995</v>
      </c>
      <c r="C607" s="91">
        <v>2020.0</v>
      </c>
      <c r="D607" s="90" t="s">
        <v>1076</v>
      </c>
      <c r="E607" s="90" t="s">
        <v>1996</v>
      </c>
      <c r="F607" s="101" t="s">
        <v>1997</v>
      </c>
      <c r="G607" s="93">
        <v>46154.0</v>
      </c>
      <c r="H607" s="94">
        <f t="shared" si="5"/>
        <v>0</v>
      </c>
      <c r="I607" s="95" t="s">
        <v>1998</v>
      </c>
      <c r="J607" s="96">
        <v>46154.0</v>
      </c>
      <c r="K607" s="95"/>
      <c r="L607" s="98"/>
      <c r="M607" s="98"/>
      <c r="N607" s="98"/>
      <c r="O607" s="98"/>
      <c r="P607" s="98"/>
      <c r="Q607" s="98"/>
      <c r="R607" s="98"/>
      <c r="S607" s="98"/>
      <c r="T607" s="98"/>
      <c r="U607" s="98"/>
      <c r="V607" s="98"/>
      <c r="W607" s="98"/>
      <c r="X607" s="98"/>
      <c r="Y607" s="98"/>
      <c r="Z607" s="98"/>
    </row>
    <row r="608">
      <c r="A608" s="69">
        <v>18218.0</v>
      </c>
      <c r="B608" s="68" t="s">
        <v>1999</v>
      </c>
      <c r="C608" s="69">
        <v>2008.0</v>
      </c>
      <c r="D608" s="68" t="s">
        <v>1087</v>
      </c>
      <c r="E608" s="68" t="s">
        <v>160</v>
      </c>
      <c r="F608" s="70" t="s">
        <v>2000</v>
      </c>
      <c r="G608" s="71">
        <v>46184.0</v>
      </c>
      <c r="H608" s="72">
        <f t="shared" si="5"/>
        <v>15</v>
      </c>
      <c r="I608" s="73" t="s">
        <v>2001</v>
      </c>
      <c r="J608" s="74">
        <v>46199.0</v>
      </c>
      <c r="K608" s="73"/>
      <c r="L608" s="75"/>
      <c r="M608" s="75"/>
      <c r="N608" s="75"/>
      <c r="O608" s="75"/>
      <c r="P608" s="75"/>
      <c r="Q608" s="75"/>
      <c r="R608" s="75"/>
      <c r="S608" s="75"/>
      <c r="T608" s="75"/>
      <c r="U608" s="75"/>
      <c r="V608" s="75"/>
      <c r="W608" s="75"/>
      <c r="X608" s="75"/>
      <c r="Y608" s="75"/>
      <c r="Z608" s="75"/>
    </row>
    <row r="609">
      <c r="A609" s="91">
        <v>18018.0</v>
      </c>
      <c r="B609" s="90" t="s">
        <v>2002</v>
      </c>
      <c r="C609" s="91">
        <v>2022.0</v>
      </c>
      <c r="D609" s="90" t="s">
        <v>629</v>
      </c>
      <c r="E609" s="90" t="s">
        <v>630</v>
      </c>
      <c r="F609" s="101" t="s">
        <v>2003</v>
      </c>
      <c r="G609" s="93">
        <v>46154.0</v>
      </c>
      <c r="H609" s="94">
        <f t="shared" si="5"/>
        <v>1</v>
      </c>
      <c r="I609" s="95" t="s">
        <v>2004</v>
      </c>
      <c r="J609" s="96">
        <v>46155.0</v>
      </c>
      <c r="K609" s="95"/>
      <c r="L609" s="98"/>
      <c r="M609" s="98"/>
      <c r="N609" s="98"/>
      <c r="O609" s="98"/>
      <c r="P609" s="98"/>
      <c r="Q609" s="98"/>
      <c r="R609" s="98"/>
      <c r="S609" s="98"/>
      <c r="T609" s="98"/>
      <c r="U609" s="98"/>
      <c r="V609" s="98"/>
      <c r="W609" s="98"/>
      <c r="X609" s="98"/>
      <c r="Y609" s="98"/>
      <c r="Z609" s="98"/>
    </row>
    <row r="610">
      <c r="A610" s="69">
        <v>18021.0</v>
      </c>
      <c r="B610" s="68" t="s">
        <v>2005</v>
      </c>
      <c r="C610" s="69">
        <v>2010.0</v>
      </c>
      <c r="D610" s="68" t="s">
        <v>1174</v>
      </c>
      <c r="E610" s="68" t="s">
        <v>405</v>
      </c>
      <c r="F610" s="70" t="s">
        <v>2006</v>
      </c>
      <c r="G610" s="71">
        <v>46154.0</v>
      </c>
      <c r="H610" s="72">
        <f t="shared" si="5"/>
        <v>0</v>
      </c>
      <c r="I610" s="73" t="s">
        <v>496</v>
      </c>
      <c r="J610" s="74">
        <v>46154.0</v>
      </c>
      <c r="K610" s="73"/>
      <c r="L610" s="75"/>
      <c r="M610" s="75"/>
      <c r="N610" s="75"/>
      <c r="O610" s="75"/>
      <c r="P610" s="75"/>
      <c r="Q610" s="75"/>
      <c r="R610" s="75"/>
      <c r="S610" s="75"/>
      <c r="T610" s="75"/>
      <c r="U610" s="75"/>
      <c r="V610" s="75"/>
      <c r="W610" s="75"/>
      <c r="X610" s="75"/>
      <c r="Y610" s="75"/>
      <c r="Z610" s="75"/>
    </row>
    <row r="611">
      <c r="A611" s="91">
        <v>18024.0</v>
      </c>
      <c r="B611" s="90" t="s">
        <v>2007</v>
      </c>
      <c r="C611" s="91">
        <v>2022.0</v>
      </c>
      <c r="D611" s="90" t="s">
        <v>2008</v>
      </c>
      <c r="E611" s="90" t="s">
        <v>82</v>
      </c>
      <c r="F611" s="115" t="s">
        <v>2009</v>
      </c>
      <c r="G611" s="93">
        <v>46154.0</v>
      </c>
      <c r="H611" s="94">
        <f t="shared" si="5"/>
        <v>2</v>
      </c>
      <c r="I611" s="95" t="s">
        <v>2010</v>
      </c>
      <c r="J611" s="96">
        <v>46156.0</v>
      </c>
      <c r="K611" s="95"/>
      <c r="L611" s="98"/>
      <c r="M611" s="98"/>
      <c r="N611" s="98"/>
      <c r="O611" s="98"/>
      <c r="P611" s="98"/>
      <c r="Q611" s="98"/>
      <c r="R611" s="98"/>
      <c r="S611" s="98"/>
      <c r="T611" s="98"/>
      <c r="U611" s="98"/>
      <c r="V611" s="98"/>
      <c r="W611" s="98"/>
      <c r="X611" s="98"/>
      <c r="Y611" s="98"/>
      <c r="Z611" s="98"/>
    </row>
    <row r="612">
      <c r="A612" s="69" t="s">
        <v>2011</v>
      </c>
      <c r="B612" s="68" t="s">
        <v>2012</v>
      </c>
      <c r="C612" s="69">
        <v>2024.0</v>
      </c>
      <c r="D612" s="68" t="s">
        <v>2013</v>
      </c>
      <c r="E612" s="68" t="s">
        <v>2014</v>
      </c>
      <c r="F612" s="70" t="s">
        <v>2015</v>
      </c>
      <c r="G612" s="71">
        <v>46154.0</v>
      </c>
      <c r="H612" s="72">
        <f t="shared" si="5"/>
        <v>2</v>
      </c>
      <c r="I612" s="73" t="s">
        <v>2016</v>
      </c>
      <c r="J612" s="74">
        <v>46156.0</v>
      </c>
      <c r="K612" s="73"/>
      <c r="L612" s="75"/>
      <c r="M612" s="75"/>
      <c r="N612" s="75"/>
      <c r="O612" s="75"/>
      <c r="P612" s="75"/>
      <c r="Q612" s="75"/>
      <c r="R612" s="75"/>
      <c r="S612" s="75"/>
      <c r="T612" s="75"/>
      <c r="U612" s="75"/>
      <c r="V612" s="75"/>
      <c r="W612" s="75"/>
      <c r="X612" s="75"/>
      <c r="Y612" s="75"/>
      <c r="Z612" s="75"/>
    </row>
    <row r="613">
      <c r="A613" s="91" t="s">
        <v>2017</v>
      </c>
      <c r="B613" s="90" t="s">
        <v>2018</v>
      </c>
      <c r="C613" s="112"/>
      <c r="D613" s="90" t="s">
        <v>2019</v>
      </c>
      <c r="E613" s="90" t="s">
        <v>125</v>
      </c>
      <c r="F613" s="101" t="s">
        <v>1823</v>
      </c>
      <c r="G613" s="93">
        <v>46154.0</v>
      </c>
      <c r="H613" s="94">
        <f t="shared" si="5"/>
        <v>2</v>
      </c>
      <c r="I613" s="95" t="s">
        <v>2020</v>
      </c>
      <c r="J613" s="96">
        <v>46156.0</v>
      </c>
      <c r="K613" s="95"/>
      <c r="L613" s="98"/>
      <c r="M613" s="98"/>
      <c r="N613" s="98"/>
      <c r="O613" s="98"/>
      <c r="P613" s="98"/>
      <c r="Q613" s="98"/>
      <c r="R613" s="98"/>
      <c r="S613" s="98"/>
      <c r="T613" s="98"/>
      <c r="U613" s="98"/>
      <c r="V613" s="98"/>
      <c r="W613" s="98"/>
      <c r="X613" s="98"/>
      <c r="Y613" s="98"/>
      <c r="Z613" s="98"/>
    </row>
    <row r="614">
      <c r="A614" s="69">
        <v>17930.0</v>
      </c>
      <c r="B614" s="68" t="s">
        <v>2021</v>
      </c>
      <c r="C614" s="69">
        <v>2019.0</v>
      </c>
      <c r="D614" s="68" t="s">
        <v>1133</v>
      </c>
      <c r="E614" s="68" t="s">
        <v>2022</v>
      </c>
      <c r="F614" s="70" t="s">
        <v>1829</v>
      </c>
      <c r="G614" s="71">
        <v>46155.0</v>
      </c>
      <c r="H614" s="72">
        <f t="shared" si="5"/>
        <v>0</v>
      </c>
      <c r="I614" s="73" t="s">
        <v>2023</v>
      </c>
      <c r="J614" s="74">
        <v>46155.0</v>
      </c>
      <c r="K614" s="73"/>
      <c r="L614" s="75"/>
      <c r="M614" s="75"/>
      <c r="N614" s="75"/>
      <c r="O614" s="75"/>
      <c r="P614" s="75"/>
      <c r="Q614" s="75"/>
      <c r="R614" s="75"/>
      <c r="S614" s="75"/>
      <c r="T614" s="75"/>
      <c r="U614" s="75"/>
      <c r="V614" s="75"/>
      <c r="W614" s="75"/>
      <c r="X614" s="75"/>
      <c r="Y614" s="75"/>
      <c r="Z614" s="75"/>
    </row>
    <row r="615">
      <c r="A615" s="91">
        <v>18025.0</v>
      </c>
      <c r="B615" s="90" t="s">
        <v>2024</v>
      </c>
      <c r="C615" s="91">
        <v>2023.0</v>
      </c>
      <c r="D615" s="90" t="s">
        <v>1177</v>
      </c>
      <c r="E615" s="90" t="s">
        <v>2025</v>
      </c>
      <c r="F615" s="101" t="s">
        <v>2026</v>
      </c>
      <c r="G615" s="93">
        <v>46155.0</v>
      </c>
      <c r="H615" s="94">
        <f t="shared" si="5"/>
        <v>1</v>
      </c>
      <c r="I615" s="95" t="s">
        <v>2027</v>
      </c>
      <c r="J615" s="96">
        <v>46156.0</v>
      </c>
      <c r="K615" s="95"/>
      <c r="L615" s="98"/>
      <c r="M615" s="98"/>
      <c r="N615" s="98"/>
      <c r="O615" s="98"/>
      <c r="P615" s="98"/>
      <c r="Q615" s="98"/>
      <c r="R615" s="98"/>
      <c r="S615" s="98"/>
      <c r="T615" s="98"/>
      <c r="U615" s="98"/>
      <c r="V615" s="98"/>
      <c r="W615" s="98"/>
      <c r="X615" s="98"/>
      <c r="Y615" s="98"/>
      <c r="Z615" s="98"/>
    </row>
    <row r="616">
      <c r="A616" s="69">
        <v>18438.0</v>
      </c>
      <c r="B616" s="68" t="s">
        <v>2028</v>
      </c>
      <c r="C616" s="69">
        <v>2022.0</v>
      </c>
      <c r="D616" s="68" t="s">
        <v>292</v>
      </c>
      <c r="E616" s="68" t="s">
        <v>2029</v>
      </c>
      <c r="F616" s="70" t="s">
        <v>2030</v>
      </c>
      <c r="G616" s="71">
        <v>46224.0</v>
      </c>
      <c r="H616" s="72">
        <f t="shared" si="5"/>
        <v>1</v>
      </c>
      <c r="I616" s="73" t="s">
        <v>2031</v>
      </c>
      <c r="J616" s="74"/>
      <c r="K616" s="73"/>
      <c r="L616" s="75"/>
      <c r="M616" s="75"/>
      <c r="N616" s="75"/>
      <c r="O616" s="75"/>
      <c r="P616" s="75"/>
      <c r="Q616" s="75"/>
      <c r="R616" s="75"/>
      <c r="S616" s="75"/>
      <c r="T616" s="75"/>
      <c r="U616" s="75"/>
      <c r="V616" s="75"/>
      <c r="W616" s="75"/>
      <c r="X616" s="75"/>
      <c r="Y616" s="75"/>
      <c r="Z616" s="75"/>
    </row>
    <row r="617">
      <c r="A617" s="91">
        <v>18027.0</v>
      </c>
      <c r="B617" s="90" t="s">
        <v>1126</v>
      </c>
      <c r="C617" s="91">
        <v>2022.0</v>
      </c>
      <c r="D617" s="90" t="s">
        <v>239</v>
      </c>
      <c r="E617" s="90" t="s">
        <v>47</v>
      </c>
      <c r="F617" s="101" t="s">
        <v>1127</v>
      </c>
      <c r="G617" s="93">
        <v>46155.0</v>
      </c>
      <c r="H617" s="94">
        <f t="shared" si="5"/>
        <v>0</v>
      </c>
      <c r="I617" s="95" t="s">
        <v>2032</v>
      </c>
      <c r="J617" s="96">
        <v>46155.0</v>
      </c>
      <c r="K617" s="95" t="s">
        <v>31</v>
      </c>
      <c r="L617" s="97">
        <v>90219.0</v>
      </c>
      <c r="M617" s="97"/>
      <c r="N617" s="97"/>
      <c r="O617" s="97"/>
      <c r="P617" s="97"/>
      <c r="Q617" s="97"/>
      <c r="R617" s="97"/>
      <c r="S617" s="97"/>
      <c r="T617" s="97"/>
      <c r="U617" s="97"/>
      <c r="V617" s="97"/>
      <c r="W617" s="97"/>
      <c r="X617" s="97"/>
      <c r="Y617" s="97"/>
      <c r="Z617" s="97"/>
    </row>
    <row r="618">
      <c r="A618" s="69">
        <v>18029.0</v>
      </c>
      <c r="B618" s="68" t="s">
        <v>2033</v>
      </c>
      <c r="C618" s="69">
        <v>2022.0</v>
      </c>
      <c r="D618" s="68" t="s">
        <v>629</v>
      </c>
      <c r="E618" s="68" t="s">
        <v>699</v>
      </c>
      <c r="F618" s="70" t="s">
        <v>2034</v>
      </c>
      <c r="G618" s="71">
        <v>46155.0</v>
      </c>
      <c r="H618" s="72">
        <f t="shared" si="5"/>
        <v>13</v>
      </c>
      <c r="I618" s="73" t="s">
        <v>2035</v>
      </c>
      <c r="J618" s="74">
        <v>46168.0</v>
      </c>
      <c r="K618" s="73"/>
      <c r="L618" s="75"/>
      <c r="M618" s="75"/>
      <c r="N618" s="75"/>
      <c r="O618" s="75"/>
      <c r="P618" s="75"/>
      <c r="Q618" s="75"/>
      <c r="R618" s="75"/>
      <c r="S618" s="75"/>
      <c r="T618" s="75"/>
      <c r="U618" s="75"/>
      <c r="V618" s="75"/>
      <c r="W618" s="75"/>
      <c r="X618" s="75"/>
      <c r="Y618" s="75"/>
      <c r="Z618" s="75"/>
    </row>
    <row r="619">
      <c r="A619" s="91">
        <v>18030.0</v>
      </c>
      <c r="B619" s="90" t="s">
        <v>2036</v>
      </c>
      <c r="C619" s="91">
        <v>2023.0</v>
      </c>
      <c r="D619" s="90" t="s">
        <v>2037</v>
      </c>
      <c r="E619" s="90" t="s">
        <v>1339</v>
      </c>
      <c r="F619" s="101" t="s">
        <v>2038</v>
      </c>
      <c r="G619" s="93">
        <v>46155.0</v>
      </c>
      <c r="H619" s="94">
        <f t="shared" si="5"/>
        <v>6</v>
      </c>
      <c r="I619" s="95" t="s">
        <v>2039</v>
      </c>
      <c r="J619" s="96">
        <v>46161.0</v>
      </c>
      <c r="K619" s="95"/>
      <c r="L619" s="98"/>
      <c r="M619" s="98"/>
      <c r="N619" s="98"/>
      <c r="O619" s="98"/>
      <c r="P619" s="98"/>
      <c r="Q619" s="98"/>
      <c r="R619" s="98"/>
      <c r="S619" s="98"/>
      <c r="T619" s="98"/>
      <c r="U619" s="98"/>
      <c r="V619" s="98"/>
      <c r="W619" s="98"/>
      <c r="X619" s="98"/>
      <c r="Y619" s="98"/>
      <c r="Z619" s="98"/>
    </row>
    <row r="620">
      <c r="A620" s="69">
        <v>18031.0</v>
      </c>
      <c r="B620" s="68" t="s">
        <v>2040</v>
      </c>
      <c r="C620" s="69">
        <v>2019.0</v>
      </c>
      <c r="D620" s="68" t="s">
        <v>1076</v>
      </c>
      <c r="E620" s="68" t="s">
        <v>1069</v>
      </c>
      <c r="F620" s="70" t="s">
        <v>2041</v>
      </c>
      <c r="G620" s="71">
        <v>46155.0</v>
      </c>
      <c r="H620" s="72">
        <f t="shared" si="5"/>
        <v>0</v>
      </c>
      <c r="I620" s="73" t="s">
        <v>2042</v>
      </c>
      <c r="J620" s="74">
        <v>46155.0</v>
      </c>
      <c r="K620" s="73"/>
      <c r="L620" s="75"/>
      <c r="M620" s="75"/>
      <c r="N620" s="75"/>
      <c r="O620" s="75"/>
      <c r="P620" s="75"/>
      <c r="Q620" s="75"/>
      <c r="R620" s="75"/>
      <c r="S620" s="75"/>
      <c r="T620" s="75"/>
      <c r="U620" s="75"/>
      <c r="V620" s="75"/>
      <c r="W620" s="75"/>
      <c r="X620" s="75"/>
      <c r="Y620" s="75"/>
      <c r="Z620" s="75"/>
    </row>
    <row r="621">
      <c r="A621" s="91">
        <v>18032.0</v>
      </c>
      <c r="B621" s="90" t="s">
        <v>2043</v>
      </c>
      <c r="C621" s="91">
        <v>2018.0</v>
      </c>
      <c r="D621" s="90" t="s">
        <v>182</v>
      </c>
      <c r="E621" s="90" t="s">
        <v>47</v>
      </c>
      <c r="F621" s="101" t="s">
        <v>2044</v>
      </c>
      <c r="G621" s="93">
        <v>46155.0</v>
      </c>
      <c r="H621" s="94">
        <f t="shared" si="5"/>
        <v>5</v>
      </c>
      <c r="I621" s="95" t="s">
        <v>2045</v>
      </c>
      <c r="J621" s="96">
        <v>46160.0</v>
      </c>
      <c r="K621" s="95"/>
      <c r="L621" s="98"/>
      <c r="M621" s="98"/>
      <c r="N621" s="98"/>
      <c r="O621" s="98"/>
      <c r="P621" s="98"/>
      <c r="Q621" s="98"/>
      <c r="R621" s="98"/>
      <c r="S621" s="98"/>
      <c r="T621" s="98"/>
      <c r="U621" s="98"/>
      <c r="V621" s="98"/>
      <c r="W621" s="98"/>
      <c r="X621" s="98"/>
      <c r="Y621" s="98"/>
      <c r="Z621" s="98"/>
    </row>
    <row r="622">
      <c r="A622" s="69">
        <v>18033.0</v>
      </c>
      <c r="B622" s="68" t="s">
        <v>2046</v>
      </c>
      <c r="C622" s="69">
        <v>2022.0</v>
      </c>
      <c r="D622" s="68" t="s">
        <v>1213</v>
      </c>
      <c r="E622" s="68" t="s">
        <v>70</v>
      </c>
      <c r="F622" s="70" t="s">
        <v>737</v>
      </c>
      <c r="G622" s="71">
        <v>46155.0</v>
      </c>
      <c r="H622" s="72">
        <f t="shared" si="5"/>
        <v>0</v>
      </c>
      <c r="I622" s="73" t="s">
        <v>2047</v>
      </c>
      <c r="J622" s="74">
        <v>46155.0</v>
      </c>
      <c r="K622" s="73"/>
      <c r="L622" s="75"/>
      <c r="M622" s="75"/>
      <c r="N622" s="75"/>
      <c r="O622" s="75"/>
      <c r="P622" s="75"/>
      <c r="Q622" s="75"/>
      <c r="R622" s="75"/>
      <c r="S622" s="75"/>
      <c r="T622" s="75"/>
      <c r="U622" s="75"/>
      <c r="V622" s="75"/>
      <c r="W622" s="75"/>
      <c r="X622" s="75"/>
      <c r="Y622" s="75"/>
      <c r="Z622" s="75"/>
    </row>
    <row r="623">
      <c r="A623" s="91">
        <v>18034.0</v>
      </c>
      <c r="B623" s="90" t="s">
        <v>2048</v>
      </c>
      <c r="C623" s="91">
        <v>2022.0</v>
      </c>
      <c r="D623" s="90" t="s">
        <v>40</v>
      </c>
      <c r="E623" s="90" t="s">
        <v>70</v>
      </c>
      <c r="F623" s="101" t="s">
        <v>2049</v>
      </c>
      <c r="G623" s="93">
        <v>46155.0</v>
      </c>
      <c r="H623" s="94">
        <f t="shared" si="5"/>
        <v>7</v>
      </c>
      <c r="I623" s="95" t="s">
        <v>2050</v>
      </c>
      <c r="J623" s="96">
        <v>46162.0</v>
      </c>
      <c r="K623" s="95" t="s">
        <v>31</v>
      </c>
      <c r="L623" s="97">
        <v>53336.0</v>
      </c>
      <c r="M623" s="98"/>
      <c r="N623" s="98"/>
      <c r="O623" s="98"/>
      <c r="P623" s="98"/>
      <c r="Q623" s="98"/>
      <c r="R623" s="98"/>
      <c r="S623" s="98"/>
      <c r="T623" s="98"/>
      <c r="U623" s="98"/>
      <c r="V623" s="98"/>
      <c r="W623" s="98"/>
      <c r="X623" s="98"/>
      <c r="Y623" s="98"/>
      <c r="Z623" s="98"/>
    </row>
    <row r="624">
      <c r="A624" s="69">
        <v>18036.0</v>
      </c>
      <c r="B624" s="68" t="s">
        <v>2051</v>
      </c>
      <c r="C624" s="69">
        <v>2023.0</v>
      </c>
      <c r="D624" s="68" t="s">
        <v>292</v>
      </c>
      <c r="E624" s="68" t="s">
        <v>1845</v>
      </c>
      <c r="F624" s="70" t="s">
        <v>2052</v>
      </c>
      <c r="G624" s="71">
        <v>46155.0</v>
      </c>
      <c r="H624" s="72">
        <f t="shared" si="5"/>
        <v>8</v>
      </c>
      <c r="I624" s="73" t="s">
        <v>2053</v>
      </c>
      <c r="J624" s="74">
        <v>46163.0</v>
      </c>
      <c r="K624" s="73"/>
      <c r="L624" s="75"/>
      <c r="M624" s="75"/>
      <c r="N624" s="75"/>
      <c r="O624" s="75"/>
      <c r="P624" s="75"/>
      <c r="Q624" s="75"/>
      <c r="R624" s="75"/>
      <c r="S624" s="75"/>
      <c r="T624" s="75"/>
      <c r="U624" s="75"/>
      <c r="V624" s="75"/>
      <c r="W624" s="75"/>
      <c r="X624" s="75"/>
      <c r="Y624" s="75"/>
      <c r="Z624" s="75"/>
    </row>
    <row r="625">
      <c r="A625" s="91">
        <v>18037.0</v>
      </c>
      <c r="B625" s="90" t="s">
        <v>2054</v>
      </c>
      <c r="C625" s="91">
        <v>2021.0</v>
      </c>
      <c r="D625" s="90" t="s">
        <v>1147</v>
      </c>
      <c r="E625" s="90" t="s">
        <v>2055</v>
      </c>
      <c r="F625" s="101" t="s">
        <v>2056</v>
      </c>
      <c r="G625" s="93">
        <v>46155.0</v>
      </c>
      <c r="H625" s="94">
        <f t="shared" si="5"/>
        <v>62</v>
      </c>
      <c r="I625" s="95" t="s">
        <v>2057</v>
      </c>
      <c r="J625" s="96">
        <v>46217.0</v>
      </c>
      <c r="K625" s="95"/>
      <c r="L625" s="98"/>
      <c r="M625" s="98"/>
      <c r="N625" s="98"/>
      <c r="O625" s="98"/>
      <c r="P625" s="98"/>
      <c r="Q625" s="98"/>
      <c r="R625" s="98"/>
      <c r="S625" s="98"/>
      <c r="T625" s="98"/>
      <c r="U625" s="98"/>
      <c r="V625" s="98"/>
      <c r="W625" s="98"/>
      <c r="X625" s="98"/>
      <c r="Y625" s="98"/>
      <c r="Z625" s="98"/>
    </row>
    <row r="626">
      <c r="A626" s="69">
        <v>18038.0</v>
      </c>
      <c r="B626" s="68" t="s">
        <v>1052</v>
      </c>
      <c r="C626" s="69">
        <v>2022.0</v>
      </c>
      <c r="D626" s="68" t="s">
        <v>292</v>
      </c>
      <c r="E626" s="68" t="s">
        <v>912</v>
      </c>
      <c r="F626" s="70" t="s">
        <v>1053</v>
      </c>
      <c r="G626" s="71">
        <v>46156.0</v>
      </c>
      <c r="H626" s="72">
        <f t="shared" si="5"/>
        <v>0</v>
      </c>
      <c r="I626" s="73" t="s">
        <v>2058</v>
      </c>
      <c r="J626" s="74">
        <v>46156.0</v>
      </c>
      <c r="K626" s="73" t="s">
        <v>1037</v>
      </c>
      <c r="L626" s="75"/>
      <c r="M626" s="103"/>
      <c r="N626" s="103"/>
      <c r="O626" s="103"/>
      <c r="P626" s="103"/>
      <c r="Q626" s="103"/>
      <c r="R626" s="103"/>
      <c r="S626" s="103"/>
      <c r="T626" s="103"/>
      <c r="U626" s="103"/>
      <c r="V626" s="103"/>
      <c r="W626" s="103"/>
      <c r="X626" s="103"/>
      <c r="Y626" s="103"/>
      <c r="Z626" s="103"/>
    </row>
    <row r="627">
      <c r="A627" s="91">
        <v>18039.0</v>
      </c>
      <c r="B627" s="90" t="s">
        <v>2059</v>
      </c>
      <c r="C627" s="91">
        <v>2020.0</v>
      </c>
      <c r="D627" s="90" t="s">
        <v>239</v>
      </c>
      <c r="E627" s="90" t="s">
        <v>2060</v>
      </c>
      <c r="F627" s="101" t="s">
        <v>2061</v>
      </c>
      <c r="G627" s="93">
        <v>46156.0</v>
      </c>
      <c r="H627" s="94">
        <f t="shared" si="5"/>
        <v>7</v>
      </c>
      <c r="I627" s="95" t="s">
        <v>2062</v>
      </c>
      <c r="J627" s="96">
        <v>46163.0</v>
      </c>
      <c r="K627" s="95"/>
      <c r="L627" s="98"/>
      <c r="M627" s="98"/>
      <c r="N627" s="98"/>
      <c r="O627" s="98"/>
      <c r="P627" s="98"/>
      <c r="Q627" s="98"/>
      <c r="R627" s="98"/>
      <c r="S627" s="98"/>
      <c r="T627" s="98"/>
      <c r="U627" s="98"/>
      <c r="V627" s="98"/>
      <c r="W627" s="98"/>
      <c r="X627" s="98"/>
      <c r="Y627" s="98"/>
      <c r="Z627" s="98"/>
    </row>
    <row r="628">
      <c r="A628" s="69">
        <v>18040.0</v>
      </c>
      <c r="B628" s="68" t="s">
        <v>1020</v>
      </c>
      <c r="C628" s="69">
        <v>2015.0</v>
      </c>
      <c r="D628" s="68" t="s">
        <v>182</v>
      </c>
      <c r="E628" s="68" t="s">
        <v>160</v>
      </c>
      <c r="F628" s="70" t="s">
        <v>1022</v>
      </c>
      <c r="G628" s="71">
        <v>46156.0</v>
      </c>
      <c r="H628" s="72">
        <f t="shared" si="5"/>
        <v>0</v>
      </c>
      <c r="I628" s="73" t="s">
        <v>2063</v>
      </c>
      <c r="J628" s="74">
        <v>46156.0</v>
      </c>
      <c r="K628" s="73"/>
      <c r="L628" s="75"/>
      <c r="M628" s="75"/>
      <c r="N628" s="75"/>
      <c r="O628" s="75"/>
      <c r="P628" s="75"/>
      <c r="Q628" s="75"/>
      <c r="R628" s="75"/>
      <c r="S628" s="75"/>
      <c r="T628" s="75"/>
      <c r="U628" s="75"/>
      <c r="V628" s="75"/>
      <c r="W628" s="75"/>
      <c r="X628" s="75"/>
      <c r="Y628" s="75"/>
      <c r="Z628" s="75"/>
    </row>
    <row r="629">
      <c r="A629" s="91">
        <v>18041.0</v>
      </c>
      <c r="B629" s="90" t="s">
        <v>51</v>
      </c>
      <c r="C629" s="91">
        <v>2021.0</v>
      </c>
      <c r="D629" s="90" t="s">
        <v>40</v>
      </c>
      <c r="E629" s="90" t="s">
        <v>53</v>
      </c>
      <c r="F629" s="101" t="s">
        <v>54</v>
      </c>
      <c r="G629" s="93">
        <v>46156.0</v>
      </c>
      <c r="H629" s="94">
        <f t="shared" si="5"/>
        <v>0</v>
      </c>
      <c r="I629" s="95" t="s">
        <v>2064</v>
      </c>
      <c r="J629" s="96">
        <v>46156.0</v>
      </c>
      <c r="K629" s="95"/>
      <c r="L629" s="98"/>
      <c r="M629" s="98"/>
      <c r="N629" s="98"/>
      <c r="O629" s="98"/>
      <c r="P629" s="98"/>
      <c r="Q629" s="98"/>
      <c r="R629" s="98"/>
      <c r="S629" s="98"/>
      <c r="T629" s="98"/>
      <c r="U629" s="98"/>
      <c r="V629" s="98"/>
      <c r="W629" s="98"/>
      <c r="X629" s="98"/>
      <c r="Y629" s="98"/>
      <c r="Z629" s="98"/>
    </row>
    <row r="630">
      <c r="A630" s="69">
        <v>18042.0</v>
      </c>
      <c r="B630" s="68" t="s">
        <v>238</v>
      </c>
      <c r="C630" s="69">
        <v>2022.0</v>
      </c>
      <c r="D630" s="68" t="s">
        <v>239</v>
      </c>
      <c r="E630" s="68" t="s">
        <v>240</v>
      </c>
      <c r="F630" s="70" t="s">
        <v>241</v>
      </c>
      <c r="G630" s="71">
        <v>46156.0</v>
      </c>
      <c r="H630" s="72">
        <f t="shared" si="5"/>
        <v>0</v>
      </c>
      <c r="I630" s="73" t="s">
        <v>2065</v>
      </c>
      <c r="J630" s="74">
        <v>46156.0</v>
      </c>
      <c r="K630" s="73"/>
      <c r="L630" s="75"/>
      <c r="M630" s="75"/>
      <c r="N630" s="75"/>
      <c r="O630" s="75"/>
      <c r="P630" s="75"/>
      <c r="Q630" s="75"/>
      <c r="R630" s="75"/>
      <c r="S630" s="75"/>
      <c r="T630" s="75"/>
      <c r="U630" s="75"/>
      <c r="V630" s="75"/>
      <c r="W630" s="75"/>
      <c r="X630" s="75"/>
      <c r="Y630" s="75"/>
      <c r="Z630" s="75"/>
    </row>
    <row r="631">
      <c r="A631" s="91">
        <v>18415.0</v>
      </c>
      <c r="B631" s="90" t="s">
        <v>2066</v>
      </c>
      <c r="C631" s="91">
        <v>2017.0</v>
      </c>
      <c r="D631" s="90" t="s">
        <v>2067</v>
      </c>
      <c r="E631" s="90" t="s">
        <v>912</v>
      </c>
      <c r="F631" s="101" t="s">
        <v>2068</v>
      </c>
      <c r="G631" s="93">
        <v>46220.0</v>
      </c>
      <c r="H631" s="94">
        <f t="shared" si="5"/>
        <v>5</v>
      </c>
      <c r="I631" s="95" t="s">
        <v>2069</v>
      </c>
      <c r="J631" s="96"/>
      <c r="K631" s="95"/>
      <c r="L631" s="98"/>
      <c r="M631" s="98"/>
      <c r="N631" s="98"/>
      <c r="O631" s="98"/>
      <c r="P631" s="98"/>
      <c r="Q631" s="98"/>
      <c r="R631" s="98"/>
      <c r="S631" s="98"/>
      <c r="T631" s="98"/>
      <c r="U631" s="98"/>
      <c r="V631" s="98"/>
      <c r="W631" s="98"/>
      <c r="X631" s="98"/>
      <c r="Y631" s="98"/>
      <c r="Z631" s="98"/>
    </row>
    <row r="632">
      <c r="A632" s="118">
        <v>18044.0</v>
      </c>
      <c r="B632" s="54" t="s">
        <v>950</v>
      </c>
      <c r="C632" s="110">
        <v>2015.0</v>
      </c>
      <c r="D632" s="54" t="s">
        <v>182</v>
      </c>
      <c r="E632" s="54" t="s">
        <v>70</v>
      </c>
      <c r="F632" s="66" t="s">
        <v>951</v>
      </c>
      <c r="G632" s="119">
        <v>46156.0</v>
      </c>
      <c r="H632" s="72">
        <f t="shared" si="5"/>
        <v>69</v>
      </c>
      <c r="I632" s="120" t="s">
        <v>2070</v>
      </c>
      <c r="J632" s="74"/>
      <c r="K632" s="75"/>
      <c r="L632" s="75"/>
      <c r="M632" s="103"/>
      <c r="N632" s="103"/>
      <c r="O632" s="103"/>
      <c r="P632" s="103"/>
      <c r="Q632" s="103"/>
      <c r="R632" s="103"/>
      <c r="S632" s="103"/>
      <c r="T632" s="103"/>
      <c r="U632" s="103"/>
      <c r="V632" s="103"/>
      <c r="W632" s="103"/>
      <c r="X632" s="103"/>
      <c r="Y632" s="103"/>
      <c r="Z632" s="103"/>
    </row>
    <row r="633">
      <c r="A633" s="91">
        <v>18216.0</v>
      </c>
      <c r="B633" s="90" t="s">
        <v>2071</v>
      </c>
      <c r="C633" s="91">
        <v>2022.0</v>
      </c>
      <c r="D633" s="90" t="s">
        <v>2072</v>
      </c>
      <c r="E633" s="90" t="s">
        <v>47</v>
      </c>
      <c r="F633" s="101" t="s">
        <v>2073</v>
      </c>
      <c r="G633" s="93">
        <v>46182.0</v>
      </c>
      <c r="H633" s="94">
        <f t="shared" si="5"/>
        <v>43</v>
      </c>
      <c r="I633" s="95" t="s">
        <v>2074</v>
      </c>
      <c r="J633" s="96"/>
      <c r="K633" s="95"/>
      <c r="L633" s="98"/>
      <c r="M633" s="98"/>
      <c r="N633" s="98"/>
      <c r="O633" s="98"/>
      <c r="P633" s="98"/>
      <c r="Q633" s="98"/>
      <c r="R633" s="98"/>
      <c r="S633" s="98"/>
      <c r="T633" s="98"/>
      <c r="U633" s="98"/>
      <c r="V633" s="98"/>
      <c r="W633" s="98"/>
      <c r="X633" s="98"/>
      <c r="Y633" s="98"/>
      <c r="Z633" s="98"/>
    </row>
    <row r="634">
      <c r="A634" s="69" t="s">
        <v>2075</v>
      </c>
      <c r="B634" s="68" t="s">
        <v>2076</v>
      </c>
      <c r="C634" s="69">
        <v>2023.0</v>
      </c>
      <c r="D634" s="68" t="s">
        <v>1459</v>
      </c>
      <c r="E634" s="68" t="s">
        <v>70</v>
      </c>
      <c r="F634" s="70" t="s">
        <v>2077</v>
      </c>
      <c r="G634" s="71">
        <v>46156.0</v>
      </c>
      <c r="H634" s="72">
        <f t="shared" si="5"/>
        <v>4</v>
      </c>
      <c r="I634" s="73" t="s">
        <v>2078</v>
      </c>
      <c r="J634" s="74">
        <v>46160.0</v>
      </c>
      <c r="K634" s="73" t="s">
        <v>24</v>
      </c>
      <c r="L634" s="103">
        <v>6612.0</v>
      </c>
      <c r="M634" s="75"/>
      <c r="N634" s="75"/>
      <c r="O634" s="75"/>
      <c r="P634" s="75"/>
      <c r="Q634" s="75"/>
      <c r="R634" s="75"/>
      <c r="S634" s="75"/>
      <c r="T634" s="75"/>
      <c r="U634" s="75"/>
      <c r="V634" s="75"/>
      <c r="W634" s="75"/>
      <c r="X634" s="75"/>
      <c r="Y634" s="75"/>
      <c r="Z634" s="75"/>
    </row>
    <row r="635">
      <c r="A635" s="91">
        <v>18047.0</v>
      </c>
      <c r="B635" s="90" t="s">
        <v>2079</v>
      </c>
      <c r="C635" s="91">
        <v>2022.0</v>
      </c>
      <c r="D635" s="90" t="s">
        <v>40</v>
      </c>
      <c r="E635" s="90" t="s">
        <v>2080</v>
      </c>
      <c r="F635" s="101" t="s">
        <v>2081</v>
      </c>
      <c r="G635" s="93">
        <v>46157.0</v>
      </c>
      <c r="H635" s="94">
        <f t="shared" si="5"/>
        <v>0</v>
      </c>
      <c r="I635" s="95" t="s">
        <v>2082</v>
      </c>
      <c r="J635" s="96">
        <v>46157.0</v>
      </c>
      <c r="K635" s="95" t="s">
        <v>24</v>
      </c>
      <c r="L635" s="95">
        <v>42936.0</v>
      </c>
      <c r="M635" s="98"/>
      <c r="N635" s="98"/>
      <c r="O635" s="98"/>
      <c r="P635" s="98"/>
      <c r="Q635" s="98"/>
      <c r="R635" s="98"/>
      <c r="S635" s="98"/>
      <c r="T635" s="98"/>
      <c r="U635" s="98"/>
      <c r="V635" s="98"/>
      <c r="W635" s="98"/>
      <c r="X635" s="98"/>
      <c r="Y635" s="98"/>
      <c r="Z635" s="98"/>
    </row>
    <row r="636">
      <c r="A636" s="69">
        <v>17938.0</v>
      </c>
      <c r="B636" s="68" t="s">
        <v>2083</v>
      </c>
      <c r="C636" s="69">
        <v>2019.0</v>
      </c>
      <c r="D636" s="68" t="s">
        <v>2084</v>
      </c>
      <c r="E636" s="68" t="s">
        <v>2085</v>
      </c>
      <c r="F636" s="70" t="s">
        <v>2086</v>
      </c>
      <c r="G636" s="71">
        <v>46157.0</v>
      </c>
      <c r="H636" s="72">
        <f t="shared" si="5"/>
        <v>0</v>
      </c>
      <c r="I636" s="73" t="s">
        <v>1851</v>
      </c>
      <c r="J636" s="74">
        <v>46157.0</v>
      </c>
      <c r="K636" s="73" t="s">
        <v>24</v>
      </c>
      <c r="L636" s="73">
        <v>45495.0</v>
      </c>
      <c r="M636" s="75"/>
      <c r="N636" s="75"/>
      <c r="O636" s="75"/>
      <c r="P636" s="75"/>
      <c r="Q636" s="75"/>
      <c r="R636" s="75"/>
      <c r="S636" s="75"/>
      <c r="T636" s="75"/>
      <c r="U636" s="75"/>
      <c r="V636" s="75"/>
      <c r="W636" s="75"/>
      <c r="X636" s="75"/>
      <c r="Y636" s="75"/>
      <c r="Z636" s="75"/>
    </row>
    <row r="637">
      <c r="A637" s="91" t="s">
        <v>2087</v>
      </c>
      <c r="B637" s="90" t="s">
        <v>2088</v>
      </c>
      <c r="C637" s="91">
        <v>2026.0</v>
      </c>
      <c r="D637" s="90" t="s">
        <v>1635</v>
      </c>
      <c r="E637" s="90" t="s">
        <v>805</v>
      </c>
      <c r="F637" s="101" t="s">
        <v>989</v>
      </c>
      <c r="G637" s="93">
        <v>46157.0</v>
      </c>
      <c r="H637" s="94">
        <f t="shared" si="5"/>
        <v>19</v>
      </c>
      <c r="I637" s="95" t="s">
        <v>2089</v>
      </c>
      <c r="J637" s="96">
        <v>46176.0</v>
      </c>
      <c r="K637" s="95" t="s">
        <v>24</v>
      </c>
      <c r="L637" s="95">
        <v>16.0</v>
      </c>
      <c r="M637" s="98"/>
      <c r="N637" s="98"/>
      <c r="O637" s="98"/>
      <c r="P637" s="98"/>
      <c r="Q637" s="98"/>
      <c r="R637" s="98"/>
      <c r="S637" s="98"/>
      <c r="T637" s="98"/>
      <c r="U637" s="98"/>
      <c r="V637" s="98"/>
      <c r="W637" s="98"/>
      <c r="X637" s="98"/>
      <c r="Y637" s="98"/>
      <c r="Z637" s="98"/>
    </row>
    <row r="638">
      <c r="A638" s="69">
        <v>18049.0</v>
      </c>
      <c r="B638" s="68" t="s">
        <v>2090</v>
      </c>
      <c r="C638" s="69">
        <v>2018.0</v>
      </c>
      <c r="D638" s="68" t="s">
        <v>182</v>
      </c>
      <c r="E638" s="68" t="s">
        <v>1194</v>
      </c>
      <c r="F638" s="70" t="s">
        <v>2091</v>
      </c>
      <c r="G638" s="71">
        <v>46157.0</v>
      </c>
      <c r="H638" s="72">
        <f t="shared" si="5"/>
        <v>60</v>
      </c>
      <c r="I638" s="73" t="s">
        <v>2092</v>
      </c>
      <c r="J638" s="74">
        <v>46217.0</v>
      </c>
      <c r="K638" s="73" t="s">
        <v>44</v>
      </c>
      <c r="L638" s="73">
        <v>109713.0</v>
      </c>
      <c r="M638" s="75"/>
      <c r="N638" s="75"/>
      <c r="O638" s="75"/>
      <c r="P638" s="75"/>
      <c r="Q638" s="75"/>
      <c r="R638" s="75"/>
      <c r="S638" s="75"/>
      <c r="T638" s="75"/>
      <c r="U638" s="75"/>
      <c r="V638" s="75"/>
      <c r="W638" s="75"/>
      <c r="X638" s="75"/>
      <c r="Y638" s="75"/>
      <c r="Z638" s="75"/>
    </row>
    <row r="639">
      <c r="A639" s="91">
        <v>18051.0</v>
      </c>
      <c r="B639" s="90" t="s">
        <v>2093</v>
      </c>
      <c r="C639" s="91">
        <v>2022.0</v>
      </c>
      <c r="D639" s="90" t="s">
        <v>911</v>
      </c>
      <c r="E639" s="90" t="s">
        <v>907</v>
      </c>
      <c r="F639" s="101" t="s">
        <v>2094</v>
      </c>
      <c r="G639" s="93">
        <v>46160.0</v>
      </c>
      <c r="H639" s="94">
        <f t="shared" si="5"/>
        <v>0</v>
      </c>
      <c r="I639" s="95" t="s">
        <v>2095</v>
      </c>
      <c r="J639" s="96">
        <v>46160.0</v>
      </c>
      <c r="K639" s="95" t="s">
        <v>24</v>
      </c>
      <c r="L639" s="95">
        <v>74852.0</v>
      </c>
      <c r="M639" s="98"/>
      <c r="N639" s="98"/>
      <c r="O639" s="98"/>
      <c r="P639" s="98"/>
      <c r="Q639" s="98"/>
      <c r="R639" s="98"/>
      <c r="S639" s="98"/>
      <c r="T639" s="98"/>
      <c r="U639" s="98"/>
      <c r="V639" s="98"/>
      <c r="W639" s="98"/>
      <c r="X639" s="98"/>
      <c r="Y639" s="98"/>
      <c r="Z639" s="98"/>
    </row>
    <row r="640">
      <c r="A640" s="69">
        <v>18052.0</v>
      </c>
      <c r="B640" s="68" t="s">
        <v>2096</v>
      </c>
      <c r="C640" s="69">
        <v>2022.0</v>
      </c>
      <c r="D640" s="68" t="s">
        <v>40</v>
      </c>
      <c r="E640" s="68" t="s">
        <v>235</v>
      </c>
      <c r="F640" s="70" t="s">
        <v>2097</v>
      </c>
      <c r="G640" s="71">
        <v>46160.0</v>
      </c>
      <c r="H640" s="72">
        <f t="shared" si="5"/>
        <v>0</v>
      </c>
      <c r="I640" s="73" t="s">
        <v>2098</v>
      </c>
      <c r="J640" s="74">
        <v>46160.0</v>
      </c>
      <c r="K640" s="73" t="s">
        <v>24</v>
      </c>
      <c r="L640" s="73">
        <v>117999.0</v>
      </c>
      <c r="M640" s="75"/>
      <c r="N640" s="75"/>
      <c r="O640" s="75"/>
      <c r="P640" s="75"/>
      <c r="Q640" s="75"/>
      <c r="R640" s="75"/>
      <c r="S640" s="75"/>
      <c r="T640" s="75"/>
      <c r="U640" s="75"/>
      <c r="V640" s="75"/>
      <c r="W640" s="75"/>
      <c r="X640" s="75"/>
      <c r="Y640" s="75"/>
      <c r="Z640" s="75"/>
    </row>
    <row r="641">
      <c r="A641" s="91">
        <v>18053.0</v>
      </c>
      <c r="B641" s="90" t="s">
        <v>2099</v>
      </c>
      <c r="C641" s="91">
        <v>2020.0</v>
      </c>
      <c r="D641" s="90" t="s">
        <v>1076</v>
      </c>
      <c r="E641" s="90" t="s">
        <v>1960</v>
      </c>
      <c r="F641" s="101" t="s">
        <v>2100</v>
      </c>
      <c r="G641" s="93">
        <v>46160.0</v>
      </c>
      <c r="H641" s="94">
        <f t="shared" si="5"/>
        <v>0</v>
      </c>
      <c r="I641" s="95" t="s">
        <v>2101</v>
      </c>
      <c r="J641" s="96">
        <v>46160.0</v>
      </c>
      <c r="K641" s="95" t="s">
        <v>24</v>
      </c>
      <c r="L641" s="95">
        <v>44216.0</v>
      </c>
      <c r="M641" s="98"/>
      <c r="N641" s="98"/>
      <c r="O641" s="98"/>
      <c r="P641" s="98"/>
      <c r="Q641" s="98"/>
      <c r="R641" s="98"/>
      <c r="S641" s="98"/>
      <c r="T641" s="98"/>
      <c r="U641" s="98"/>
      <c r="V641" s="98"/>
      <c r="W641" s="98"/>
      <c r="X641" s="98"/>
      <c r="Y641" s="98"/>
      <c r="Z641" s="98"/>
    </row>
    <row r="642">
      <c r="A642" s="69">
        <v>17498.0</v>
      </c>
      <c r="B642" s="68" t="s">
        <v>2102</v>
      </c>
      <c r="C642" s="69">
        <v>2024.0</v>
      </c>
      <c r="D642" s="68" t="s">
        <v>2103</v>
      </c>
      <c r="E642" s="68" t="s">
        <v>736</v>
      </c>
      <c r="F642" s="70" t="s">
        <v>921</v>
      </c>
      <c r="G642" s="71">
        <v>46160.0</v>
      </c>
      <c r="H642" s="72">
        <f t="shared" si="5"/>
        <v>1</v>
      </c>
      <c r="I642" s="73" t="s">
        <v>2104</v>
      </c>
      <c r="J642" s="74">
        <v>46161.0</v>
      </c>
      <c r="K642" s="73" t="s">
        <v>24</v>
      </c>
      <c r="L642" s="73">
        <v>11316.0</v>
      </c>
      <c r="M642" s="75"/>
      <c r="N642" s="75"/>
      <c r="O642" s="75"/>
      <c r="P642" s="75"/>
      <c r="Q642" s="75"/>
      <c r="R642" s="75"/>
      <c r="S642" s="75"/>
      <c r="T642" s="75"/>
      <c r="U642" s="75"/>
      <c r="V642" s="75"/>
      <c r="W642" s="75"/>
      <c r="X642" s="75"/>
      <c r="Y642" s="75"/>
      <c r="Z642" s="75"/>
    </row>
    <row r="643">
      <c r="A643" s="91">
        <v>18060.0</v>
      </c>
      <c r="B643" s="90" t="s">
        <v>2105</v>
      </c>
      <c r="C643" s="91">
        <v>2018.0</v>
      </c>
      <c r="D643" s="90" t="s">
        <v>911</v>
      </c>
      <c r="E643" s="90" t="s">
        <v>873</v>
      </c>
      <c r="F643" s="101" t="s">
        <v>2106</v>
      </c>
      <c r="G643" s="93">
        <v>46161.0</v>
      </c>
      <c r="H643" s="94">
        <f t="shared" si="5"/>
        <v>0</v>
      </c>
      <c r="I643" s="95" t="s">
        <v>2107</v>
      </c>
      <c r="J643" s="96">
        <v>46161.0</v>
      </c>
      <c r="K643" s="95" t="s">
        <v>24</v>
      </c>
      <c r="L643" s="95">
        <v>111922.0</v>
      </c>
      <c r="M643" s="98"/>
      <c r="N643" s="98"/>
      <c r="O643" s="98"/>
      <c r="P643" s="98"/>
      <c r="Q643" s="98"/>
      <c r="R643" s="98"/>
      <c r="S643" s="98"/>
      <c r="T643" s="98"/>
      <c r="U643" s="98"/>
      <c r="V643" s="98"/>
      <c r="W643" s="98"/>
      <c r="X643" s="98"/>
      <c r="Y643" s="98"/>
      <c r="Z643" s="98"/>
    </row>
    <row r="644">
      <c r="A644" s="69" t="s">
        <v>2108</v>
      </c>
      <c r="B644" s="68" t="s">
        <v>2109</v>
      </c>
      <c r="C644" s="69">
        <v>2026.0</v>
      </c>
      <c r="D644" s="68" t="s">
        <v>1635</v>
      </c>
      <c r="E644" s="68" t="s">
        <v>805</v>
      </c>
      <c r="F644" s="70" t="s">
        <v>989</v>
      </c>
      <c r="G644" s="71">
        <v>46161.0</v>
      </c>
      <c r="H644" s="72">
        <f t="shared" si="5"/>
        <v>2</v>
      </c>
      <c r="I644" s="73" t="s">
        <v>2110</v>
      </c>
      <c r="J644" s="74">
        <v>46163.0</v>
      </c>
      <c r="K644" s="73" t="s">
        <v>24</v>
      </c>
      <c r="L644" s="73">
        <v>15.0</v>
      </c>
      <c r="M644" s="75"/>
      <c r="N644" s="75"/>
      <c r="O644" s="75"/>
      <c r="P644" s="75"/>
      <c r="Q644" s="75"/>
      <c r="R644" s="75"/>
      <c r="S644" s="75"/>
      <c r="T644" s="75"/>
      <c r="U644" s="75"/>
      <c r="V644" s="75"/>
      <c r="W644" s="75"/>
      <c r="X644" s="75"/>
      <c r="Y644" s="75"/>
      <c r="Z644" s="75"/>
    </row>
    <row r="645">
      <c r="A645" s="91">
        <v>18065.0</v>
      </c>
      <c r="B645" s="90" t="s">
        <v>2111</v>
      </c>
      <c r="C645" s="91">
        <v>2020.0</v>
      </c>
      <c r="D645" s="90" t="s">
        <v>927</v>
      </c>
      <c r="E645" s="90" t="s">
        <v>2112</v>
      </c>
      <c r="F645" s="101" t="s">
        <v>2113</v>
      </c>
      <c r="G645" s="93">
        <v>46162.0</v>
      </c>
      <c r="H645" s="94">
        <f t="shared" si="5"/>
        <v>5</v>
      </c>
      <c r="I645" s="95" t="s">
        <v>2114</v>
      </c>
      <c r="J645" s="96">
        <v>46167.0</v>
      </c>
      <c r="K645" s="95" t="s">
        <v>24</v>
      </c>
      <c r="L645" s="95">
        <v>48999.0</v>
      </c>
      <c r="M645" s="98"/>
      <c r="N645" s="98"/>
      <c r="O645" s="98"/>
      <c r="P645" s="98"/>
      <c r="Q645" s="98"/>
      <c r="R645" s="98"/>
      <c r="S645" s="98"/>
      <c r="T645" s="98"/>
      <c r="U645" s="98"/>
      <c r="V645" s="98"/>
      <c r="W645" s="98"/>
      <c r="X645" s="98"/>
      <c r="Y645" s="98"/>
      <c r="Z645" s="98"/>
    </row>
    <row r="646">
      <c r="A646" s="69">
        <v>18064.0</v>
      </c>
      <c r="B646" s="68" t="s">
        <v>2115</v>
      </c>
      <c r="C646" s="69">
        <v>2019.0</v>
      </c>
      <c r="D646" s="68" t="s">
        <v>1597</v>
      </c>
      <c r="E646" s="68" t="s">
        <v>2112</v>
      </c>
      <c r="F646" s="70" t="s">
        <v>2116</v>
      </c>
      <c r="G646" s="71">
        <v>46162.0</v>
      </c>
      <c r="H646" s="72">
        <f t="shared" si="5"/>
        <v>5</v>
      </c>
      <c r="I646" s="73" t="s">
        <v>2114</v>
      </c>
      <c r="J646" s="74">
        <v>46167.0</v>
      </c>
      <c r="K646" s="73" t="s">
        <v>24</v>
      </c>
      <c r="L646" s="73">
        <v>59730.0</v>
      </c>
      <c r="M646" s="75"/>
      <c r="N646" s="75"/>
      <c r="O646" s="75"/>
      <c r="P646" s="75"/>
      <c r="Q646" s="75"/>
      <c r="R646" s="75"/>
      <c r="S646" s="75"/>
      <c r="T646" s="75"/>
      <c r="U646" s="75"/>
      <c r="V646" s="75"/>
      <c r="W646" s="75"/>
      <c r="X646" s="75"/>
      <c r="Y646" s="75"/>
      <c r="Z646" s="75"/>
    </row>
    <row r="647">
      <c r="A647" s="91">
        <v>18066.0</v>
      </c>
      <c r="B647" s="90" t="s">
        <v>2117</v>
      </c>
      <c r="C647" s="91">
        <v>2011.0</v>
      </c>
      <c r="D647" s="90" t="s">
        <v>2118</v>
      </c>
      <c r="E647" s="90" t="s">
        <v>160</v>
      </c>
      <c r="F647" s="101" t="s">
        <v>2119</v>
      </c>
      <c r="G647" s="93">
        <v>46162.0</v>
      </c>
      <c r="H647" s="94">
        <f t="shared" si="5"/>
        <v>63</v>
      </c>
      <c r="I647" s="95" t="s">
        <v>2120</v>
      </c>
      <c r="J647" s="98"/>
      <c r="K647" s="95" t="s">
        <v>248</v>
      </c>
      <c r="L647" s="95">
        <v>96178.0</v>
      </c>
      <c r="M647" s="98"/>
      <c r="N647" s="98"/>
      <c r="O647" s="98"/>
      <c r="P647" s="98"/>
      <c r="Q647" s="98"/>
      <c r="R647" s="98"/>
      <c r="S647" s="98"/>
      <c r="T647" s="98"/>
      <c r="U647" s="98"/>
      <c r="V647" s="98"/>
      <c r="W647" s="98"/>
      <c r="X647" s="98"/>
      <c r="Y647" s="98"/>
      <c r="Z647" s="98"/>
    </row>
    <row r="648">
      <c r="A648" s="69">
        <v>18068.0</v>
      </c>
      <c r="B648" s="68" t="s">
        <v>2121</v>
      </c>
      <c r="C648" s="69">
        <v>2014.0</v>
      </c>
      <c r="D648" s="68" t="s">
        <v>251</v>
      </c>
      <c r="E648" s="68" t="s">
        <v>70</v>
      </c>
      <c r="F648" s="70" t="s">
        <v>2122</v>
      </c>
      <c r="G648" s="71">
        <v>46162.0</v>
      </c>
      <c r="H648" s="72">
        <f t="shared" si="5"/>
        <v>0</v>
      </c>
      <c r="I648" s="73" t="s">
        <v>2123</v>
      </c>
      <c r="J648" s="74">
        <v>46162.0</v>
      </c>
      <c r="K648" s="73" t="s">
        <v>31</v>
      </c>
      <c r="L648" s="73">
        <v>250531.0</v>
      </c>
      <c r="M648" s="75"/>
      <c r="N648" s="75"/>
      <c r="O648" s="75"/>
      <c r="P648" s="75"/>
      <c r="Q648" s="75"/>
      <c r="R648" s="75"/>
      <c r="S648" s="75"/>
      <c r="T648" s="75"/>
      <c r="U648" s="75"/>
      <c r="V648" s="75"/>
      <c r="W648" s="75"/>
      <c r="X648" s="75"/>
      <c r="Y648" s="75"/>
      <c r="Z648" s="75"/>
    </row>
    <row r="649">
      <c r="A649" s="91">
        <v>18069.0</v>
      </c>
      <c r="B649" s="90" t="s">
        <v>2124</v>
      </c>
      <c r="C649" s="91">
        <v>2021.0</v>
      </c>
      <c r="D649" s="90" t="s">
        <v>2125</v>
      </c>
      <c r="E649" s="90" t="s">
        <v>70</v>
      </c>
      <c r="F649" s="92">
        <v>46149.0</v>
      </c>
      <c r="G649" s="93">
        <v>46162.0</v>
      </c>
      <c r="H649" s="94">
        <f t="shared" si="5"/>
        <v>8</v>
      </c>
      <c r="I649" s="95" t="s">
        <v>2126</v>
      </c>
      <c r="J649" s="96">
        <v>46170.0</v>
      </c>
      <c r="K649" s="95" t="s">
        <v>24</v>
      </c>
      <c r="L649" s="95">
        <v>43179.0</v>
      </c>
      <c r="M649" s="98"/>
      <c r="N649" s="98"/>
      <c r="O649" s="98"/>
      <c r="P649" s="98"/>
      <c r="Q649" s="98"/>
      <c r="R649" s="98"/>
      <c r="S649" s="98"/>
      <c r="T649" s="98"/>
      <c r="U649" s="98"/>
      <c r="V649" s="98"/>
      <c r="W649" s="98"/>
      <c r="X649" s="98"/>
      <c r="Y649" s="98"/>
      <c r="Z649" s="98"/>
    </row>
    <row r="650">
      <c r="A650" s="69">
        <v>18070.0</v>
      </c>
      <c r="B650" s="68" t="s">
        <v>2127</v>
      </c>
      <c r="C650" s="69">
        <v>2023.0</v>
      </c>
      <c r="D650" s="68" t="s">
        <v>2128</v>
      </c>
      <c r="E650" s="68" t="s">
        <v>2129</v>
      </c>
      <c r="F650" s="70" t="s">
        <v>2130</v>
      </c>
      <c r="G650" s="71">
        <v>46162.0</v>
      </c>
      <c r="H650" s="72">
        <f t="shared" si="5"/>
        <v>8</v>
      </c>
      <c r="I650" s="73" t="s">
        <v>2131</v>
      </c>
      <c r="J650" s="74">
        <v>46170.0</v>
      </c>
      <c r="K650" s="73" t="s">
        <v>24</v>
      </c>
      <c r="L650" s="73">
        <v>29990.0</v>
      </c>
      <c r="M650" s="75"/>
      <c r="N650" s="75"/>
      <c r="O650" s="75"/>
      <c r="P650" s="75"/>
      <c r="Q650" s="75"/>
      <c r="R650" s="75"/>
      <c r="S650" s="75"/>
      <c r="T650" s="75"/>
      <c r="U650" s="75"/>
      <c r="V650" s="75"/>
      <c r="W650" s="75"/>
      <c r="X650" s="75"/>
      <c r="Y650" s="75"/>
      <c r="Z650" s="75"/>
    </row>
    <row r="651">
      <c r="A651" s="91">
        <v>18071.0</v>
      </c>
      <c r="B651" s="90" t="s">
        <v>2132</v>
      </c>
      <c r="C651" s="91">
        <v>2023.0</v>
      </c>
      <c r="D651" s="90" t="s">
        <v>629</v>
      </c>
      <c r="E651" s="90" t="s">
        <v>2133</v>
      </c>
      <c r="F651" s="101" t="s">
        <v>2134</v>
      </c>
      <c r="G651" s="93">
        <v>46163.0</v>
      </c>
      <c r="H651" s="94">
        <f t="shared" si="5"/>
        <v>0</v>
      </c>
      <c r="I651" s="95" t="s">
        <v>2135</v>
      </c>
      <c r="J651" s="96">
        <v>46163.0</v>
      </c>
      <c r="K651" s="95" t="s">
        <v>24</v>
      </c>
      <c r="L651" s="95">
        <v>40240.0</v>
      </c>
      <c r="M651" s="98"/>
      <c r="N651" s="98"/>
      <c r="O651" s="98"/>
      <c r="P651" s="98"/>
      <c r="Q651" s="98"/>
      <c r="R651" s="98"/>
      <c r="S651" s="98"/>
      <c r="T651" s="98"/>
      <c r="U651" s="98"/>
      <c r="V651" s="98"/>
      <c r="W651" s="98"/>
      <c r="X651" s="98"/>
      <c r="Y651" s="98"/>
      <c r="Z651" s="98"/>
    </row>
    <row r="652">
      <c r="A652" s="69">
        <v>18072.0</v>
      </c>
      <c r="B652" s="68" t="s">
        <v>2136</v>
      </c>
      <c r="C652" s="69">
        <v>2023.0</v>
      </c>
      <c r="D652" s="68" t="s">
        <v>629</v>
      </c>
      <c r="E652" s="68" t="s">
        <v>2133</v>
      </c>
      <c r="F652" s="70" t="s">
        <v>2137</v>
      </c>
      <c r="G652" s="71">
        <v>46163.0</v>
      </c>
      <c r="H652" s="72">
        <f t="shared" si="5"/>
        <v>0</v>
      </c>
      <c r="I652" s="73" t="s">
        <v>2138</v>
      </c>
      <c r="J652" s="74">
        <v>46163.0</v>
      </c>
      <c r="K652" s="73" t="s">
        <v>24</v>
      </c>
      <c r="L652" s="73">
        <v>23411.0</v>
      </c>
      <c r="M652" s="75"/>
      <c r="N652" s="75"/>
      <c r="O652" s="75"/>
      <c r="P652" s="75"/>
      <c r="Q652" s="75"/>
      <c r="R652" s="75"/>
      <c r="S652" s="75"/>
      <c r="T652" s="75"/>
      <c r="U652" s="75"/>
      <c r="V652" s="75"/>
      <c r="W652" s="75"/>
      <c r="X652" s="75"/>
      <c r="Y652" s="75"/>
      <c r="Z652" s="75"/>
    </row>
    <row r="653">
      <c r="A653" s="91">
        <v>18073.0</v>
      </c>
      <c r="B653" s="90" t="s">
        <v>2139</v>
      </c>
      <c r="C653" s="91">
        <v>2023.0</v>
      </c>
      <c r="D653" s="90" t="s">
        <v>629</v>
      </c>
      <c r="E653" s="90" t="s">
        <v>2133</v>
      </c>
      <c r="F653" s="101" t="s">
        <v>2140</v>
      </c>
      <c r="G653" s="93">
        <v>46163.0</v>
      </c>
      <c r="H653" s="94">
        <f t="shared" si="5"/>
        <v>0</v>
      </c>
      <c r="I653" s="95" t="s">
        <v>2141</v>
      </c>
      <c r="J653" s="96">
        <v>46163.0</v>
      </c>
      <c r="K653" s="95" t="s">
        <v>24</v>
      </c>
      <c r="L653" s="95">
        <v>48820.0</v>
      </c>
      <c r="M653" s="98"/>
      <c r="N653" s="98"/>
      <c r="O653" s="98"/>
      <c r="P653" s="98"/>
      <c r="Q653" s="98"/>
      <c r="R653" s="98"/>
      <c r="S653" s="98"/>
      <c r="T653" s="98"/>
      <c r="U653" s="98"/>
      <c r="V653" s="98"/>
      <c r="W653" s="98"/>
      <c r="X653" s="98"/>
      <c r="Y653" s="98"/>
      <c r="Z653" s="98"/>
    </row>
    <row r="654">
      <c r="A654" s="69">
        <v>18080.0</v>
      </c>
      <c r="B654" s="68" t="s">
        <v>2142</v>
      </c>
      <c r="C654" s="69">
        <v>2023.0</v>
      </c>
      <c r="D654" s="68" t="s">
        <v>1913</v>
      </c>
      <c r="E654" s="68" t="s">
        <v>70</v>
      </c>
      <c r="F654" s="113">
        <v>46272.0</v>
      </c>
      <c r="G654" s="71">
        <v>46163.0</v>
      </c>
      <c r="H654" s="72">
        <f t="shared" si="5"/>
        <v>62</v>
      </c>
      <c r="I654" s="73" t="s">
        <v>504</v>
      </c>
      <c r="J654" s="75"/>
      <c r="K654" s="73" t="s">
        <v>248</v>
      </c>
      <c r="L654" s="73">
        <v>30381.0</v>
      </c>
      <c r="M654" s="75"/>
      <c r="N654" s="75"/>
      <c r="O654" s="75"/>
      <c r="P654" s="75"/>
      <c r="Q654" s="75"/>
      <c r="R654" s="75"/>
      <c r="S654" s="75"/>
      <c r="T654" s="75"/>
      <c r="U654" s="75"/>
      <c r="V654" s="75"/>
      <c r="W654" s="75"/>
      <c r="X654" s="75"/>
      <c r="Y654" s="75"/>
      <c r="Z654" s="75"/>
    </row>
    <row r="655">
      <c r="A655" s="91">
        <v>18085.0</v>
      </c>
      <c r="B655" s="90" t="s">
        <v>2143</v>
      </c>
      <c r="C655" s="91">
        <v>2023.0</v>
      </c>
      <c r="D655" s="90" t="s">
        <v>69</v>
      </c>
      <c r="E655" s="90" t="s">
        <v>70</v>
      </c>
      <c r="F655" s="101" t="s">
        <v>2144</v>
      </c>
      <c r="G655" s="93">
        <v>46163.0</v>
      </c>
      <c r="H655" s="94">
        <f t="shared" si="5"/>
        <v>62</v>
      </c>
      <c r="I655" s="95" t="s">
        <v>504</v>
      </c>
      <c r="J655" s="98"/>
      <c r="K655" s="95" t="s">
        <v>248</v>
      </c>
      <c r="L655" s="95">
        <v>37074.0</v>
      </c>
      <c r="M655" s="98"/>
      <c r="N655" s="98"/>
      <c r="O655" s="98"/>
      <c r="P655" s="98"/>
      <c r="Q655" s="98"/>
      <c r="R655" s="98"/>
      <c r="S655" s="98"/>
      <c r="T655" s="98"/>
      <c r="U655" s="98"/>
      <c r="V655" s="98"/>
      <c r="W655" s="98"/>
      <c r="X655" s="98"/>
      <c r="Y655" s="98"/>
      <c r="Z655" s="98"/>
    </row>
    <row r="656">
      <c r="A656" s="67">
        <v>18070.0</v>
      </c>
      <c r="B656" s="68" t="s">
        <v>2145</v>
      </c>
      <c r="C656" s="69">
        <v>2023.0</v>
      </c>
      <c r="D656" s="68" t="s">
        <v>1177</v>
      </c>
      <c r="E656" s="68" t="s">
        <v>2146</v>
      </c>
      <c r="F656" s="70" t="s">
        <v>2147</v>
      </c>
      <c r="G656" s="71">
        <v>46163.0</v>
      </c>
      <c r="H656" s="72">
        <f t="shared" si="5"/>
        <v>0</v>
      </c>
      <c r="I656" s="73" t="s">
        <v>2148</v>
      </c>
      <c r="J656" s="74">
        <v>46163.0</v>
      </c>
      <c r="K656" s="73" t="s">
        <v>24</v>
      </c>
      <c r="L656" s="73">
        <v>0.0</v>
      </c>
      <c r="M656" s="75"/>
      <c r="N656" s="75"/>
      <c r="O656" s="75"/>
      <c r="P656" s="75"/>
      <c r="Q656" s="75"/>
      <c r="R656" s="75"/>
      <c r="S656" s="75"/>
      <c r="T656" s="75"/>
      <c r="U656" s="75"/>
      <c r="V656" s="75"/>
      <c r="W656" s="75"/>
      <c r="X656" s="75"/>
      <c r="Y656" s="75"/>
      <c r="Z656" s="75"/>
    </row>
    <row r="657">
      <c r="A657" s="91">
        <v>18088.0</v>
      </c>
      <c r="B657" s="90" t="s">
        <v>2149</v>
      </c>
      <c r="C657" s="91">
        <v>2010.0</v>
      </c>
      <c r="D657" s="90" t="s">
        <v>2150</v>
      </c>
      <c r="E657" s="90" t="s">
        <v>183</v>
      </c>
      <c r="F657" s="101" t="s">
        <v>2151</v>
      </c>
      <c r="G657" s="93">
        <v>46163.0</v>
      </c>
      <c r="H657" s="94">
        <f t="shared" si="5"/>
        <v>6</v>
      </c>
      <c r="I657" s="95" t="s">
        <v>2152</v>
      </c>
      <c r="J657" s="96">
        <v>46169.0</v>
      </c>
      <c r="K657" s="95" t="s">
        <v>24</v>
      </c>
      <c r="L657" s="95">
        <v>27773.0</v>
      </c>
      <c r="M657" s="98"/>
      <c r="N657" s="98"/>
      <c r="O657" s="98"/>
      <c r="P657" s="98"/>
      <c r="Q657" s="98"/>
      <c r="R657" s="98"/>
      <c r="S657" s="98"/>
      <c r="T657" s="98"/>
      <c r="U657" s="98"/>
      <c r="V657" s="98"/>
      <c r="W657" s="98"/>
      <c r="X657" s="98"/>
      <c r="Y657" s="98"/>
      <c r="Z657" s="98"/>
    </row>
    <row r="658">
      <c r="A658" s="69">
        <v>18108.0</v>
      </c>
      <c r="B658" s="68" t="s">
        <v>2153</v>
      </c>
      <c r="C658" s="69">
        <v>2022.0</v>
      </c>
      <c r="D658" s="68" t="s">
        <v>629</v>
      </c>
      <c r="E658" s="68" t="s">
        <v>235</v>
      </c>
      <c r="F658" s="70" t="s">
        <v>2154</v>
      </c>
      <c r="G658" s="71">
        <v>46167.0</v>
      </c>
      <c r="H658" s="72">
        <f t="shared" si="5"/>
        <v>0</v>
      </c>
      <c r="I658" s="73" t="s">
        <v>2155</v>
      </c>
      <c r="J658" s="74">
        <v>46167.0</v>
      </c>
      <c r="K658" s="73" t="s">
        <v>24</v>
      </c>
      <c r="L658" s="73">
        <v>152730.0</v>
      </c>
      <c r="M658" s="75"/>
      <c r="N658" s="75"/>
      <c r="O658" s="75"/>
      <c r="P658" s="75"/>
      <c r="Q658" s="75"/>
      <c r="R658" s="75"/>
      <c r="S658" s="75"/>
      <c r="T658" s="75"/>
      <c r="U658" s="75"/>
      <c r="V658" s="75"/>
      <c r="W658" s="75"/>
      <c r="X658" s="75"/>
      <c r="Y658" s="75"/>
      <c r="Z658" s="75"/>
    </row>
    <row r="659">
      <c r="A659" s="91">
        <v>18090.0</v>
      </c>
      <c r="B659" s="90" t="s">
        <v>2156</v>
      </c>
      <c r="C659" s="91">
        <v>2014.0</v>
      </c>
      <c r="D659" s="90" t="s">
        <v>251</v>
      </c>
      <c r="E659" s="90" t="s">
        <v>2157</v>
      </c>
      <c r="F659" s="101" t="s">
        <v>2158</v>
      </c>
      <c r="G659" s="93">
        <v>46163.0</v>
      </c>
      <c r="H659" s="94">
        <f t="shared" si="5"/>
        <v>1</v>
      </c>
      <c r="I659" s="95" t="s">
        <v>2159</v>
      </c>
      <c r="J659" s="96">
        <v>46164.0</v>
      </c>
      <c r="K659" s="95" t="s">
        <v>24</v>
      </c>
      <c r="L659" s="95">
        <v>295478.0</v>
      </c>
      <c r="M659" s="98"/>
      <c r="N659" s="98"/>
      <c r="O659" s="98"/>
      <c r="P659" s="98"/>
      <c r="Q659" s="98"/>
      <c r="R659" s="98"/>
      <c r="S659" s="98"/>
      <c r="T659" s="98"/>
      <c r="U659" s="98"/>
      <c r="V659" s="98"/>
      <c r="W659" s="98"/>
      <c r="X659" s="98"/>
      <c r="Y659" s="98"/>
      <c r="Z659" s="98"/>
    </row>
    <row r="660">
      <c r="A660" s="69">
        <v>18091.0</v>
      </c>
      <c r="B660" s="68" t="s">
        <v>2160</v>
      </c>
      <c r="C660" s="69">
        <v>2019.0</v>
      </c>
      <c r="D660" s="68" t="s">
        <v>2161</v>
      </c>
      <c r="E660" s="68" t="s">
        <v>1845</v>
      </c>
      <c r="F660" s="70" t="s">
        <v>2162</v>
      </c>
      <c r="G660" s="71">
        <v>46163.0</v>
      </c>
      <c r="H660" s="72">
        <f t="shared" si="5"/>
        <v>0</v>
      </c>
      <c r="I660" s="73" t="s">
        <v>2163</v>
      </c>
      <c r="J660" s="74">
        <v>46163.0</v>
      </c>
      <c r="K660" s="73" t="s">
        <v>24</v>
      </c>
      <c r="L660" s="73">
        <v>74992.0</v>
      </c>
      <c r="M660" s="75"/>
      <c r="N660" s="75"/>
      <c r="O660" s="75"/>
      <c r="P660" s="75"/>
      <c r="Q660" s="75"/>
      <c r="R660" s="75"/>
      <c r="S660" s="75"/>
      <c r="T660" s="75"/>
      <c r="U660" s="75"/>
      <c r="V660" s="75"/>
      <c r="W660" s="75"/>
      <c r="X660" s="75"/>
      <c r="Y660" s="75"/>
      <c r="Z660" s="75"/>
    </row>
    <row r="661">
      <c r="A661" s="91">
        <v>18092.0</v>
      </c>
      <c r="B661" s="90" t="s">
        <v>2164</v>
      </c>
      <c r="C661" s="91">
        <v>2013.0</v>
      </c>
      <c r="D661" s="90" t="s">
        <v>27</v>
      </c>
      <c r="E661" s="90" t="s">
        <v>183</v>
      </c>
      <c r="F661" s="92">
        <v>46025.0</v>
      </c>
      <c r="G661" s="93">
        <v>46163.0</v>
      </c>
      <c r="H661" s="94">
        <f t="shared" si="5"/>
        <v>14</v>
      </c>
      <c r="I661" s="95" t="s">
        <v>2165</v>
      </c>
      <c r="J661" s="96">
        <v>46177.0</v>
      </c>
      <c r="K661" s="95" t="s">
        <v>31</v>
      </c>
      <c r="L661" s="95">
        <v>95718.0</v>
      </c>
      <c r="M661" s="98"/>
      <c r="N661" s="98"/>
      <c r="O661" s="98"/>
      <c r="P661" s="98"/>
      <c r="Q661" s="98"/>
      <c r="R661" s="98"/>
      <c r="S661" s="98"/>
      <c r="T661" s="98"/>
      <c r="U661" s="98"/>
      <c r="V661" s="98"/>
      <c r="W661" s="98"/>
      <c r="X661" s="98"/>
      <c r="Y661" s="98"/>
      <c r="Z661" s="98"/>
    </row>
    <row r="662">
      <c r="A662" s="69">
        <v>18093.0</v>
      </c>
      <c r="B662" s="68" t="s">
        <v>2166</v>
      </c>
      <c r="C662" s="69">
        <v>2022.0</v>
      </c>
      <c r="D662" s="68" t="s">
        <v>1163</v>
      </c>
      <c r="E662" s="68" t="s">
        <v>87</v>
      </c>
      <c r="F662" s="70" t="s">
        <v>2167</v>
      </c>
      <c r="G662" s="71">
        <v>46164.0</v>
      </c>
      <c r="H662" s="72">
        <f t="shared" si="5"/>
        <v>35</v>
      </c>
      <c r="I662" s="73" t="s">
        <v>2168</v>
      </c>
      <c r="J662" s="74">
        <v>46199.0</v>
      </c>
      <c r="K662" s="73" t="s">
        <v>24</v>
      </c>
      <c r="L662" s="73"/>
      <c r="M662" s="75"/>
      <c r="N662" s="75"/>
      <c r="O662" s="75"/>
      <c r="P662" s="75"/>
      <c r="Q662" s="75"/>
      <c r="R662" s="75"/>
      <c r="S662" s="75"/>
      <c r="T662" s="75"/>
      <c r="U662" s="75"/>
      <c r="V662" s="75"/>
      <c r="W662" s="75"/>
      <c r="X662" s="75"/>
      <c r="Y662" s="75"/>
      <c r="Z662" s="75"/>
    </row>
    <row r="663">
      <c r="A663" s="91">
        <v>18095.0</v>
      </c>
      <c r="B663" s="90" t="s">
        <v>2169</v>
      </c>
      <c r="C663" s="91">
        <v>2023.0</v>
      </c>
      <c r="D663" s="90" t="s">
        <v>292</v>
      </c>
      <c r="E663" s="90" t="s">
        <v>2170</v>
      </c>
      <c r="F663" s="101" t="s">
        <v>2171</v>
      </c>
      <c r="G663" s="93">
        <v>46164.0</v>
      </c>
      <c r="H663" s="94">
        <f t="shared" si="5"/>
        <v>11</v>
      </c>
      <c r="I663" s="95" t="s">
        <v>2172</v>
      </c>
      <c r="J663" s="96">
        <v>46175.0</v>
      </c>
      <c r="K663" s="95" t="s">
        <v>24</v>
      </c>
      <c r="L663" s="95">
        <v>42333.0</v>
      </c>
      <c r="M663" s="98"/>
      <c r="N663" s="98"/>
      <c r="O663" s="98"/>
      <c r="P663" s="98"/>
      <c r="Q663" s="98"/>
      <c r="R663" s="98"/>
      <c r="S663" s="98"/>
      <c r="T663" s="98"/>
      <c r="U663" s="98"/>
      <c r="V663" s="98"/>
      <c r="W663" s="98"/>
      <c r="X663" s="98"/>
      <c r="Y663" s="98"/>
      <c r="Z663" s="98"/>
    </row>
    <row r="664">
      <c r="A664" s="69">
        <v>18100.0</v>
      </c>
      <c r="B664" s="68" t="s">
        <v>2173</v>
      </c>
      <c r="C664" s="69">
        <v>2015.0</v>
      </c>
      <c r="D664" s="68" t="s">
        <v>724</v>
      </c>
      <c r="E664" s="68" t="s">
        <v>1561</v>
      </c>
      <c r="F664" s="70" t="s">
        <v>2174</v>
      </c>
      <c r="G664" s="71">
        <v>46164.0</v>
      </c>
      <c r="H664" s="72">
        <f t="shared" si="5"/>
        <v>3</v>
      </c>
      <c r="I664" s="73" t="s">
        <v>2175</v>
      </c>
      <c r="J664" s="74">
        <v>46167.0</v>
      </c>
      <c r="K664" s="73" t="s">
        <v>24</v>
      </c>
      <c r="L664" s="73">
        <v>117300.0</v>
      </c>
      <c r="M664" s="75"/>
      <c r="N664" s="75"/>
      <c r="O664" s="75"/>
      <c r="P664" s="75"/>
      <c r="Q664" s="75"/>
      <c r="R664" s="75"/>
      <c r="S664" s="75"/>
      <c r="T664" s="75"/>
      <c r="U664" s="75"/>
      <c r="V664" s="75"/>
      <c r="W664" s="75"/>
      <c r="X664" s="75"/>
      <c r="Y664" s="75"/>
      <c r="Z664" s="75"/>
    </row>
    <row r="665">
      <c r="A665" s="91" t="s">
        <v>2176</v>
      </c>
      <c r="B665" s="90" t="s">
        <v>2177</v>
      </c>
      <c r="C665" s="91">
        <v>2026.0</v>
      </c>
      <c r="D665" s="90" t="s">
        <v>1635</v>
      </c>
      <c r="E665" s="90" t="s">
        <v>805</v>
      </c>
      <c r="F665" s="101" t="s">
        <v>2178</v>
      </c>
      <c r="G665" s="93">
        <v>46164.0</v>
      </c>
      <c r="H665" s="94">
        <f t="shared" si="5"/>
        <v>4</v>
      </c>
      <c r="I665" s="95" t="s">
        <v>2179</v>
      </c>
      <c r="J665" s="96">
        <v>46168.0</v>
      </c>
      <c r="K665" s="95" t="s">
        <v>24</v>
      </c>
      <c r="L665" s="95">
        <v>12.0</v>
      </c>
      <c r="M665" s="98"/>
      <c r="N665" s="98"/>
      <c r="O665" s="98"/>
      <c r="P665" s="98"/>
      <c r="Q665" s="98"/>
      <c r="R665" s="98"/>
      <c r="S665" s="98"/>
      <c r="T665" s="98"/>
      <c r="U665" s="98"/>
      <c r="V665" s="98"/>
      <c r="W665" s="98"/>
      <c r="X665" s="98"/>
      <c r="Y665" s="98"/>
      <c r="Z665" s="98"/>
    </row>
    <row r="666">
      <c r="A666" s="69">
        <v>18102.0</v>
      </c>
      <c r="B666" s="68" t="s">
        <v>2180</v>
      </c>
      <c r="C666" s="69">
        <v>2024.0</v>
      </c>
      <c r="D666" s="68" t="s">
        <v>2181</v>
      </c>
      <c r="E666" s="68" t="s">
        <v>47</v>
      </c>
      <c r="F666" s="70" t="s">
        <v>2182</v>
      </c>
      <c r="G666" s="71">
        <v>46164.0</v>
      </c>
      <c r="H666" s="72">
        <f t="shared" si="5"/>
        <v>4</v>
      </c>
      <c r="I666" s="73" t="s">
        <v>2183</v>
      </c>
      <c r="J666" s="74">
        <v>46168.0</v>
      </c>
      <c r="K666" s="73" t="s">
        <v>24</v>
      </c>
      <c r="L666" s="73">
        <v>1800.0</v>
      </c>
      <c r="M666" s="75"/>
      <c r="N666" s="75"/>
      <c r="O666" s="75"/>
      <c r="P666" s="75"/>
      <c r="Q666" s="75"/>
      <c r="R666" s="75"/>
      <c r="S666" s="75"/>
      <c r="T666" s="75"/>
      <c r="U666" s="75"/>
      <c r="V666" s="75"/>
      <c r="W666" s="75"/>
      <c r="X666" s="75"/>
      <c r="Y666" s="75"/>
      <c r="Z666" s="75"/>
    </row>
    <row r="667">
      <c r="A667" s="91">
        <v>18094.0</v>
      </c>
      <c r="B667" s="90" t="s">
        <v>2184</v>
      </c>
      <c r="C667" s="91">
        <v>2024.0</v>
      </c>
      <c r="D667" s="90" t="s">
        <v>1515</v>
      </c>
      <c r="E667" s="90" t="s">
        <v>70</v>
      </c>
      <c r="F667" s="101" t="s">
        <v>827</v>
      </c>
      <c r="G667" s="93">
        <v>46164.0</v>
      </c>
      <c r="H667" s="94">
        <f t="shared" si="5"/>
        <v>0</v>
      </c>
      <c r="I667" s="95" t="s">
        <v>2185</v>
      </c>
      <c r="J667" s="96">
        <v>46164.0</v>
      </c>
      <c r="K667" s="95" t="s">
        <v>31</v>
      </c>
      <c r="L667" s="95">
        <v>32181.0</v>
      </c>
      <c r="M667" s="98"/>
      <c r="N667" s="98"/>
      <c r="O667" s="98"/>
      <c r="P667" s="98"/>
      <c r="Q667" s="98"/>
      <c r="R667" s="98"/>
      <c r="S667" s="98"/>
      <c r="T667" s="98"/>
      <c r="U667" s="98"/>
      <c r="V667" s="98"/>
      <c r="W667" s="98"/>
      <c r="X667" s="98"/>
      <c r="Y667" s="98"/>
      <c r="Z667" s="98"/>
    </row>
    <row r="668">
      <c r="A668" s="69">
        <v>18103.0</v>
      </c>
      <c r="B668" s="68" t="s">
        <v>2186</v>
      </c>
      <c r="C668" s="69">
        <v>2014.0</v>
      </c>
      <c r="D668" s="68" t="s">
        <v>1177</v>
      </c>
      <c r="E668" s="68" t="s">
        <v>805</v>
      </c>
      <c r="F668" s="70" t="s">
        <v>2187</v>
      </c>
      <c r="G668" s="71">
        <v>46164.0</v>
      </c>
      <c r="H668" s="72">
        <f t="shared" si="5"/>
        <v>28</v>
      </c>
      <c r="I668" s="73" t="s">
        <v>31</v>
      </c>
      <c r="J668" s="74">
        <v>46192.0</v>
      </c>
      <c r="K668" s="73" t="s">
        <v>24</v>
      </c>
      <c r="L668" s="73">
        <v>226141.0</v>
      </c>
      <c r="M668" s="75"/>
      <c r="N668" s="75"/>
      <c r="O668" s="75"/>
      <c r="P668" s="75"/>
      <c r="Q668" s="75"/>
      <c r="R668" s="75"/>
      <c r="S668" s="75"/>
      <c r="T668" s="75"/>
      <c r="U668" s="75"/>
      <c r="V668" s="75"/>
      <c r="W668" s="75"/>
      <c r="X668" s="75"/>
      <c r="Y668" s="75"/>
      <c r="Z668" s="75"/>
    </row>
    <row r="669">
      <c r="A669" s="91">
        <v>18104.0</v>
      </c>
      <c r="B669" s="90" t="s">
        <v>2188</v>
      </c>
      <c r="C669" s="91">
        <v>2021.0</v>
      </c>
      <c r="D669" s="90" t="s">
        <v>2189</v>
      </c>
      <c r="E669" s="90" t="s">
        <v>2190</v>
      </c>
      <c r="F669" s="101" t="s">
        <v>2191</v>
      </c>
      <c r="G669" s="93">
        <v>46167.0</v>
      </c>
      <c r="H669" s="94">
        <f t="shared" si="5"/>
        <v>0</v>
      </c>
      <c r="I669" s="95" t="s">
        <v>2192</v>
      </c>
      <c r="J669" s="96">
        <v>46167.0</v>
      </c>
      <c r="K669" s="95" t="s">
        <v>24</v>
      </c>
      <c r="L669" s="95">
        <v>34329.0</v>
      </c>
      <c r="M669" s="98"/>
      <c r="N669" s="98"/>
      <c r="O669" s="98"/>
      <c r="P669" s="98"/>
      <c r="Q669" s="98"/>
      <c r="R669" s="98"/>
      <c r="S669" s="98"/>
      <c r="T669" s="98"/>
      <c r="U669" s="98"/>
      <c r="V669" s="98"/>
      <c r="W669" s="98"/>
      <c r="X669" s="98"/>
      <c r="Y669" s="98"/>
      <c r="Z669" s="98"/>
    </row>
    <row r="670">
      <c r="A670" s="69">
        <v>18105.0</v>
      </c>
      <c r="B670" s="68" t="s">
        <v>2193</v>
      </c>
      <c r="C670" s="69">
        <v>2021.0</v>
      </c>
      <c r="D670" s="68" t="s">
        <v>2194</v>
      </c>
      <c r="E670" s="68" t="s">
        <v>2190</v>
      </c>
      <c r="F670" s="70" t="s">
        <v>2195</v>
      </c>
      <c r="G670" s="71">
        <v>46167.0</v>
      </c>
      <c r="H670" s="72">
        <f t="shared" si="5"/>
        <v>0</v>
      </c>
      <c r="I670" s="73" t="s">
        <v>2196</v>
      </c>
      <c r="J670" s="74">
        <v>46167.0</v>
      </c>
      <c r="K670" s="73" t="s">
        <v>24</v>
      </c>
      <c r="L670" s="73">
        <v>33839.0</v>
      </c>
      <c r="M670" s="75"/>
      <c r="N670" s="75"/>
      <c r="O670" s="75"/>
      <c r="P670" s="75"/>
      <c r="Q670" s="75"/>
      <c r="R670" s="75"/>
      <c r="S670" s="75"/>
      <c r="T670" s="75"/>
      <c r="U670" s="75"/>
      <c r="V670" s="75"/>
      <c r="W670" s="75"/>
      <c r="X670" s="75"/>
      <c r="Y670" s="75"/>
      <c r="Z670" s="75"/>
    </row>
    <row r="671">
      <c r="A671" s="91">
        <v>18106.0</v>
      </c>
      <c r="B671" s="90" t="s">
        <v>2197</v>
      </c>
      <c r="C671" s="91">
        <v>2019.0</v>
      </c>
      <c r="D671" s="90" t="s">
        <v>911</v>
      </c>
      <c r="E671" s="90" t="s">
        <v>661</v>
      </c>
      <c r="F671" s="101" t="s">
        <v>2198</v>
      </c>
      <c r="G671" s="93">
        <v>46167.0</v>
      </c>
      <c r="H671" s="94">
        <f t="shared" si="5"/>
        <v>50</v>
      </c>
      <c r="I671" s="95" t="s">
        <v>2199</v>
      </c>
      <c r="J671" s="96">
        <v>46217.0</v>
      </c>
      <c r="K671" s="95" t="s">
        <v>24</v>
      </c>
      <c r="L671" s="95">
        <v>239850.0</v>
      </c>
      <c r="M671" s="98"/>
      <c r="N671" s="98"/>
      <c r="O671" s="98"/>
      <c r="P671" s="98"/>
      <c r="Q671" s="98"/>
      <c r="R671" s="98"/>
      <c r="S671" s="98"/>
      <c r="T671" s="98"/>
      <c r="U671" s="98"/>
      <c r="V671" s="98"/>
      <c r="W671" s="98"/>
      <c r="X671" s="98"/>
      <c r="Y671" s="98"/>
      <c r="Z671" s="98"/>
    </row>
    <row r="672">
      <c r="A672" s="69">
        <v>18111.0</v>
      </c>
      <c r="B672" s="68" t="s">
        <v>2200</v>
      </c>
      <c r="C672" s="69">
        <v>2021.0</v>
      </c>
      <c r="D672" s="68" t="s">
        <v>40</v>
      </c>
      <c r="E672" s="68" t="s">
        <v>53</v>
      </c>
      <c r="F672" s="113">
        <v>46098.0</v>
      </c>
      <c r="G672" s="71">
        <v>46168.0</v>
      </c>
      <c r="H672" s="72">
        <f t="shared" si="5"/>
        <v>0</v>
      </c>
      <c r="I672" s="73" t="s">
        <v>2201</v>
      </c>
      <c r="J672" s="74">
        <v>46168.0</v>
      </c>
      <c r="K672" s="73" t="s">
        <v>24</v>
      </c>
      <c r="L672" s="73">
        <v>21837.0</v>
      </c>
      <c r="M672" s="75"/>
      <c r="N672" s="75"/>
      <c r="O672" s="75"/>
      <c r="P672" s="75"/>
      <c r="Q672" s="75"/>
      <c r="R672" s="75"/>
      <c r="S672" s="75"/>
      <c r="T672" s="75"/>
      <c r="U672" s="75"/>
      <c r="V672" s="75"/>
      <c r="W672" s="75"/>
      <c r="X672" s="75"/>
      <c r="Y672" s="75"/>
      <c r="Z672" s="75"/>
    </row>
    <row r="673">
      <c r="A673" s="91">
        <v>18112.0</v>
      </c>
      <c r="B673" s="90" t="s">
        <v>2202</v>
      </c>
      <c r="C673" s="91">
        <v>2019.0</v>
      </c>
      <c r="D673" s="90" t="s">
        <v>1076</v>
      </c>
      <c r="E673" s="90" t="s">
        <v>982</v>
      </c>
      <c r="F673" s="101" t="s">
        <v>2203</v>
      </c>
      <c r="G673" s="93">
        <v>46168.0</v>
      </c>
      <c r="H673" s="94">
        <f t="shared" si="5"/>
        <v>49</v>
      </c>
      <c r="I673" s="95" t="s">
        <v>2204</v>
      </c>
      <c r="J673" s="96">
        <v>46217.0</v>
      </c>
      <c r="K673" s="95" t="s">
        <v>24</v>
      </c>
      <c r="L673" s="95">
        <v>67929.0</v>
      </c>
      <c r="M673" s="98"/>
      <c r="N673" s="98"/>
      <c r="O673" s="98"/>
      <c r="P673" s="98"/>
      <c r="Q673" s="98"/>
      <c r="R673" s="98"/>
      <c r="S673" s="98"/>
      <c r="T673" s="98"/>
      <c r="U673" s="98"/>
      <c r="V673" s="98"/>
      <c r="W673" s="98"/>
      <c r="X673" s="98"/>
      <c r="Y673" s="98"/>
      <c r="Z673" s="98"/>
    </row>
    <row r="674">
      <c r="A674" s="69">
        <v>18115.0</v>
      </c>
      <c r="B674" s="68" t="s">
        <v>2205</v>
      </c>
      <c r="C674" s="69">
        <v>2022.0</v>
      </c>
      <c r="D674" s="68" t="s">
        <v>2206</v>
      </c>
      <c r="E674" s="68" t="s">
        <v>329</v>
      </c>
      <c r="F674" s="70" t="s">
        <v>2207</v>
      </c>
      <c r="G674" s="71">
        <v>46168.0</v>
      </c>
      <c r="H674" s="72">
        <f t="shared" si="5"/>
        <v>7</v>
      </c>
      <c r="I674" s="73" t="s">
        <v>2208</v>
      </c>
      <c r="J674" s="74">
        <v>46175.0</v>
      </c>
      <c r="K674" s="73" t="s">
        <v>24</v>
      </c>
      <c r="L674" s="73">
        <v>18532.0</v>
      </c>
      <c r="M674" s="75"/>
      <c r="N674" s="75"/>
      <c r="O674" s="75"/>
      <c r="P674" s="75"/>
      <c r="Q674" s="75"/>
      <c r="R674" s="75"/>
      <c r="S674" s="75"/>
      <c r="T674" s="75"/>
      <c r="U674" s="75"/>
      <c r="V674" s="75"/>
      <c r="W674" s="75"/>
      <c r="X674" s="75"/>
      <c r="Y674" s="75"/>
      <c r="Z674" s="75"/>
    </row>
    <row r="675">
      <c r="A675" s="91">
        <v>18170.0</v>
      </c>
      <c r="B675" s="90" t="s">
        <v>2209</v>
      </c>
      <c r="C675" s="91">
        <v>2011.0</v>
      </c>
      <c r="D675" s="90" t="s">
        <v>1725</v>
      </c>
      <c r="E675" s="90" t="s">
        <v>277</v>
      </c>
      <c r="F675" s="101" t="s">
        <v>2210</v>
      </c>
      <c r="G675" s="93">
        <v>46174.0</v>
      </c>
      <c r="H675" s="94">
        <f t="shared" si="5"/>
        <v>0</v>
      </c>
      <c r="I675" s="95" t="s">
        <v>2211</v>
      </c>
      <c r="J675" s="96">
        <v>46174.0</v>
      </c>
      <c r="K675" s="95" t="s">
        <v>24</v>
      </c>
      <c r="L675" s="95">
        <v>35351.0</v>
      </c>
      <c r="M675" s="98"/>
      <c r="N675" s="98"/>
      <c r="O675" s="98"/>
      <c r="P675" s="98"/>
      <c r="Q675" s="98"/>
      <c r="R675" s="98"/>
      <c r="S675" s="98"/>
      <c r="T675" s="98"/>
      <c r="U675" s="98"/>
      <c r="V675" s="98"/>
      <c r="W675" s="98"/>
      <c r="X675" s="98"/>
      <c r="Y675" s="98"/>
      <c r="Z675" s="98"/>
    </row>
    <row r="676">
      <c r="A676" s="69">
        <v>18118.0</v>
      </c>
      <c r="B676" s="68" t="s">
        <v>2212</v>
      </c>
      <c r="C676" s="69">
        <v>2015.0</v>
      </c>
      <c r="D676" s="68" t="s">
        <v>182</v>
      </c>
      <c r="E676" s="68" t="s">
        <v>277</v>
      </c>
      <c r="F676" s="70" t="s">
        <v>83</v>
      </c>
      <c r="G676" s="71">
        <v>46168.0</v>
      </c>
      <c r="H676" s="72">
        <f t="shared" si="5"/>
        <v>31</v>
      </c>
      <c r="I676" s="73" t="s">
        <v>2213</v>
      </c>
      <c r="J676" s="74">
        <v>46199.0</v>
      </c>
      <c r="K676" s="73" t="s">
        <v>24</v>
      </c>
      <c r="L676" s="73">
        <v>91880.0</v>
      </c>
      <c r="M676" s="75"/>
      <c r="N676" s="75"/>
      <c r="O676" s="75"/>
      <c r="P676" s="75"/>
      <c r="Q676" s="75"/>
      <c r="R676" s="75"/>
      <c r="S676" s="75"/>
      <c r="T676" s="75"/>
      <c r="U676" s="75"/>
      <c r="V676" s="75"/>
      <c r="W676" s="75"/>
      <c r="X676" s="75"/>
      <c r="Y676" s="75"/>
      <c r="Z676" s="75"/>
    </row>
    <row r="677">
      <c r="A677" s="91">
        <v>18124.0</v>
      </c>
      <c r="B677" s="90" t="s">
        <v>2214</v>
      </c>
      <c r="C677" s="91">
        <v>2025.0</v>
      </c>
      <c r="D677" s="90" t="s">
        <v>239</v>
      </c>
      <c r="E677" s="90" t="s">
        <v>1332</v>
      </c>
      <c r="F677" s="101" t="s">
        <v>2215</v>
      </c>
      <c r="G677" s="93">
        <v>46169.0</v>
      </c>
      <c r="H677" s="94">
        <f t="shared" si="5"/>
        <v>35</v>
      </c>
      <c r="I677" s="95" t="s">
        <v>2216</v>
      </c>
      <c r="J677" s="96">
        <v>46204.0</v>
      </c>
      <c r="K677" s="95" t="s">
        <v>24</v>
      </c>
      <c r="L677" s="95">
        <v>12560.0</v>
      </c>
      <c r="M677" s="98"/>
      <c r="N677" s="98"/>
      <c r="O677" s="98"/>
      <c r="P677" s="98"/>
      <c r="Q677" s="98"/>
      <c r="R677" s="98"/>
      <c r="S677" s="98"/>
      <c r="T677" s="98"/>
      <c r="U677" s="98"/>
      <c r="V677" s="98"/>
      <c r="W677" s="98"/>
      <c r="X677" s="98"/>
      <c r="Y677" s="98"/>
      <c r="Z677" s="98"/>
    </row>
    <row r="678">
      <c r="A678" s="69">
        <v>18126.0</v>
      </c>
      <c r="B678" s="68" t="s">
        <v>2217</v>
      </c>
      <c r="C678" s="69">
        <v>2020.0</v>
      </c>
      <c r="D678" s="68" t="s">
        <v>1430</v>
      </c>
      <c r="E678" s="68" t="s">
        <v>405</v>
      </c>
      <c r="F678" s="70" t="s">
        <v>2218</v>
      </c>
      <c r="G678" s="71">
        <v>46169.0</v>
      </c>
      <c r="H678" s="72">
        <f t="shared" si="5"/>
        <v>1</v>
      </c>
      <c r="I678" s="73" t="s">
        <v>2219</v>
      </c>
      <c r="J678" s="74">
        <v>46170.0</v>
      </c>
      <c r="K678" s="73" t="s">
        <v>24</v>
      </c>
      <c r="L678" s="73">
        <v>83692.0</v>
      </c>
      <c r="M678" s="75"/>
      <c r="N678" s="75"/>
      <c r="O678" s="75"/>
      <c r="P678" s="75"/>
      <c r="Q678" s="75"/>
      <c r="R678" s="75"/>
      <c r="S678" s="75"/>
      <c r="T678" s="75"/>
      <c r="U678" s="75"/>
      <c r="V678" s="75"/>
      <c r="W678" s="75"/>
      <c r="X678" s="75"/>
      <c r="Y678" s="75"/>
      <c r="Z678" s="75"/>
    </row>
    <row r="679">
      <c r="A679" s="91">
        <v>18127.0</v>
      </c>
      <c r="B679" s="90" t="s">
        <v>2220</v>
      </c>
      <c r="C679" s="91">
        <v>2019.0</v>
      </c>
      <c r="D679" s="90" t="s">
        <v>1646</v>
      </c>
      <c r="E679" s="90" t="s">
        <v>582</v>
      </c>
      <c r="F679" s="101" t="s">
        <v>2221</v>
      </c>
      <c r="G679" s="93">
        <v>46169.0</v>
      </c>
      <c r="H679" s="94">
        <f t="shared" si="5"/>
        <v>0</v>
      </c>
      <c r="I679" s="95" t="s">
        <v>2222</v>
      </c>
      <c r="J679" s="96">
        <v>46169.0</v>
      </c>
      <c r="K679" s="95" t="s">
        <v>24</v>
      </c>
      <c r="L679" s="95">
        <v>46175.0</v>
      </c>
      <c r="M679" s="98"/>
      <c r="N679" s="98"/>
      <c r="O679" s="98"/>
      <c r="P679" s="98"/>
      <c r="Q679" s="98"/>
      <c r="R679" s="98"/>
      <c r="S679" s="98"/>
      <c r="T679" s="98"/>
      <c r="U679" s="98"/>
      <c r="V679" s="98"/>
      <c r="W679" s="98"/>
      <c r="X679" s="98"/>
      <c r="Y679" s="98"/>
      <c r="Z679" s="98"/>
    </row>
    <row r="680">
      <c r="A680" s="69">
        <v>18128.0</v>
      </c>
      <c r="B680" s="68" t="s">
        <v>2223</v>
      </c>
      <c r="C680" s="69">
        <v>2022.0</v>
      </c>
      <c r="D680" s="68" t="s">
        <v>2206</v>
      </c>
      <c r="E680" s="68" t="s">
        <v>764</v>
      </c>
      <c r="F680" s="70" t="s">
        <v>2224</v>
      </c>
      <c r="G680" s="71">
        <v>46169.0</v>
      </c>
      <c r="H680" s="72">
        <f t="shared" si="5"/>
        <v>48</v>
      </c>
      <c r="I680" s="73" t="s">
        <v>2225</v>
      </c>
      <c r="J680" s="74">
        <v>46217.0</v>
      </c>
      <c r="K680" s="73" t="s">
        <v>24</v>
      </c>
      <c r="L680" s="73">
        <v>18280.0</v>
      </c>
      <c r="M680" s="75"/>
      <c r="N680" s="75"/>
      <c r="O680" s="75"/>
      <c r="P680" s="75"/>
      <c r="Q680" s="75"/>
      <c r="R680" s="75"/>
      <c r="S680" s="75"/>
      <c r="T680" s="75"/>
      <c r="U680" s="75"/>
      <c r="V680" s="75"/>
      <c r="W680" s="75"/>
      <c r="X680" s="75"/>
      <c r="Y680" s="75"/>
      <c r="Z680" s="75"/>
    </row>
    <row r="681">
      <c r="A681" s="91">
        <v>18129.0</v>
      </c>
      <c r="B681" s="90" t="s">
        <v>2226</v>
      </c>
      <c r="C681" s="91">
        <v>2014.0</v>
      </c>
      <c r="D681" s="90" t="s">
        <v>2227</v>
      </c>
      <c r="E681" s="90" t="s">
        <v>764</v>
      </c>
      <c r="F681" s="101" t="s">
        <v>2228</v>
      </c>
      <c r="G681" s="93">
        <v>46169.0</v>
      </c>
      <c r="H681" s="94">
        <f t="shared" si="5"/>
        <v>48</v>
      </c>
      <c r="I681" s="95" t="s">
        <v>2229</v>
      </c>
      <c r="J681" s="96">
        <v>46217.0</v>
      </c>
      <c r="K681" s="95" t="s">
        <v>24</v>
      </c>
      <c r="L681" s="95">
        <v>24672.0</v>
      </c>
      <c r="M681" s="98"/>
      <c r="N681" s="98"/>
      <c r="O681" s="98"/>
      <c r="P681" s="98"/>
      <c r="Q681" s="98"/>
      <c r="R681" s="98"/>
      <c r="S681" s="98"/>
      <c r="T681" s="98"/>
      <c r="U681" s="98"/>
      <c r="V681" s="98"/>
      <c r="W681" s="98"/>
      <c r="X681" s="98"/>
      <c r="Y681" s="98"/>
      <c r="Z681" s="98"/>
    </row>
    <row r="682">
      <c r="A682" s="69">
        <v>18131.0</v>
      </c>
      <c r="B682" s="68" t="s">
        <v>2230</v>
      </c>
      <c r="C682" s="69">
        <v>2022.0</v>
      </c>
      <c r="D682" s="68" t="s">
        <v>292</v>
      </c>
      <c r="E682" s="68" t="s">
        <v>1565</v>
      </c>
      <c r="F682" s="70" t="s">
        <v>2231</v>
      </c>
      <c r="G682" s="71">
        <v>46169.0</v>
      </c>
      <c r="H682" s="72">
        <f t="shared" si="5"/>
        <v>0</v>
      </c>
      <c r="I682" s="73" t="s">
        <v>2232</v>
      </c>
      <c r="J682" s="74">
        <v>46169.0</v>
      </c>
      <c r="K682" s="73" t="s">
        <v>24</v>
      </c>
      <c r="L682" s="73">
        <v>96375.0</v>
      </c>
      <c r="M682" s="75"/>
      <c r="N682" s="75"/>
      <c r="O682" s="75"/>
      <c r="P682" s="75"/>
      <c r="Q682" s="75"/>
      <c r="R682" s="75"/>
      <c r="S682" s="75"/>
      <c r="T682" s="75"/>
      <c r="U682" s="75"/>
      <c r="V682" s="75"/>
      <c r="W682" s="75"/>
      <c r="X682" s="75"/>
      <c r="Y682" s="75"/>
      <c r="Z682" s="75"/>
    </row>
    <row r="683">
      <c r="A683" s="91">
        <v>18133.0</v>
      </c>
      <c r="B683" s="90" t="s">
        <v>2233</v>
      </c>
      <c r="C683" s="91">
        <v>2022.0</v>
      </c>
      <c r="D683" s="90" t="s">
        <v>2118</v>
      </c>
      <c r="E683" s="121"/>
      <c r="F683" s="101">
        <v>1532.0</v>
      </c>
      <c r="G683" s="93">
        <v>46169.0</v>
      </c>
      <c r="H683" s="94">
        <f t="shared" si="5"/>
        <v>0</v>
      </c>
      <c r="I683" s="95" t="s">
        <v>2234</v>
      </c>
      <c r="J683" s="96">
        <v>46169.0</v>
      </c>
      <c r="K683" s="95" t="s">
        <v>24</v>
      </c>
      <c r="L683" s="95">
        <v>12560.0</v>
      </c>
      <c r="M683" s="98"/>
      <c r="N683" s="98"/>
      <c r="O683" s="98"/>
      <c r="P683" s="98"/>
      <c r="Q683" s="98"/>
      <c r="R683" s="98"/>
      <c r="S683" s="98"/>
      <c r="T683" s="98"/>
      <c r="U683" s="98"/>
      <c r="V683" s="98"/>
      <c r="W683" s="98"/>
      <c r="X683" s="98"/>
      <c r="Y683" s="98"/>
      <c r="Z683" s="98"/>
    </row>
    <row r="684">
      <c r="A684" s="69">
        <v>18135.0</v>
      </c>
      <c r="B684" s="68" t="s">
        <v>2235</v>
      </c>
      <c r="C684" s="69">
        <v>2026.0</v>
      </c>
      <c r="D684" s="68" t="s">
        <v>1635</v>
      </c>
      <c r="E684" s="68" t="s">
        <v>125</v>
      </c>
      <c r="F684" s="70" t="s">
        <v>1823</v>
      </c>
      <c r="G684" s="71">
        <v>46169.0</v>
      </c>
      <c r="H684" s="72">
        <f t="shared" si="5"/>
        <v>0</v>
      </c>
      <c r="I684" s="73" t="s">
        <v>2236</v>
      </c>
      <c r="J684" s="74">
        <v>46169.0</v>
      </c>
      <c r="K684" s="73" t="s">
        <v>24</v>
      </c>
      <c r="L684" s="73">
        <v>11.0</v>
      </c>
      <c r="M684" s="75"/>
      <c r="N684" s="75"/>
      <c r="O684" s="75"/>
      <c r="P684" s="75"/>
      <c r="Q684" s="75"/>
      <c r="R684" s="75"/>
      <c r="S684" s="75"/>
      <c r="T684" s="75"/>
      <c r="U684" s="75"/>
      <c r="V684" s="75"/>
      <c r="W684" s="75"/>
      <c r="X684" s="75"/>
      <c r="Y684" s="75"/>
      <c r="Z684" s="75"/>
    </row>
    <row r="685">
      <c r="A685" s="91">
        <v>18136.0</v>
      </c>
      <c r="B685" s="90" t="s">
        <v>2237</v>
      </c>
      <c r="C685" s="91">
        <v>2017.0</v>
      </c>
      <c r="D685" s="90" t="s">
        <v>239</v>
      </c>
      <c r="E685" s="90" t="s">
        <v>2238</v>
      </c>
      <c r="F685" s="101" t="s">
        <v>2239</v>
      </c>
      <c r="G685" s="93">
        <v>46170.0</v>
      </c>
      <c r="H685" s="94">
        <f t="shared" si="5"/>
        <v>0</v>
      </c>
      <c r="I685" s="95" t="s">
        <v>1037</v>
      </c>
      <c r="J685" s="96">
        <v>46170.0</v>
      </c>
      <c r="K685" s="95" t="s">
        <v>24</v>
      </c>
      <c r="L685" s="95">
        <v>89372.0</v>
      </c>
      <c r="M685" s="98"/>
      <c r="N685" s="98"/>
      <c r="O685" s="98"/>
      <c r="P685" s="98"/>
      <c r="Q685" s="98"/>
      <c r="R685" s="98"/>
      <c r="S685" s="98"/>
      <c r="T685" s="98"/>
      <c r="U685" s="98"/>
      <c r="V685" s="98"/>
      <c r="W685" s="98"/>
      <c r="X685" s="98"/>
      <c r="Y685" s="98"/>
      <c r="Z685" s="98"/>
    </row>
    <row r="686">
      <c r="A686" s="69">
        <v>18138.0</v>
      </c>
      <c r="B686" s="68" t="s">
        <v>2240</v>
      </c>
      <c r="C686" s="69">
        <v>2022.0</v>
      </c>
      <c r="D686" s="68" t="s">
        <v>239</v>
      </c>
      <c r="E686" s="68" t="s">
        <v>293</v>
      </c>
      <c r="F686" s="70" t="s">
        <v>2241</v>
      </c>
      <c r="G686" s="71">
        <v>46170.0</v>
      </c>
      <c r="H686" s="72">
        <f t="shared" si="5"/>
        <v>0</v>
      </c>
      <c r="I686" s="73" t="s">
        <v>295</v>
      </c>
      <c r="J686" s="74">
        <v>46170.0</v>
      </c>
      <c r="K686" s="73" t="s">
        <v>24</v>
      </c>
      <c r="L686" s="73">
        <v>53062.0</v>
      </c>
      <c r="M686" s="75"/>
      <c r="N686" s="75"/>
      <c r="O686" s="75"/>
      <c r="P686" s="75"/>
      <c r="Q686" s="75"/>
      <c r="R686" s="75"/>
      <c r="S686" s="75"/>
      <c r="T686" s="75"/>
      <c r="U686" s="75"/>
      <c r="V686" s="75"/>
      <c r="W686" s="75"/>
      <c r="X686" s="75"/>
      <c r="Y686" s="75"/>
      <c r="Z686" s="75"/>
    </row>
    <row r="687">
      <c r="A687" s="91">
        <v>18146.0</v>
      </c>
      <c r="B687" s="90" t="s">
        <v>2242</v>
      </c>
      <c r="C687" s="91">
        <v>2014.0</v>
      </c>
      <c r="D687" s="90" t="s">
        <v>251</v>
      </c>
      <c r="E687" s="90" t="s">
        <v>169</v>
      </c>
      <c r="F687" s="101" t="s">
        <v>2243</v>
      </c>
      <c r="G687" s="93">
        <v>46170.0</v>
      </c>
      <c r="H687" s="94">
        <f t="shared" si="5"/>
        <v>1</v>
      </c>
      <c r="I687" s="95" t="s">
        <v>2244</v>
      </c>
      <c r="J687" s="96">
        <v>46171.0</v>
      </c>
      <c r="K687" s="95" t="s">
        <v>31</v>
      </c>
      <c r="L687" s="95">
        <v>105484.0</v>
      </c>
      <c r="M687" s="98"/>
      <c r="N687" s="98"/>
      <c r="O687" s="98"/>
      <c r="P687" s="98"/>
      <c r="Q687" s="98"/>
      <c r="R687" s="98"/>
      <c r="S687" s="98"/>
      <c r="T687" s="98"/>
      <c r="U687" s="98"/>
      <c r="V687" s="98"/>
      <c r="W687" s="98"/>
      <c r="X687" s="98"/>
      <c r="Y687" s="98"/>
      <c r="Z687" s="98"/>
    </row>
    <row r="688">
      <c r="A688" s="69">
        <v>18148.0</v>
      </c>
      <c r="B688" s="68" t="s">
        <v>2245</v>
      </c>
      <c r="C688" s="69">
        <v>2002.0</v>
      </c>
      <c r="D688" s="68" t="s">
        <v>2246</v>
      </c>
      <c r="E688" s="68" t="s">
        <v>70</v>
      </c>
      <c r="F688" s="70" t="s">
        <v>2247</v>
      </c>
      <c r="G688" s="71">
        <v>46170.0</v>
      </c>
      <c r="H688" s="72">
        <f t="shared" si="5"/>
        <v>55</v>
      </c>
      <c r="I688" s="73" t="s">
        <v>2248</v>
      </c>
      <c r="J688" s="75"/>
      <c r="K688" s="73" t="s">
        <v>248</v>
      </c>
      <c r="L688" s="73">
        <v>103835.0</v>
      </c>
      <c r="M688" s="75"/>
      <c r="N688" s="75"/>
      <c r="O688" s="75"/>
      <c r="P688" s="75"/>
      <c r="Q688" s="75"/>
      <c r="R688" s="75"/>
      <c r="S688" s="75"/>
      <c r="T688" s="75"/>
      <c r="U688" s="75"/>
      <c r="V688" s="75"/>
      <c r="W688" s="75"/>
      <c r="X688" s="75"/>
      <c r="Y688" s="75"/>
      <c r="Z688" s="75"/>
    </row>
    <row r="689">
      <c r="A689" s="89">
        <v>18151.0</v>
      </c>
      <c r="B689" s="90" t="s">
        <v>2249</v>
      </c>
      <c r="C689" s="91">
        <v>2023.0</v>
      </c>
      <c r="D689" s="90" t="s">
        <v>1743</v>
      </c>
      <c r="E689" s="90" t="s">
        <v>1385</v>
      </c>
      <c r="F689" s="101" t="s">
        <v>2250</v>
      </c>
      <c r="G689" s="93">
        <v>46170.0</v>
      </c>
      <c r="H689" s="94">
        <f t="shared" si="5"/>
        <v>0</v>
      </c>
      <c r="I689" s="95" t="s">
        <v>2251</v>
      </c>
      <c r="J689" s="96">
        <v>46170.0</v>
      </c>
      <c r="K689" s="95" t="s">
        <v>24</v>
      </c>
      <c r="L689" s="95">
        <v>49128.0</v>
      </c>
      <c r="M689" s="98"/>
      <c r="N689" s="98"/>
      <c r="O689" s="98"/>
      <c r="P689" s="98"/>
      <c r="Q689" s="98"/>
      <c r="R689" s="98"/>
      <c r="S689" s="98"/>
      <c r="T689" s="98"/>
      <c r="U689" s="98"/>
      <c r="V689" s="98"/>
      <c r="W689" s="98"/>
      <c r="X689" s="98"/>
      <c r="Y689" s="98"/>
      <c r="Z689" s="98"/>
    </row>
    <row r="690">
      <c r="A690" s="69">
        <v>18179.0</v>
      </c>
      <c r="B690" s="68" t="s">
        <v>2252</v>
      </c>
      <c r="C690" s="69">
        <v>2022.0</v>
      </c>
      <c r="D690" s="68" t="s">
        <v>724</v>
      </c>
      <c r="E690" s="68" t="s">
        <v>2253</v>
      </c>
      <c r="F690" s="70" t="s">
        <v>2254</v>
      </c>
      <c r="G690" s="71">
        <v>46175.0</v>
      </c>
      <c r="H690" s="72">
        <f t="shared" si="5"/>
        <v>42</v>
      </c>
      <c r="I690" s="73" t="s">
        <v>2255</v>
      </c>
      <c r="J690" s="74">
        <v>46217.0</v>
      </c>
      <c r="K690" s="73" t="s">
        <v>24</v>
      </c>
      <c r="L690" s="73">
        <v>39012.0</v>
      </c>
      <c r="M690" s="75"/>
      <c r="N690" s="75"/>
      <c r="O690" s="75"/>
      <c r="P690" s="75"/>
      <c r="Q690" s="75"/>
      <c r="R690" s="75"/>
      <c r="S690" s="75"/>
      <c r="T690" s="75"/>
      <c r="U690" s="75"/>
      <c r="V690" s="75"/>
      <c r="W690" s="75"/>
      <c r="X690" s="75"/>
      <c r="Y690" s="75"/>
      <c r="Z690" s="75"/>
    </row>
    <row r="691">
      <c r="A691" s="91">
        <v>18155.0</v>
      </c>
      <c r="B691" s="90" t="s">
        <v>2256</v>
      </c>
      <c r="C691" s="91">
        <v>2019.0</v>
      </c>
      <c r="D691" s="90" t="s">
        <v>1117</v>
      </c>
      <c r="E691" s="90" t="s">
        <v>70</v>
      </c>
      <c r="F691" s="101" t="s">
        <v>2257</v>
      </c>
      <c r="G691" s="93">
        <v>46171.0</v>
      </c>
      <c r="H691" s="94">
        <f t="shared" si="5"/>
        <v>21</v>
      </c>
      <c r="I691" s="95" t="s">
        <v>2258</v>
      </c>
      <c r="J691" s="96">
        <v>46192.0</v>
      </c>
      <c r="K691" s="95" t="s">
        <v>31</v>
      </c>
      <c r="L691" s="95">
        <v>108577.0</v>
      </c>
      <c r="M691" s="98"/>
      <c r="N691" s="98"/>
      <c r="O691" s="98"/>
      <c r="P691" s="98"/>
      <c r="Q691" s="98"/>
      <c r="R691" s="98"/>
      <c r="S691" s="98"/>
      <c r="T691" s="98"/>
      <c r="U691" s="98"/>
      <c r="V691" s="98"/>
      <c r="W691" s="98"/>
      <c r="X691" s="98"/>
      <c r="Y691" s="98"/>
      <c r="Z691" s="98"/>
    </row>
    <row r="692">
      <c r="A692" s="69">
        <v>18156.0</v>
      </c>
      <c r="B692" s="68" t="s">
        <v>2259</v>
      </c>
      <c r="C692" s="69">
        <v>2015.0</v>
      </c>
      <c r="D692" s="68" t="s">
        <v>40</v>
      </c>
      <c r="E692" s="68" t="s">
        <v>1299</v>
      </c>
      <c r="F692" s="70" t="s">
        <v>2260</v>
      </c>
      <c r="G692" s="71">
        <v>46171.0</v>
      </c>
      <c r="H692" s="72">
        <f t="shared" si="5"/>
        <v>5</v>
      </c>
      <c r="I692" s="73" t="s">
        <v>2261</v>
      </c>
      <c r="J692" s="74">
        <v>46176.0</v>
      </c>
      <c r="K692" s="73" t="s">
        <v>24</v>
      </c>
      <c r="L692" s="73">
        <v>111987.0</v>
      </c>
      <c r="M692" s="75"/>
      <c r="N692" s="75"/>
      <c r="O692" s="75"/>
      <c r="P692" s="75"/>
      <c r="Q692" s="75"/>
      <c r="R692" s="75"/>
      <c r="S692" s="75"/>
      <c r="T692" s="75"/>
      <c r="U692" s="75"/>
      <c r="V692" s="75"/>
      <c r="W692" s="75"/>
      <c r="X692" s="75"/>
      <c r="Y692" s="75"/>
      <c r="Z692" s="75"/>
    </row>
    <row r="693">
      <c r="A693" s="91">
        <v>18158.0</v>
      </c>
      <c r="B693" s="90" t="s">
        <v>2262</v>
      </c>
      <c r="C693" s="91">
        <v>2019.0</v>
      </c>
      <c r="D693" s="90" t="s">
        <v>2263</v>
      </c>
      <c r="E693" s="90" t="s">
        <v>82</v>
      </c>
      <c r="F693" s="101" t="s">
        <v>2264</v>
      </c>
      <c r="G693" s="93">
        <v>46171.0</v>
      </c>
      <c r="H693" s="94">
        <f t="shared" si="5"/>
        <v>0</v>
      </c>
      <c r="I693" s="95" t="s">
        <v>2265</v>
      </c>
      <c r="J693" s="96">
        <v>46171.0</v>
      </c>
      <c r="K693" s="95" t="s">
        <v>24</v>
      </c>
      <c r="L693" s="95">
        <v>108725.0</v>
      </c>
      <c r="M693" s="98"/>
      <c r="N693" s="98"/>
      <c r="O693" s="98"/>
      <c r="P693" s="98"/>
      <c r="Q693" s="98"/>
      <c r="R693" s="98"/>
      <c r="S693" s="98"/>
      <c r="T693" s="98"/>
      <c r="U693" s="98"/>
      <c r="V693" s="98"/>
      <c r="W693" s="98"/>
      <c r="X693" s="98"/>
      <c r="Y693" s="98"/>
      <c r="Z693" s="98"/>
    </row>
    <row r="694">
      <c r="A694" s="69">
        <v>18160.0</v>
      </c>
      <c r="B694" s="68" t="s">
        <v>2266</v>
      </c>
      <c r="C694" s="69">
        <v>2025.0</v>
      </c>
      <c r="D694" s="68" t="s">
        <v>2267</v>
      </c>
      <c r="E694" s="68" t="s">
        <v>2268</v>
      </c>
      <c r="F694" s="70">
        <v>0.0</v>
      </c>
      <c r="G694" s="71">
        <v>46171.0</v>
      </c>
      <c r="H694" s="72">
        <f t="shared" si="5"/>
        <v>0</v>
      </c>
      <c r="I694" s="73" t="s">
        <v>2269</v>
      </c>
      <c r="J694" s="74">
        <v>46171.0</v>
      </c>
      <c r="K694" s="73" t="s">
        <v>24</v>
      </c>
      <c r="L694" s="73"/>
      <c r="M694" s="75"/>
      <c r="N694" s="75"/>
      <c r="O694" s="75"/>
      <c r="P694" s="75"/>
      <c r="Q694" s="75"/>
      <c r="R694" s="75"/>
      <c r="S694" s="75"/>
      <c r="T694" s="75"/>
      <c r="U694" s="75"/>
      <c r="V694" s="75"/>
      <c r="W694" s="75"/>
      <c r="X694" s="75"/>
      <c r="Y694" s="75"/>
      <c r="Z694" s="75"/>
    </row>
    <row r="695">
      <c r="A695" s="91">
        <v>18162.0</v>
      </c>
      <c r="B695" s="90" t="s">
        <v>2270</v>
      </c>
      <c r="C695" s="91">
        <v>2022.0</v>
      </c>
      <c r="D695" s="90" t="s">
        <v>629</v>
      </c>
      <c r="E695" s="90" t="s">
        <v>2271</v>
      </c>
      <c r="F695" s="101" t="s">
        <v>2272</v>
      </c>
      <c r="G695" s="93">
        <v>46174.0</v>
      </c>
      <c r="H695" s="94">
        <f t="shared" si="5"/>
        <v>1</v>
      </c>
      <c r="I695" s="95" t="s">
        <v>2273</v>
      </c>
      <c r="J695" s="96">
        <v>46175.0</v>
      </c>
      <c r="K695" s="95" t="s">
        <v>24</v>
      </c>
      <c r="L695" s="95">
        <v>37907.0</v>
      </c>
      <c r="M695" s="98"/>
      <c r="N695" s="98"/>
      <c r="O695" s="98"/>
      <c r="P695" s="98"/>
      <c r="Q695" s="98"/>
      <c r="R695" s="98"/>
      <c r="S695" s="98"/>
      <c r="T695" s="98"/>
      <c r="U695" s="98"/>
      <c r="V695" s="98"/>
      <c r="W695" s="98"/>
      <c r="X695" s="98"/>
      <c r="Y695" s="98"/>
      <c r="Z695" s="98"/>
    </row>
    <row r="696">
      <c r="A696" s="69">
        <v>18168.0</v>
      </c>
      <c r="B696" s="68" t="s">
        <v>2274</v>
      </c>
      <c r="C696" s="69">
        <v>2018.0</v>
      </c>
      <c r="D696" s="68" t="s">
        <v>182</v>
      </c>
      <c r="E696" s="68" t="s">
        <v>183</v>
      </c>
      <c r="F696" s="70" t="s">
        <v>2275</v>
      </c>
      <c r="G696" s="71">
        <v>46174.0</v>
      </c>
      <c r="H696" s="72">
        <f t="shared" si="5"/>
        <v>18</v>
      </c>
      <c r="I696" s="73" t="s">
        <v>1799</v>
      </c>
      <c r="J696" s="74">
        <v>46192.0</v>
      </c>
      <c r="K696" s="73" t="s">
        <v>31</v>
      </c>
      <c r="L696" s="73">
        <v>173654.0</v>
      </c>
      <c r="M696" s="75"/>
      <c r="N696" s="75"/>
      <c r="O696" s="75"/>
      <c r="P696" s="75"/>
      <c r="Q696" s="75"/>
      <c r="R696" s="75"/>
      <c r="S696" s="75"/>
      <c r="T696" s="75"/>
      <c r="U696" s="75"/>
      <c r="V696" s="75"/>
      <c r="W696" s="75"/>
      <c r="X696" s="75"/>
      <c r="Y696" s="75"/>
      <c r="Z696" s="75"/>
    </row>
    <row r="697">
      <c r="A697" s="91">
        <v>18171.0</v>
      </c>
      <c r="B697" s="90" t="s">
        <v>2276</v>
      </c>
      <c r="C697" s="91">
        <v>2022.0</v>
      </c>
      <c r="D697" s="90" t="s">
        <v>1163</v>
      </c>
      <c r="E697" s="90" t="s">
        <v>2277</v>
      </c>
      <c r="F697" s="101" t="s">
        <v>2278</v>
      </c>
      <c r="G697" s="93">
        <v>46174.0</v>
      </c>
      <c r="H697" s="94">
        <f t="shared" si="5"/>
        <v>30</v>
      </c>
      <c r="I697" s="95" t="s">
        <v>2279</v>
      </c>
      <c r="J697" s="96">
        <v>46204.0</v>
      </c>
      <c r="K697" s="95" t="s">
        <v>24</v>
      </c>
      <c r="L697" s="95">
        <v>1.0</v>
      </c>
      <c r="M697" s="98"/>
      <c r="N697" s="98"/>
      <c r="O697" s="98"/>
      <c r="P697" s="98"/>
      <c r="Q697" s="98"/>
      <c r="R697" s="98"/>
      <c r="S697" s="98"/>
      <c r="T697" s="98"/>
      <c r="U697" s="98"/>
      <c r="V697" s="98"/>
      <c r="W697" s="98"/>
      <c r="X697" s="98"/>
      <c r="Y697" s="98"/>
      <c r="Z697" s="98"/>
    </row>
    <row r="698">
      <c r="A698" s="69">
        <v>18172.0</v>
      </c>
      <c r="B698" s="68" t="s">
        <v>2280</v>
      </c>
      <c r="C698" s="69">
        <v>2022.0</v>
      </c>
      <c r="D698" s="68" t="s">
        <v>1163</v>
      </c>
      <c r="E698" s="68" t="s">
        <v>2277</v>
      </c>
      <c r="F698" s="70" t="s">
        <v>2281</v>
      </c>
      <c r="G698" s="71">
        <v>46174.0</v>
      </c>
      <c r="H698" s="72">
        <f t="shared" si="5"/>
        <v>30</v>
      </c>
      <c r="I698" s="73" t="s">
        <v>2282</v>
      </c>
      <c r="J698" s="74">
        <v>46204.0</v>
      </c>
      <c r="K698" s="73" t="s">
        <v>24</v>
      </c>
      <c r="L698" s="73">
        <v>1.0</v>
      </c>
      <c r="M698" s="75"/>
      <c r="N698" s="75"/>
      <c r="O698" s="75"/>
      <c r="P698" s="75"/>
      <c r="Q698" s="75"/>
      <c r="R698" s="75"/>
      <c r="S698" s="75"/>
      <c r="T698" s="75"/>
      <c r="U698" s="75"/>
      <c r="V698" s="75"/>
      <c r="W698" s="75"/>
      <c r="X698" s="75"/>
      <c r="Y698" s="75"/>
      <c r="Z698" s="75"/>
    </row>
    <row r="699">
      <c r="A699" s="91">
        <v>18174.0</v>
      </c>
      <c r="B699" s="90" t="s">
        <v>2283</v>
      </c>
      <c r="C699" s="91">
        <v>2026.0</v>
      </c>
      <c r="D699" s="90" t="s">
        <v>1635</v>
      </c>
      <c r="E699" s="90" t="s">
        <v>125</v>
      </c>
      <c r="F699" s="101" t="s">
        <v>1823</v>
      </c>
      <c r="G699" s="93">
        <v>46174.0</v>
      </c>
      <c r="H699" s="94">
        <f t="shared" si="5"/>
        <v>1</v>
      </c>
      <c r="I699" s="95" t="s">
        <v>2110</v>
      </c>
      <c r="J699" s="96">
        <v>46175.0</v>
      </c>
      <c r="K699" s="95" t="s">
        <v>24</v>
      </c>
      <c r="L699" s="95">
        <v>15.0</v>
      </c>
      <c r="M699" s="98"/>
      <c r="N699" s="98"/>
      <c r="O699" s="98"/>
      <c r="P699" s="98"/>
      <c r="Q699" s="98"/>
      <c r="R699" s="98"/>
      <c r="S699" s="98"/>
      <c r="T699" s="98"/>
      <c r="U699" s="98"/>
      <c r="V699" s="98"/>
      <c r="W699" s="98"/>
      <c r="X699" s="98"/>
      <c r="Y699" s="98"/>
      <c r="Z699" s="98"/>
    </row>
    <row r="700">
      <c r="A700" s="69">
        <v>18174.0</v>
      </c>
      <c r="B700" s="68" t="s">
        <v>2284</v>
      </c>
      <c r="C700" s="69">
        <v>2013.0</v>
      </c>
      <c r="D700" s="68" t="s">
        <v>27</v>
      </c>
      <c r="E700" s="68" t="s">
        <v>350</v>
      </c>
      <c r="F700" s="70" t="s">
        <v>2285</v>
      </c>
      <c r="G700" s="71">
        <v>46174.0</v>
      </c>
      <c r="H700" s="72">
        <f t="shared" si="5"/>
        <v>1</v>
      </c>
      <c r="I700" s="73" t="s">
        <v>2286</v>
      </c>
      <c r="J700" s="74">
        <v>46175.0</v>
      </c>
      <c r="K700" s="73" t="s">
        <v>24</v>
      </c>
      <c r="L700" s="73">
        <v>119528.0</v>
      </c>
      <c r="M700" s="75"/>
      <c r="N700" s="75"/>
      <c r="O700" s="75"/>
      <c r="P700" s="75"/>
      <c r="Q700" s="75"/>
      <c r="R700" s="75"/>
      <c r="S700" s="75"/>
      <c r="T700" s="75"/>
      <c r="U700" s="75"/>
      <c r="V700" s="75"/>
      <c r="W700" s="75"/>
      <c r="X700" s="75"/>
      <c r="Y700" s="75"/>
      <c r="Z700" s="75"/>
    </row>
    <row r="701">
      <c r="A701" s="91">
        <v>18176.0</v>
      </c>
      <c r="B701" s="90" t="s">
        <v>2287</v>
      </c>
      <c r="C701" s="91">
        <v>2010.0</v>
      </c>
      <c r="D701" s="90" t="s">
        <v>2288</v>
      </c>
      <c r="E701" s="90" t="s">
        <v>70</v>
      </c>
      <c r="F701" s="101" t="s">
        <v>2289</v>
      </c>
      <c r="G701" s="93">
        <v>46174.0</v>
      </c>
      <c r="H701" s="94">
        <f t="shared" si="5"/>
        <v>14</v>
      </c>
      <c r="I701" s="95" t="s">
        <v>2290</v>
      </c>
      <c r="J701" s="96">
        <v>46188.0</v>
      </c>
      <c r="K701" s="95" t="s">
        <v>31</v>
      </c>
      <c r="L701" s="95">
        <v>287386.0</v>
      </c>
      <c r="M701" s="98"/>
      <c r="N701" s="98"/>
      <c r="O701" s="98"/>
      <c r="P701" s="98"/>
      <c r="Q701" s="98"/>
      <c r="R701" s="98"/>
      <c r="S701" s="98"/>
      <c r="T701" s="98"/>
      <c r="U701" s="98"/>
      <c r="V701" s="98"/>
      <c r="W701" s="98"/>
      <c r="X701" s="98"/>
      <c r="Y701" s="98"/>
      <c r="Z701" s="98"/>
    </row>
    <row r="702">
      <c r="A702" s="69">
        <v>18183.0</v>
      </c>
      <c r="B702" s="68" t="s">
        <v>2291</v>
      </c>
      <c r="C702" s="114"/>
      <c r="D702" s="68" t="s">
        <v>2292</v>
      </c>
      <c r="E702" s="68" t="s">
        <v>235</v>
      </c>
      <c r="F702" s="70" t="s">
        <v>1823</v>
      </c>
      <c r="G702" s="71">
        <v>46175.0</v>
      </c>
      <c r="H702" s="72">
        <f t="shared" si="5"/>
        <v>0</v>
      </c>
      <c r="I702" s="73" t="s">
        <v>2293</v>
      </c>
      <c r="J702" s="74">
        <v>46175.0</v>
      </c>
      <c r="K702" s="73" t="s">
        <v>24</v>
      </c>
      <c r="L702" s="73">
        <v>104760.0</v>
      </c>
      <c r="M702" s="75"/>
      <c r="N702" s="75"/>
      <c r="O702" s="75"/>
      <c r="P702" s="75"/>
      <c r="Q702" s="75"/>
      <c r="R702" s="75"/>
      <c r="S702" s="75"/>
      <c r="T702" s="75"/>
      <c r="U702" s="75"/>
      <c r="V702" s="75"/>
      <c r="W702" s="75"/>
      <c r="X702" s="75"/>
      <c r="Y702" s="75"/>
      <c r="Z702" s="75"/>
    </row>
    <row r="703">
      <c r="A703" s="91">
        <v>18184.0</v>
      </c>
      <c r="B703" s="90" t="s">
        <v>2294</v>
      </c>
      <c r="C703" s="91">
        <v>2022.0</v>
      </c>
      <c r="D703" s="90" t="s">
        <v>629</v>
      </c>
      <c r="E703" s="90" t="s">
        <v>160</v>
      </c>
      <c r="F703" s="92">
        <v>46235.0</v>
      </c>
      <c r="G703" s="93">
        <v>46175.0</v>
      </c>
      <c r="H703" s="94">
        <f t="shared" si="5"/>
        <v>29</v>
      </c>
      <c r="I703" s="95" t="s">
        <v>2295</v>
      </c>
      <c r="J703" s="96">
        <v>46204.0</v>
      </c>
      <c r="K703" s="95" t="s">
        <v>24</v>
      </c>
      <c r="L703" s="95">
        <v>102501.0</v>
      </c>
      <c r="M703" s="98"/>
      <c r="N703" s="98"/>
      <c r="O703" s="98"/>
      <c r="P703" s="98"/>
      <c r="Q703" s="98"/>
      <c r="R703" s="98"/>
      <c r="S703" s="98"/>
      <c r="T703" s="98"/>
      <c r="U703" s="98"/>
      <c r="V703" s="98"/>
      <c r="W703" s="98"/>
      <c r="X703" s="98"/>
      <c r="Y703" s="98"/>
      <c r="Z703" s="98"/>
    </row>
    <row r="704">
      <c r="A704" s="69">
        <v>18189.0</v>
      </c>
      <c r="B704" s="68" t="s">
        <v>2296</v>
      </c>
      <c r="C704" s="69">
        <v>2021.0</v>
      </c>
      <c r="D704" s="68" t="s">
        <v>292</v>
      </c>
      <c r="E704" s="68" t="s">
        <v>2271</v>
      </c>
      <c r="F704" s="70" t="s">
        <v>2297</v>
      </c>
      <c r="G704" s="71">
        <v>46175.0</v>
      </c>
      <c r="H704" s="72">
        <f t="shared" si="5"/>
        <v>1</v>
      </c>
      <c r="I704" s="73" t="s">
        <v>2298</v>
      </c>
      <c r="J704" s="74">
        <v>46176.0</v>
      </c>
      <c r="K704" s="73" t="s">
        <v>24</v>
      </c>
      <c r="L704" s="73">
        <v>74162.0</v>
      </c>
      <c r="M704" s="75"/>
      <c r="N704" s="75"/>
      <c r="O704" s="75"/>
      <c r="P704" s="75"/>
      <c r="Q704" s="75"/>
      <c r="R704" s="75"/>
      <c r="S704" s="75"/>
      <c r="T704" s="75"/>
      <c r="U704" s="75"/>
      <c r="V704" s="75"/>
      <c r="W704" s="75"/>
      <c r="X704" s="75"/>
      <c r="Y704" s="75"/>
      <c r="Z704" s="75"/>
    </row>
    <row r="705">
      <c r="A705" s="91">
        <v>18190.0</v>
      </c>
      <c r="B705" s="90" t="s">
        <v>2299</v>
      </c>
      <c r="C705" s="91">
        <v>2022.0</v>
      </c>
      <c r="D705" s="90" t="s">
        <v>292</v>
      </c>
      <c r="E705" s="90" t="s">
        <v>855</v>
      </c>
      <c r="F705" s="101" t="s">
        <v>2300</v>
      </c>
      <c r="G705" s="93">
        <v>46176.0</v>
      </c>
      <c r="H705" s="94">
        <f t="shared" si="5"/>
        <v>0</v>
      </c>
      <c r="I705" s="95" t="s">
        <v>2298</v>
      </c>
      <c r="J705" s="96">
        <v>46176.0</v>
      </c>
      <c r="K705" s="95" t="s">
        <v>24</v>
      </c>
      <c r="L705" s="95">
        <v>33214.0</v>
      </c>
      <c r="M705" s="98"/>
      <c r="N705" s="98"/>
      <c r="O705" s="98"/>
      <c r="P705" s="98"/>
      <c r="Q705" s="98"/>
      <c r="R705" s="98"/>
      <c r="S705" s="98"/>
      <c r="T705" s="98"/>
      <c r="U705" s="98"/>
      <c r="V705" s="98"/>
      <c r="W705" s="98"/>
      <c r="X705" s="98"/>
      <c r="Y705" s="98"/>
      <c r="Z705" s="98"/>
    </row>
    <row r="706">
      <c r="A706" s="69">
        <v>18193.0</v>
      </c>
      <c r="B706" s="68" t="s">
        <v>2301</v>
      </c>
      <c r="C706" s="69">
        <v>2026.0</v>
      </c>
      <c r="D706" s="68" t="s">
        <v>1635</v>
      </c>
      <c r="E706" s="68" t="s">
        <v>805</v>
      </c>
      <c r="F706" s="70" t="s">
        <v>236</v>
      </c>
      <c r="G706" s="71">
        <v>46176.0</v>
      </c>
      <c r="H706" s="72">
        <f t="shared" si="5"/>
        <v>41</v>
      </c>
      <c r="I706" s="73" t="s">
        <v>2110</v>
      </c>
      <c r="J706" s="74">
        <v>46217.0</v>
      </c>
      <c r="K706" s="73" t="s">
        <v>24</v>
      </c>
      <c r="L706" s="73">
        <v>12.0</v>
      </c>
      <c r="M706" s="75"/>
      <c r="N706" s="75"/>
      <c r="O706" s="75"/>
      <c r="P706" s="75"/>
      <c r="Q706" s="75"/>
      <c r="R706" s="75"/>
      <c r="S706" s="75"/>
      <c r="T706" s="75"/>
      <c r="U706" s="75"/>
      <c r="V706" s="75"/>
      <c r="W706" s="75"/>
      <c r="X706" s="75"/>
      <c r="Y706" s="75"/>
      <c r="Z706" s="75"/>
    </row>
    <row r="707">
      <c r="A707" s="91">
        <v>17709.0</v>
      </c>
      <c r="B707" s="90" t="s">
        <v>2302</v>
      </c>
      <c r="C707" s="91">
        <v>2022.0</v>
      </c>
      <c r="D707" s="90" t="s">
        <v>2303</v>
      </c>
      <c r="E707" s="90" t="s">
        <v>125</v>
      </c>
      <c r="F707" s="101" t="s">
        <v>1402</v>
      </c>
      <c r="G707" s="93">
        <v>46178.0</v>
      </c>
      <c r="H707" s="94">
        <f t="shared" si="5"/>
        <v>0</v>
      </c>
      <c r="I707" s="95" t="s">
        <v>2107</v>
      </c>
      <c r="J707" s="96">
        <v>46178.0</v>
      </c>
      <c r="K707" s="95" t="s">
        <v>24</v>
      </c>
      <c r="L707" s="95">
        <v>118999.0</v>
      </c>
      <c r="M707" s="98"/>
      <c r="N707" s="98"/>
      <c r="O707" s="98"/>
      <c r="P707" s="98"/>
      <c r="Q707" s="98"/>
      <c r="R707" s="98"/>
      <c r="S707" s="98"/>
      <c r="T707" s="98"/>
      <c r="U707" s="98"/>
      <c r="V707" s="98"/>
      <c r="W707" s="98"/>
      <c r="X707" s="98"/>
      <c r="Y707" s="98"/>
      <c r="Z707" s="98"/>
    </row>
    <row r="708">
      <c r="A708" s="69">
        <v>18313.0</v>
      </c>
      <c r="B708" s="68" t="s">
        <v>2304</v>
      </c>
      <c r="C708" s="69">
        <v>2001.0</v>
      </c>
      <c r="D708" s="68" t="s">
        <v>2305</v>
      </c>
      <c r="E708" s="68" t="s">
        <v>70</v>
      </c>
      <c r="F708" s="70" t="s">
        <v>2306</v>
      </c>
      <c r="G708" s="71">
        <v>46198.0</v>
      </c>
      <c r="H708" s="72">
        <f t="shared" si="5"/>
        <v>0</v>
      </c>
      <c r="I708" s="73" t="s">
        <v>2307</v>
      </c>
      <c r="J708" s="74">
        <v>46198.0</v>
      </c>
      <c r="K708" s="73" t="s">
        <v>24</v>
      </c>
      <c r="L708" s="73">
        <v>66291.0</v>
      </c>
      <c r="M708" s="75"/>
      <c r="N708" s="75"/>
      <c r="O708" s="75"/>
      <c r="P708" s="75"/>
      <c r="Q708" s="75"/>
      <c r="R708" s="75"/>
      <c r="S708" s="75"/>
      <c r="T708" s="75"/>
      <c r="U708" s="75"/>
      <c r="V708" s="75"/>
      <c r="W708" s="75"/>
      <c r="X708" s="75"/>
      <c r="Y708" s="75"/>
      <c r="Z708" s="75"/>
    </row>
    <row r="709">
      <c r="A709" s="91">
        <v>18385.0</v>
      </c>
      <c r="B709" s="90" t="s">
        <v>2308</v>
      </c>
      <c r="C709" s="91">
        <v>2022.0</v>
      </c>
      <c r="D709" s="90" t="s">
        <v>911</v>
      </c>
      <c r="E709" s="90" t="s">
        <v>257</v>
      </c>
      <c r="F709" s="101" t="s">
        <v>2309</v>
      </c>
      <c r="G709" s="93">
        <v>46217.0</v>
      </c>
      <c r="H709" s="94">
        <f t="shared" si="5"/>
        <v>0</v>
      </c>
      <c r="I709" s="95" t="s">
        <v>2310</v>
      </c>
      <c r="J709" s="96">
        <v>46217.0</v>
      </c>
      <c r="K709" s="95" t="s">
        <v>721</v>
      </c>
      <c r="L709" s="95">
        <v>83920.0</v>
      </c>
      <c r="M709" s="98"/>
      <c r="N709" s="98"/>
      <c r="O709" s="98"/>
      <c r="P709" s="98"/>
      <c r="Q709" s="98"/>
      <c r="R709" s="98"/>
      <c r="S709" s="98"/>
      <c r="T709" s="98"/>
      <c r="U709" s="98"/>
      <c r="V709" s="98"/>
      <c r="W709" s="98"/>
      <c r="X709" s="98"/>
      <c r="Y709" s="98"/>
      <c r="Z709" s="98"/>
    </row>
    <row r="710">
      <c r="A710" s="69">
        <v>18205.0</v>
      </c>
      <c r="B710" s="68" t="s">
        <v>2311</v>
      </c>
      <c r="C710" s="69">
        <v>2020.0</v>
      </c>
      <c r="D710" s="68" t="s">
        <v>1147</v>
      </c>
      <c r="E710" s="68" t="s">
        <v>2312</v>
      </c>
      <c r="F710" s="70" t="s">
        <v>2313</v>
      </c>
      <c r="G710" s="71">
        <v>46181.0</v>
      </c>
      <c r="H710" s="72">
        <f t="shared" si="5"/>
        <v>23</v>
      </c>
      <c r="I710" s="73" t="s">
        <v>2314</v>
      </c>
      <c r="J710" s="74">
        <v>46204.0</v>
      </c>
      <c r="K710" s="73" t="s">
        <v>24</v>
      </c>
      <c r="L710" s="73">
        <v>64776.0</v>
      </c>
      <c r="M710" s="75"/>
      <c r="N710" s="75"/>
      <c r="O710" s="75"/>
      <c r="P710" s="75"/>
      <c r="Q710" s="75"/>
      <c r="R710" s="75"/>
      <c r="S710" s="75"/>
      <c r="T710" s="75"/>
      <c r="U710" s="75"/>
      <c r="V710" s="75"/>
      <c r="W710" s="75"/>
      <c r="X710" s="75"/>
      <c r="Y710" s="75"/>
      <c r="Z710" s="75"/>
    </row>
    <row r="711">
      <c r="A711" s="91">
        <v>18207.0</v>
      </c>
      <c r="B711" s="90" t="s">
        <v>2315</v>
      </c>
      <c r="C711" s="91">
        <v>2026.0</v>
      </c>
      <c r="D711" s="90" t="s">
        <v>1635</v>
      </c>
      <c r="E711" s="90" t="s">
        <v>70</v>
      </c>
      <c r="F711" s="101" t="s">
        <v>989</v>
      </c>
      <c r="G711" s="93">
        <v>46181.0</v>
      </c>
      <c r="H711" s="94">
        <f t="shared" si="5"/>
        <v>18</v>
      </c>
      <c r="I711" s="95" t="s">
        <v>2179</v>
      </c>
      <c r="J711" s="96">
        <v>46199.0</v>
      </c>
      <c r="K711" s="95" t="s">
        <v>24</v>
      </c>
      <c r="L711" s="95">
        <v>13.0</v>
      </c>
      <c r="M711" s="98"/>
      <c r="N711" s="98"/>
      <c r="O711" s="98"/>
      <c r="P711" s="98"/>
      <c r="Q711" s="98"/>
      <c r="R711" s="98"/>
      <c r="S711" s="98"/>
      <c r="T711" s="98"/>
      <c r="U711" s="98"/>
      <c r="V711" s="98"/>
      <c r="W711" s="98"/>
      <c r="X711" s="98"/>
      <c r="Y711" s="98"/>
      <c r="Z711" s="98"/>
    </row>
    <row r="712">
      <c r="A712" s="69">
        <v>18361.0</v>
      </c>
      <c r="B712" s="68" t="s">
        <v>2316</v>
      </c>
      <c r="C712" s="69">
        <v>2023.0</v>
      </c>
      <c r="D712" s="68" t="s">
        <v>292</v>
      </c>
      <c r="E712" s="68" t="s">
        <v>1028</v>
      </c>
      <c r="F712" s="70" t="s">
        <v>2317</v>
      </c>
      <c r="G712" s="71">
        <v>46209.0</v>
      </c>
      <c r="H712" s="72">
        <f t="shared" si="5"/>
        <v>8</v>
      </c>
      <c r="I712" s="73" t="s">
        <v>2318</v>
      </c>
      <c r="J712" s="74">
        <v>46217.0</v>
      </c>
      <c r="K712" s="73" t="s">
        <v>721</v>
      </c>
      <c r="L712" s="73">
        <v>142353.0</v>
      </c>
      <c r="M712" s="75"/>
      <c r="N712" s="75"/>
      <c r="O712" s="75"/>
      <c r="P712" s="75"/>
      <c r="Q712" s="75"/>
      <c r="R712" s="75"/>
      <c r="S712" s="75"/>
      <c r="T712" s="75"/>
      <c r="U712" s="75"/>
      <c r="V712" s="75"/>
      <c r="W712" s="75"/>
      <c r="X712" s="75"/>
      <c r="Y712" s="75"/>
      <c r="Z712" s="75"/>
    </row>
    <row r="713">
      <c r="A713" s="91">
        <v>18212.0</v>
      </c>
      <c r="B713" s="90" t="s">
        <v>2319</v>
      </c>
      <c r="C713" s="91">
        <v>2012.0</v>
      </c>
      <c r="D713" s="90" t="s">
        <v>1597</v>
      </c>
      <c r="E713" s="90" t="s">
        <v>1673</v>
      </c>
      <c r="F713" s="101" t="s">
        <v>2320</v>
      </c>
      <c r="G713" s="93">
        <v>46182.0</v>
      </c>
      <c r="H713" s="94">
        <f t="shared" si="5"/>
        <v>22</v>
      </c>
      <c r="I713" s="95" t="s">
        <v>2321</v>
      </c>
      <c r="J713" s="96">
        <v>46204.0</v>
      </c>
      <c r="K713" s="95" t="s">
        <v>24</v>
      </c>
      <c r="L713" s="95">
        <v>8889.0</v>
      </c>
      <c r="M713" s="98"/>
      <c r="N713" s="98"/>
      <c r="O713" s="98"/>
      <c r="P713" s="98"/>
      <c r="Q713" s="98"/>
      <c r="R713" s="98"/>
      <c r="S713" s="98"/>
      <c r="T713" s="98"/>
      <c r="U713" s="98"/>
      <c r="V713" s="98"/>
      <c r="W713" s="98"/>
      <c r="X713" s="98"/>
      <c r="Y713" s="98"/>
      <c r="Z713" s="98"/>
    </row>
    <row r="714">
      <c r="A714" s="69">
        <v>18213.0</v>
      </c>
      <c r="B714" s="68" t="s">
        <v>2322</v>
      </c>
      <c r="C714" s="69">
        <v>2018.0</v>
      </c>
      <c r="D714" s="68" t="s">
        <v>1597</v>
      </c>
      <c r="E714" s="68" t="s">
        <v>1673</v>
      </c>
      <c r="F714" s="70" t="s">
        <v>2323</v>
      </c>
      <c r="G714" s="71">
        <v>46182.0</v>
      </c>
      <c r="H714" s="72">
        <f t="shared" si="5"/>
        <v>22</v>
      </c>
      <c r="I714" s="73" t="s">
        <v>2324</v>
      </c>
      <c r="J714" s="74">
        <v>46204.0</v>
      </c>
      <c r="K714" s="73" t="s">
        <v>24</v>
      </c>
      <c r="L714" s="73">
        <v>27408.0</v>
      </c>
      <c r="M714" s="75"/>
      <c r="N714" s="75"/>
      <c r="O714" s="75"/>
      <c r="P714" s="75"/>
      <c r="Q714" s="75"/>
      <c r="R714" s="75"/>
      <c r="S714" s="75"/>
      <c r="T714" s="75"/>
      <c r="U714" s="75"/>
      <c r="V714" s="75"/>
      <c r="W714" s="75"/>
      <c r="X714" s="75"/>
      <c r="Y714" s="75"/>
      <c r="Z714" s="75"/>
    </row>
    <row r="715">
      <c r="A715" s="91">
        <v>18214.0</v>
      </c>
      <c r="B715" s="90" t="s">
        <v>2325</v>
      </c>
      <c r="C715" s="91">
        <v>2002.0</v>
      </c>
      <c r="D715" s="90" t="s">
        <v>2326</v>
      </c>
      <c r="E715" s="90" t="s">
        <v>70</v>
      </c>
      <c r="F715" s="101" t="s">
        <v>2327</v>
      </c>
      <c r="G715" s="93">
        <v>46182.0</v>
      </c>
      <c r="H715" s="94">
        <f t="shared" si="5"/>
        <v>35</v>
      </c>
      <c r="I715" s="95" t="s">
        <v>1542</v>
      </c>
      <c r="J715" s="96">
        <v>46217.0</v>
      </c>
      <c r="K715" s="95" t="s">
        <v>24</v>
      </c>
      <c r="L715" s="95">
        <v>127012.0</v>
      </c>
      <c r="M715" s="98"/>
      <c r="N715" s="98"/>
      <c r="O715" s="98"/>
      <c r="P715" s="98"/>
      <c r="Q715" s="98"/>
      <c r="R715" s="98"/>
      <c r="S715" s="98"/>
      <c r="T715" s="98"/>
      <c r="U715" s="98"/>
      <c r="V715" s="98"/>
      <c r="W715" s="98"/>
      <c r="X715" s="98"/>
      <c r="Y715" s="98"/>
      <c r="Z715" s="98"/>
    </row>
    <row r="716">
      <c r="A716" s="69">
        <v>18224.0</v>
      </c>
      <c r="B716" s="68" t="s">
        <v>2328</v>
      </c>
      <c r="C716" s="69">
        <v>2022.0</v>
      </c>
      <c r="D716" s="68" t="s">
        <v>1270</v>
      </c>
      <c r="E716" s="68" t="s">
        <v>2329</v>
      </c>
      <c r="F716" s="70" t="s">
        <v>2330</v>
      </c>
      <c r="G716" s="71">
        <v>46183.0</v>
      </c>
      <c r="H716" s="72">
        <f t="shared" si="5"/>
        <v>0</v>
      </c>
      <c r="I716" s="73" t="s">
        <v>2331</v>
      </c>
      <c r="J716" s="74">
        <v>46183.0</v>
      </c>
      <c r="K716" s="73" t="s">
        <v>24</v>
      </c>
      <c r="L716" s="73">
        <v>26989.0</v>
      </c>
      <c r="M716" s="75"/>
      <c r="N716" s="75"/>
      <c r="O716" s="75"/>
      <c r="P716" s="75"/>
      <c r="Q716" s="75"/>
      <c r="R716" s="75"/>
      <c r="S716" s="75"/>
      <c r="T716" s="75"/>
      <c r="U716" s="75"/>
      <c r="V716" s="75"/>
      <c r="W716" s="75"/>
      <c r="X716" s="75"/>
      <c r="Y716" s="75"/>
      <c r="Z716" s="75"/>
    </row>
    <row r="717">
      <c r="A717" s="91">
        <v>18226.0</v>
      </c>
      <c r="B717" s="90" t="s">
        <v>2332</v>
      </c>
      <c r="C717" s="91">
        <v>2015.0</v>
      </c>
      <c r="D717" s="90" t="s">
        <v>1895</v>
      </c>
      <c r="E717" s="90" t="s">
        <v>2333</v>
      </c>
      <c r="F717" s="101" t="s">
        <v>2334</v>
      </c>
      <c r="G717" s="93">
        <v>46183.0</v>
      </c>
      <c r="H717" s="94">
        <f t="shared" si="5"/>
        <v>34</v>
      </c>
      <c r="I717" s="95" t="s">
        <v>2335</v>
      </c>
      <c r="J717" s="96">
        <v>46217.0</v>
      </c>
      <c r="K717" s="95" t="s">
        <v>24</v>
      </c>
      <c r="L717" s="95">
        <v>68645.0</v>
      </c>
      <c r="M717" s="98"/>
      <c r="N717" s="98"/>
      <c r="O717" s="98"/>
      <c r="P717" s="98"/>
      <c r="Q717" s="98"/>
      <c r="R717" s="98"/>
      <c r="S717" s="98"/>
      <c r="T717" s="98"/>
      <c r="U717" s="98"/>
      <c r="V717" s="98"/>
      <c r="W717" s="98"/>
      <c r="X717" s="98"/>
      <c r="Y717" s="98"/>
      <c r="Z717" s="98"/>
    </row>
    <row r="718">
      <c r="A718" s="69">
        <v>18225.0</v>
      </c>
      <c r="B718" s="68" t="s">
        <v>2336</v>
      </c>
      <c r="C718" s="69">
        <v>2025.0</v>
      </c>
      <c r="D718" s="68" t="s">
        <v>1635</v>
      </c>
      <c r="E718" s="68" t="s">
        <v>125</v>
      </c>
      <c r="F718" s="70" t="s">
        <v>1823</v>
      </c>
      <c r="G718" s="71">
        <v>46183.0</v>
      </c>
      <c r="H718" s="72">
        <f t="shared" si="5"/>
        <v>16</v>
      </c>
      <c r="I718" s="73" t="s">
        <v>2337</v>
      </c>
      <c r="J718" s="74">
        <v>46199.0</v>
      </c>
      <c r="K718" s="73" t="s">
        <v>24</v>
      </c>
      <c r="L718" s="73">
        <v>12.0</v>
      </c>
      <c r="M718" s="75"/>
      <c r="N718" s="75"/>
      <c r="O718" s="75"/>
      <c r="P718" s="75"/>
      <c r="Q718" s="75"/>
      <c r="R718" s="75"/>
      <c r="S718" s="75"/>
      <c r="T718" s="75"/>
      <c r="U718" s="75"/>
      <c r="V718" s="75"/>
      <c r="W718" s="75"/>
      <c r="X718" s="75"/>
      <c r="Y718" s="75"/>
      <c r="Z718" s="75"/>
    </row>
    <row r="719">
      <c r="A719" s="91">
        <v>18241.0</v>
      </c>
      <c r="B719" s="90" t="s">
        <v>2338</v>
      </c>
      <c r="C719" s="91">
        <v>2017.0</v>
      </c>
      <c r="D719" s="90" t="s">
        <v>575</v>
      </c>
      <c r="E719" s="90" t="s">
        <v>649</v>
      </c>
      <c r="F719" s="101" t="s">
        <v>2339</v>
      </c>
      <c r="G719" s="93">
        <v>46188.0</v>
      </c>
      <c r="H719" s="94">
        <f t="shared" si="5"/>
        <v>16</v>
      </c>
      <c r="I719" s="95" t="s">
        <v>2340</v>
      </c>
      <c r="J719" s="96">
        <v>46204.0</v>
      </c>
      <c r="K719" s="95" t="s">
        <v>24</v>
      </c>
      <c r="L719" s="95">
        <v>50928.0</v>
      </c>
      <c r="M719" s="98"/>
      <c r="N719" s="98"/>
      <c r="O719" s="98"/>
      <c r="P719" s="98"/>
      <c r="Q719" s="98"/>
      <c r="R719" s="98"/>
      <c r="S719" s="98"/>
      <c r="T719" s="98"/>
      <c r="U719" s="98"/>
      <c r="V719" s="98"/>
      <c r="W719" s="98"/>
      <c r="X719" s="98"/>
      <c r="Y719" s="98"/>
      <c r="Z719" s="98"/>
    </row>
    <row r="720">
      <c r="A720" s="69">
        <v>18242.0</v>
      </c>
      <c r="B720" s="68" t="s">
        <v>2341</v>
      </c>
      <c r="C720" s="69">
        <v>2015.0</v>
      </c>
      <c r="D720" s="68" t="s">
        <v>575</v>
      </c>
      <c r="E720" s="68" t="s">
        <v>649</v>
      </c>
      <c r="F720" s="70" t="s">
        <v>2342</v>
      </c>
      <c r="G720" s="71">
        <v>46188.0</v>
      </c>
      <c r="H720" s="72">
        <f t="shared" si="5"/>
        <v>16</v>
      </c>
      <c r="I720" s="73" t="s">
        <v>2343</v>
      </c>
      <c r="J720" s="74">
        <v>46204.0</v>
      </c>
      <c r="K720" s="73" t="s">
        <v>24</v>
      </c>
      <c r="L720" s="73">
        <v>47547.0</v>
      </c>
      <c r="M720" s="75"/>
      <c r="N720" s="75"/>
      <c r="O720" s="75"/>
      <c r="P720" s="75"/>
      <c r="Q720" s="75"/>
      <c r="R720" s="75"/>
      <c r="S720" s="75"/>
      <c r="T720" s="75"/>
      <c r="U720" s="75"/>
      <c r="V720" s="75"/>
      <c r="W720" s="75"/>
      <c r="X720" s="75"/>
      <c r="Y720" s="75"/>
      <c r="Z720" s="75"/>
    </row>
    <row r="721">
      <c r="A721" s="91">
        <v>18243.0</v>
      </c>
      <c r="B721" s="90" t="s">
        <v>2344</v>
      </c>
      <c r="C721" s="91">
        <v>2019.0</v>
      </c>
      <c r="D721" s="90" t="s">
        <v>2161</v>
      </c>
      <c r="E721" s="90" t="s">
        <v>2345</v>
      </c>
      <c r="F721" s="101" t="s">
        <v>2346</v>
      </c>
      <c r="G721" s="93">
        <v>46188.0</v>
      </c>
      <c r="H721" s="94">
        <f t="shared" si="5"/>
        <v>11</v>
      </c>
      <c r="I721" s="95" t="s">
        <v>2347</v>
      </c>
      <c r="J721" s="96">
        <v>46199.0</v>
      </c>
      <c r="K721" s="95" t="s">
        <v>24</v>
      </c>
      <c r="L721" s="95">
        <v>146751.0</v>
      </c>
      <c r="M721" s="98"/>
      <c r="N721" s="98"/>
      <c r="O721" s="98"/>
      <c r="P721" s="98"/>
      <c r="Q721" s="98"/>
      <c r="R721" s="98"/>
      <c r="S721" s="98"/>
      <c r="T721" s="98"/>
      <c r="U721" s="98"/>
      <c r="V721" s="98"/>
      <c r="W721" s="98"/>
      <c r="X721" s="98"/>
      <c r="Y721" s="98"/>
      <c r="Z721" s="98"/>
    </row>
    <row r="722">
      <c r="A722" s="69">
        <v>18245.0</v>
      </c>
      <c r="B722" s="68" t="s">
        <v>2348</v>
      </c>
      <c r="C722" s="69">
        <v>2018.0</v>
      </c>
      <c r="D722" s="68" t="s">
        <v>1534</v>
      </c>
      <c r="E722" s="68" t="s">
        <v>53</v>
      </c>
      <c r="F722" s="88"/>
      <c r="G722" s="71">
        <v>46188.0</v>
      </c>
      <c r="H722" s="72">
        <f t="shared" si="5"/>
        <v>16</v>
      </c>
      <c r="I722" s="73" t="s">
        <v>2349</v>
      </c>
      <c r="J722" s="74">
        <v>46204.0</v>
      </c>
      <c r="K722" s="73" t="s">
        <v>24</v>
      </c>
      <c r="L722" s="73">
        <v>451515.0</v>
      </c>
      <c r="M722" s="75"/>
      <c r="N722" s="75"/>
      <c r="O722" s="75"/>
      <c r="P722" s="75"/>
      <c r="Q722" s="75"/>
      <c r="R722" s="75"/>
      <c r="S722" s="75"/>
      <c r="T722" s="75"/>
      <c r="U722" s="75"/>
      <c r="V722" s="75"/>
      <c r="W722" s="75"/>
      <c r="X722" s="75"/>
      <c r="Y722" s="75"/>
      <c r="Z722" s="75"/>
    </row>
    <row r="723">
      <c r="A723" s="91">
        <v>18246.0</v>
      </c>
      <c r="B723" s="90" t="s">
        <v>2350</v>
      </c>
      <c r="C723" s="91">
        <v>2022.0</v>
      </c>
      <c r="D723" s="90" t="s">
        <v>1163</v>
      </c>
      <c r="E723" s="90" t="s">
        <v>1069</v>
      </c>
      <c r="F723" s="101" t="s">
        <v>2351</v>
      </c>
      <c r="G723" s="93">
        <v>46188.0</v>
      </c>
      <c r="H723" s="94">
        <f t="shared" si="5"/>
        <v>11</v>
      </c>
      <c r="I723" s="95" t="s">
        <v>2352</v>
      </c>
      <c r="J723" s="96">
        <v>46199.0</v>
      </c>
      <c r="K723" s="95" t="s">
        <v>24</v>
      </c>
      <c r="L723" s="95">
        <v>77571.0</v>
      </c>
      <c r="M723" s="98"/>
      <c r="N723" s="98"/>
      <c r="O723" s="98"/>
      <c r="P723" s="98"/>
      <c r="Q723" s="98"/>
      <c r="R723" s="98"/>
      <c r="S723" s="98"/>
      <c r="T723" s="98"/>
      <c r="U723" s="98"/>
      <c r="V723" s="98"/>
      <c r="W723" s="98"/>
      <c r="X723" s="98"/>
      <c r="Y723" s="98"/>
      <c r="Z723" s="98"/>
    </row>
    <row r="724">
      <c r="A724" s="69">
        <v>18248.0</v>
      </c>
      <c r="B724" s="68" t="s">
        <v>2353</v>
      </c>
      <c r="C724" s="69">
        <v>2022.0</v>
      </c>
      <c r="D724" s="68" t="s">
        <v>1163</v>
      </c>
      <c r="E724" s="68" t="s">
        <v>2133</v>
      </c>
      <c r="F724" s="70" t="s">
        <v>2354</v>
      </c>
      <c r="G724" s="71">
        <v>46188.0</v>
      </c>
      <c r="H724" s="72">
        <f t="shared" si="5"/>
        <v>11</v>
      </c>
      <c r="I724" s="73" t="s">
        <v>2355</v>
      </c>
      <c r="J724" s="74">
        <v>46199.0</v>
      </c>
      <c r="K724" s="73" t="s">
        <v>24</v>
      </c>
      <c r="L724" s="73">
        <v>52467.0</v>
      </c>
      <c r="M724" s="75"/>
      <c r="N724" s="75"/>
      <c r="O724" s="75"/>
      <c r="P724" s="75"/>
      <c r="Q724" s="75"/>
      <c r="R724" s="75"/>
      <c r="S724" s="75"/>
      <c r="T724" s="75"/>
      <c r="U724" s="75"/>
      <c r="V724" s="75"/>
      <c r="W724" s="75"/>
      <c r="X724" s="75"/>
      <c r="Y724" s="75"/>
      <c r="Z724" s="75"/>
    </row>
    <row r="725">
      <c r="A725" s="91">
        <v>18249.0</v>
      </c>
      <c r="B725" s="90" t="s">
        <v>2356</v>
      </c>
      <c r="C725" s="91">
        <v>2022.0</v>
      </c>
      <c r="D725" s="90" t="s">
        <v>629</v>
      </c>
      <c r="E725" s="90" t="s">
        <v>95</v>
      </c>
      <c r="F725" s="92">
        <v>46204.0</v>
      </c>
      <c r="G725" s="93">
        <v>46188.0</v>
      </c>
      <c r="H725" s="94">
        <f t="shared" si="5"/>
        <v>1</v>
      </c>
      <c r="I725" s="95" t="s">
        <v>2357</v>
      </c>
      <c r="J725" s="96">
        <v>46189.0</v>
      </c>
      <c r="K725" s="95" t="s">
        <v>31</v>
      </c>
      <c r="L725" s="95">
        <v>148544.0</v>
      </c>
      <c r="M725" s="98"/>
      <c r="N725" s="98"/>
      <c r="O725" s="98"/>
      <c r="P725" s="98"/>
      <c r="Q725" s="98"/>
      <c r="R725" s="98"/>
      <c r="S725" s="98"/>
      <c r="T725" s="98"/>
      <c r="U725" s="98"/>
      <c r="V725" s="98"/>
      <c r="W725" s="98"/>
      <c r="X725" s="98"/>
      <c r="Y725" s="98"/>
      <c r="Z725" s="98"/>
    </row>
    <row r="726">
      <c r="A726" s="69">
        <v>18250.0</v>
      </c>
      <c r="B726" s="68" t="s">
        <v>2358</v>
      </c>
      <c r="C726" s="69">
        <v>2022.0</v>
      </c>
      <c r="D726" s="68" t="s">
        <v>629</v>
      </c>
      <c r="E726" s="68" t="s">
        <v>2359</v>
      </c>
      <c r="F726" s="70">
        <v>92114.0</v>
      </c>
      <c r="G726" s="71">
        <v>46204.0</v>
      </c>
      <c r="H726" s="72">
        <f t="shared" si="5"/>
        <v>13</v>
      </c>
      <c r="I726" s="73" t="s">
        <v>2360</v>
      </c>
      <c r="J726" s="74">
        <v>46217.0</v>
      </c>
      <c r="K726" s="73" t="s">
        <v>721</v>
      </c>
      <c r="L726" s="73">
        <v>23465.0</v>
      </c>
      <c r="M726" s="75"/>
      <c r="N726" s="75"/>
      <c r="O726" s="75"/>
      <c r="P726" s="75"/>
      <c r="Q726" s="75"/>
      <c r="R726" s="75"/>
      <c r="S726" s="75"/>
      <c r="T726" s="75"/>
      <c r="U726" s="75"/>
      <c r="V726" s="75"/>
      <c r="W726" s="75"/>
      <c r="X726" s="75"/>
      <c r="Y726" s="75"/>
      <c r="Z726" s="75"/>
    </row>
    <row r="727">
      <c r="A727" s="91">
        <v>18251.0</v>
      </c>
      <c r="B727" s="90" t="s">
        <v>2361</v>
      </c>
      <c r="C727" s="91">
        <v>2022.0</v>
      </c>
      <c r="D727" s="90" t="s">
        <v>2008</v>
      </c>
      <c r="E727" s="90" t="s">
        <v>2362</v>
      </c>
      <c r="F727" s="115" t="s">
        <v>2363</v>
      </c>
      <c r="G727" s="93">
        <v>46189.0</v>
      </c>
      <c r="H727" s="94">
        <f t="shared" si="5"/>
        <v>28</v>
      </c>
      <c r="I727" s="95" t="s">
        <v>2364</v>
      </c>
      <c r="J727" s="96">
        <v>46217.0</v>
      </c>
      <c r="K727" s="95" t="s">
        <v>24</v>
      </c>
      <c r="L727" s="95">
        <v>30020.0</v>
      </c>
      <c r="M727" s="98"/>
      <c r="N727" s="98"/>
      <c r="O727" s="98"/>
      <c r="P727" s="98"/>
      <c r="Q727" s="98"/>
      <c r="R727" s="98"/>
      <c r="S727" s="98"/>
      <c r="T727" s="98"/>
      <c r="U727" s="98"/>
      <c r="V727" s="98"/>
      <c r="W727" s="98"/>
      <c r="X727" s="98"/>
      <c r="Y727" s="98"/>
      <c r="Z727" s="98"/>
    </row>
    <row r="728">
      <c r="A728" s="69">
        <v>18252.0</v>
      </c>
      <c r="B728" s="68" t="s">
        <v>2365</v>
      </c>
      <c r="C728" s="69">
        <v>2023.0</v>
      </c>
      <c r="D728" s="68" t="s">
        <v>1678</v>
      </c>
      <c r="E728" s="68" t="s">
        <v>2366</v>
      </c>
      <c r="F728" s="70" t="s">
        <v>2367</v>
      </c>
      <c r="G728" s="71">
        <v>46189.0</v>
      </c>
      <c r="H728" s="72">
        <f t="shared" si="5"/>
        <v>28</v>
      </c>
      <c r="I728" s="73" t="s">
        <v>2368</v>
      </c>
      <c r="J728" s="74">
        <v>46217.0</v>
      </c>
      <c r="K728" s="73" t="s">
        <v>2369</v>
      </c>
      <c r="L728" s="73">
        <v>50837.0</v>
      </c>
      <c r="M728" s="75"/>
      <c r="N728" s="75"/>
      <c r="O728" s="75"/>
      <c r="P728" s="75"/>
      <c r="Q728" s="75"/>
      <c r="R728" s="75"/>
      <c r="S728" s="75"/>
      <c r="T728" s="75"/>
      <c r="U728" s="75"/>
      <c r="V728" s="75"/>
      <c r="W728" s="75"/>
      <c r="X728" s="75"/>
      <c r="Y728" s="75"/>
      <c r="Z728" s="75"/>
    </row>
    <row r="729">
      <c r="A729" s="91">
        <v>18240.0</v>
      </c>
      <c r="B729" s="90" t="s">
        <v>2370</v>
      </c>
      <c r="C729" s="91">
        <v>2023.0</v>
      </c>
      <c r="D729" s="90" t="s">
        <v>69</v>
      </c>
      <c r="E729" s="90" t="s">
        <v>70</v>
      </c>
      <c r="F729" s="101" t="s">
        <v>1886</v>
      </c>
      <c r="G729" s="93">
        <v>46189.0</v>
      </c>
      <c r="H729" s="94">
        <f t="shared" si="5"/>
        <v>0</v>
      </c>
      <c r="I729" s="95" t="s">
        <v>2371</v>
      </c>
      <c r="J729" s="96">
        <v>46189.0</v>
      </c>
      <c r="K729" s="95" t="s">
        <v>24</v>
      </c>
      <c r="L729" s="95">
        <v>45048.0</v>
      </c>
      <c r="M729" s="98"/>
      <c r="N729" s="98"/>
      <c r="O729" s="98"/>
      <c r="P729" s="98"/>
      <c r="Q729" s="98"/>
      <c r="R729" s="98"/>
      <c r="S729" s="98"/>
      <c r="T729" s="98"/>
      <c r="U729" s="98"/>
      <c r="V729" s="98"/>
      <c r="W729" s="98"/>
      <c r="X729" s="98"/>
      <c r="Y729" s="98"/>
      <c r="Z729" s="98"/>
    </row>
    <row r="730">
      <c r="A730" s="69">
        <v>18254.0</v>
      </c>
      <c r="B730" s="68" t="s">
        <v>2372</v>
      </c>
      <c r="C730" s="69">
        <v>2017.0</v>
      </c>
      <c r="D730" s="68" t="s">
        <v>239</v>
      </c>
      <c r="E730" s="68" t="s">
        <v>1700</v>
      </c>
      <c r="F730" s="70">
        <v>94400.0</v>
      </c>
      <c r="G730" s="71">
        <v>46189.0</v>
      </c>
      <c r="H730" s="72">
        <f t="shared" si="5"/>
        <v>28</v>
      </c>
      <c r="I730" s="73" t="s">
        <v>2373</v>
      </c>
      <c r="J730" s="74">
        <v>46217.0</v>
      </c>
      <c r="K730" s="73" t="s">
        <v>24</v>
      </c>
      <c r="L730" s="73">
        <v>54276.0</v>
      </c>
      <c r="M730" s="75"/>
      <c r="N730" s="75"/>
      <c r="O730" s="75"/>
      <c r="P730" s="75"/>
      <c r="Q730" s="75"/>
      <c r="R730" s="75"/>
      <c r="S730" s="75"/>
      <c r="T730" s="75"/>
      <c r="U730" s="75"/>
      <c r="V730" s="75"/>
      <c r="W730" s="75"/>
      <c r="X730" s="75"/>
      <c r="Y730" s="75"/>
      <c r="Z730" s="75"/>
    </row>
    <row r="731">
      <c r="A731" s="91">
        <v>18257.0</v>
      </c>
      <c r="B731" s="90" t="s">
        <v>2374</v>
      </c>
      <c r="C731" s="91">
        <v>2025.0</v>
      </c>
      <c r="D731" s="90" t="s">
        <v>2375</v>
      </c>
      <c r="E731" s="90" t="s">
        <v>2129</v>
      </c>
      <c r="F731" s="101" t="s">
        <v>2376</v>
      </c>
      <c r="G731" s="93">
        <v>46189.0</v>
      </c>
      <c r="H731" s="94">
        <f t="shared" si="5"/>
        <v>36</v>
      </c>
      <c r="I731" s="95" t="s">
        <v>2377</v>
      </c>
      <c r="J731" s="98"/>
      <c r="K731" s="95" t="s">
        <v>248</v>
      </c>
      <c r="L731" s="95">
        <v>10.0</v>
      </c>
      <c r="M731" s="98"/>
      <c r="N731" s="98"/>
      <c r="O731" s="98"/>
      <c r="P731" s="98"/>
      <c r="Q731" s="98"/>
      <c r="R731" s="98"/>
      <c r="S731" s="98"/>
      <c r="T731" s="98"/>
      <c r="U731" s="98"/>
      <c r="V731" s="98"/>
      <c r="W731" s="98"/>
      <c r="X731" s="98"/>
      <c r="Y731" s="98"/>
      <c r="Z731" s="98"/>
    </row>
    <row r="732">
      <c r="A732" s="69">
        <v>18258.0</v>
      </c>
      <c r="B732" s="68" t="s">
        <v>2378</v>
      </c>
      <c r="C732" s="69">
        <v>2015.0</v>
      </c>
      <c r="D732" s="68" t="s">
        <v>182</v>
      </c>
      <c r="E732" s="68" t="s">
        <v>866</v>
      </c>
      <c r="F732" s="70" t="s">
        <v>2379</v>
      </c>
      <c r="G732" s="71">
        <v>46189.0</v>
      </c>
      <c r="H732" s="72">
        <f t="shared" si="5"/>
        <v>28</v>
      </c>
      <c r="I732" s="73" t="s">
        <v>133</v>
      </c>
      <c r="J732" s="74">
        <v>46217.0</v>
      </c>
      <c r="K732" s="73" t="s">
        <v>24</v>
      </c>
      <c r="L732" s="73">
        <v>277854.0</v>
      </c>
      <c r="M732" s="75"/>
      <c r="N732" s="75"/>
      <c r="O732" s="75"/>
      <c r="P732" s="75"/>
      <c r="Q732" s="75"/>
      <c r="R732" s="75"/>
      <c r="S732" s="75"/>
      <c r="T732" s="75"/>
      <c r="U732" s="75"/>
      <c r="V732" s="75"/>
      <c r="W732" s="75"/>
      <c r="X732" s="75"/>
      <c r="Y732" s="75"/>
      <c r="Z732" s="75"/>
    </row>
    <row r="733">
      <c r="A733" s="91">
        <v>18259.0</v>
      </c>
      <c r="B733" s="90" t="s">
        <v>2380</v>
      </c>
      <c r="C733" s="91">
        <v>2014.0</v>
      </c>
      <c r="D733" s="90" t="s">
        <v>251</v>
      </c>
      <c r="E733" s="90" t="s">
        <v>350</v>
      </c>
      <c r="F733" s="101" t="s">
        <v>2381</v>
      </c>
      <c r="G733" s="93">
        <v>46189.0</v>
      </c>
      <c r="H733" s="94">
        <f t="shared" si="5"/>
        <v>1</v>
      </c>
      <c r="I733" s="95" t="s">
        <v>30</v>
      </c>
      <c r="J733" s="96">
        <v>46190.0</v>
      </c>
      <c r="K733" s="95" t="s">
        <v>31</v>
      </c>
      <c r="L733" s="95">
        <v>203671.0</v>
      </c>
      <c r="M733" s="98"/>
      <c r="N733" s="98"/>
      <c r="O733" s="98"/>
      <c r="P733" s="98"/>
      <c r="Q733" s="98"/>
      <c r="R733" s="98"/>
      <c r="S733" s="98"/>
      <c r="T733" s="98"/>
      <c r="U733" s="98"/>
      <c r="V733" s="98"/>
      <c r="W733" s="98"/>
      <c r="X733" s="98"/>
      <c r="Y733" s="98"/>
      <c r="Z733" s="98"/>
    </row>
    <row r="734">
      <c r="A734" s="69">
        <v>18261.0</v>
      </c>
      <c r="B734" s="68" t="s">
        <v>2382</v>
      </c>
      <c r="C734" s="69">
        <v>2022.0</v>
      </c>
      <c r="D734" s="68" t="s">
        <v>1270</v>
      </c>
      <c r="E734" s="68" t="s">
        <v>1440</v>
      </c>
      <c r="F734" s="70" t="s">
        <v>2383</v>
      </c>
      <c r="G734" s="71">
        <v>46190.0</v>
      </c>
      <c r="H734" s="72">
        <f t="shared" si="5"/>
        <v>27</v>
      </c>
      <c r="I734" s="73" t="s">
        <v>1847</v>
      </c>
      <c r="J734" s="74">
        <v>46217.0</v>
      </c>
      <c r="K734" s="73" t="s">
        <v>24</v>
      </c>
      <c r="L734" s="73">
        <v>15640.0</v>
      </c>
      <c r="M734" s="75"/>
      <c r="N734" s="75"/>
      <c r="O734" s="75"/>
      <c r="P734" s="75"/>
      <c r="Q734" s="75"/>
      <c r="R734" s="75"/>
      <c r="S734" s="75"/>
      <c r="T734" s="75"/>
      <c r="U734" s="75"/>
      <c r="V734" s="75"/>
      <c r="W734" s="75"/>
      <c r="X734" s="75"/>
      <c r="Y734" s="75"/>
      <c r="Z734" s="75"/>
    </row>
    <row r="735">
      <c r="A735" s="91" t="s">
        <v>2384</v>
      </c>
      <c r="B735" s="90" t="s">
        <v>2385</v>
      </c>
      <c r="C735" s="91">
        <v>2026.0</v>
      </c>
      <c r="D735" s="90" t="s">
        <v>1635</v>
      </c>
      <c r="E735" s="90" t="s">
        <v>70</v>
      </c>
      <c r="F735" s="101" t="s">
        <v>989</v>
      </c>
      <c r="G735" s="93">
        <v>46190.0</v>
      </c>
      <c r="H735" s="94">
        <f t="shared" si="5"/>
        <v>14</v>
      </c>
      <c r="I735" s="95" t="s">
        <v>2110</v>
      </c>
      <c r="J735" s="96">
        <v>46204.0</v>
      </c>
      <c r="K735" s="95" t="s">
        <v>24</v>
      </c>
      <c r="L735" s="95">
        <v>11.0</v>
      </c>
      <c r="M735" s="98"/>
      <c r="N735" s="98"/>
      <c r="O735" s="98"/>
      <c r="P735" s="98"/>
      <c r="Q735" s="98"/>
      <c r="R735" s="98"/>
      <c r="S735" s="98"/>
      <c r="T735" s="98"/>
      <c r="U735" s="98"/>
      <c r="V735" s="98"/>
      <c r="W735" s="98"/>
      <c r="X735" s="98"/>
      <c r="Y735" s="98"/>
      <c r="Z735" s="98"/>
    </row>
    <row r="736">
      <c r="A736" s="69">
        <v>18262.0</v>
      </c>
      <c r="B736" s="68" t="s">
        <v>2386</v>
      </c>
      <c r="C736" s="69">
        <v>2022.0</v>
      </c>
      <c r="D736" s="68" t="s">
        <v>911</v>
      </c>
      <c r="E736" s="68" t="s">
        <v>1440</v>
      </c>
      <c r="F736" s="70" t="s">
        <v>2387</v>
      </c>
      <c r="G736" s="71">
        <v>46190.0</v>
      </c>
      <c r="H736" s="72">
        <f t="shared" si="5"/>
        <v>14</v>
      </c>
      <c r="I736" s="73" t="s">
        <v>2388</v>
      </c>
      <c r="J736" s="74">
        <v>46204.0</v>
      </c>
      <c r="K736" s="73" t="s">
        <v>24</v>
      </c>
      <c r="L736" s="73">
        <v>1.0</v>
      </c>
      <c r="M736" s="75"/>
      <c r="N736" s="75"/>
      <c r="O736" s="75"/>
      <c r="P736" s="75"/>
      <c r="Q736" s="75"/>
      <c r="R736" s="75"/>
      <c r="S736" s="75"/>
      <c r="T736" s="75"/>
      <c r="U736" s="75"/>
      <c r="V736" s="75"/>
      <c r="W736" s="75"/>
      <c r="X736" s="75"/>
      <c r="Y736" s="75"/>
      <c r="Z736" s="75"/>
    </row>
    <row r="737">
      <c r="A737" s="91">
        <v>18264.0</v>
      </c>
      <c r="B737" s="90" t="s">
        <v>2389</v>
      </c>
      <c r="C737" s="91">
        <v>2020.0</v>
      </c>
      <c r="D737" s="90" t="s">
        <v>1147</v>
      </c>
      <c r="E737" s="90" t="s">
        <v>2253</v>
      </c>
      <c r="F737" s="101" t="s">
        <v>2390</v>
      </c>
      <c r="G737" s="93">
        <v>46190.0</v>
      </c>
      <c r="H737" s="94">
        <f t="shared" si="5"/>
        <v>0</v>
      </c>
      <c r="I737" s="95" t="s">
        <v>2391</v>
      </c>
      <c r="J737" s="96">
        <v>46190.0</v>
      </c>
      <c r="K737" s="95" t="s">
        <v>24</v>
      </c>
      <c r="L737" s="95">
        <v>80770.0</v>
      </c>
      <c r="M737" s="98"/>
      <c r="N737" s="98"/>
      <c r="O737" s="98"/>
      <c r="P737" s="98"/>
      <c r="Q737" s="98"/>
      <c r="R737" s="98"/>
      <c r="S737" s="98"/>
      <c r="T737" s="98"/>
      <c r="U737" s="98"/>
      <c r="V737" s="98"/>
      <c r="W737" s="98"/>
      <c r="X737" s="98"/>
      <c r="Y737" s="98"/>
      <c r="Z737" s="98"/>
    </row>
    <row r="738">
      <c r="A738" s="69">
        <v>18266.0</v>
      </c>
      <c r="B738" s="68" t="s">
        <v>2392</v>
      </c>
      <c r="C738" s="69">
        <v>2017.0</v>
      </c>
      <c r="D738" s="68" t="s">
        <v>182</v>
      </c>
      <c r="E738" s="68" t="s">
        <v>53</v>
      </c>
      <c r="F738" s="70" t="s">
        <v>2393</v>
      </c>
      <c r="G738" s="71">
        <v>46190.0</v>
      </c>
      <c r="H738" s="72">
        <f t="shared" si="5"/>
        <v>27</v>
      </c>
      <c r="I738" s="73" t="s">
        <v>2394</v>
      </c>
      <c r="J738" s="74">
        <v>46217.0</v>
      </c>
      <c r="K738" s="73" t="s">
        <v>24</v>
      </c>
      <c r="L738" s="73">
        <v>94272.0</v>
      </c>
      <c r="M738" s="75"/>
      <c r="N738" s="75"/>
      <c r="O738" s="75"/>
      <c r="P738" s="75"/>
      <c r="Q738" s="75"/>
      <c r="R738" s="75"/>
      <c r="S738" s="75"/>
      <c r="T738" s="75"/>
      <c r="U738" s="75"/>
      <c r="V738" s="75"/>
      <c r="W738" s="75"/>
      <c r="X738" s="75"/>
      <c r="Y738" s="75"/>
      <c r="Z738" s="75"/>
    </row>
    <row r="739">
      <c r="A739" s="91">
        <v>18281.0</v>
      </c>
      <c r="B739" s="90" t="s">
        <v>2395</v>
      </c>
      <c r="C739" s="91">
        <v>2018.0</v>
      </c>
      <c r="D739" s="90" t="s">
        <v>1844</v>
      </c>
      <c r="E739" s="90" t="s">
        <v>855</v>
      </c>
      <c r="F739" s="101" t="s">
        <v>2396</v>
      </c>
      <c r="G739" s="93">
        <v>46191.0</v>
      </c>
      <c r="H739" s="94">
        <f t="shared" si="5"/>
        <v>13</v>
      </c>
      <c r="I739" s="95" t="s">
        <v>2397</v>
      </c>
      <c r="J739" s="96">
        <v>46204.0</v>
      </c>
      <c r="K739" s="95" t="s">
        <v>24</v>
      </c>
      <c r="L739" s="95">
        <v>11274.0</v>
      </c>
      <c r="M739" s="98"/>
      <c r="N739" s="98"/>
      <c r="O739" s="98"/>
      <c r="P739" s="98"/>
      <c r="Q739" s="98"/>
      <c r="R739" s="98"/>
      <c r="S739" s="98"/>
      <c r="T739" s="98"/>
      <c r="U739" s="98"/>
      <c r="V739" s="98"/>
      <c r="W739" s="98"/>
      <c r="X739" s="98"/>
      <c r="Y739" s="98"/>
      <c r="Z739" s="98"/>
    </row>
    <row r="740">
      <c r="A740" s="69">
        <v>18282.0</v>
      </c>
      <c r="B740" s="68" t="s">
        <v>2398</v>
      </c>
      <c r="C740" s="69">
        <v>2022.0</v>
      </c>
      <c r="D740" s="68" t="s">
        <v>1270</v>
      </c>
      <c r="E740" s="68" t="s">
        <v>1108</v>
      </c>
      <c r="F740" s="70" t="s">
        <v>2399</v>
      </c>
      <c r="G740" s="71">
        <v>46192.0</v>
      </c>
      <c r="H740" s="72">
        <f t="shared" si="5"/>
        <v>12</v>
      </c>
      <c r="I740" s="73" t="s">
        <v>2400</v>
      </c>
      <c r="J740" s="74">
        <v>46204.0</v>
      </c>
      <c r="K740" s="73" t="s">
        <v>24</v>
      </c>
      <c r="L740" s="73">
        <v>22287.0</v>
      </c>
      <c r="M740" s="75"/>
      <c r="N740" s="75"/>
      <c r="O740" s="75"/>
      <c r="P740" s="75"/>
      <c r="Q740" s="75"/>
      <c r="R740" s="75"/>
      <c r="S740" s="75"/>
      <c r="T740" s="75"/>
      <c r="U740" s="75"/>
      <c r="V740" s="75"/>
      <c r="W740" s="75"/>
      <c r="X740" s="75"/>
      <c r="Y740" s="75"/>
      <c r="Z740" s="75"/>
    </row>
    <row r="741">
      <c r="A741" s="91">
        <v>18283.0</v>
      </c>
      <c r="B741" s="90" t="s">
        <v>2401</v>
      </c>
      <c r="C741" s="91">
        <v>2022.0</v>
      </c>
      <c r="D741" s="90" t="s">
        <v>1270</v>
      </c>
      <c r="E741" s="90" t="s">
        <v>1108</v>
      </c>
      <c r="F741" s="101" t="s">
        <v>2402</v>
      </c>
      <c r="G741" s="93">
        <v>46192.0</v>
      </c>
      <c r="H741" s="94">
        <f t="shared" si="5"/>
        <v>12</v>
      </c>
      <c r="I741" s="95" t="s">
        <v>2403</v>
      </c>
      <c r="J741" s="96">
        <v>46204.0</v>
      </c>
      <c r="K741" s="95" t="s">
        <v>24</v>
      </c>
      <c r="L741" s="95">
        <v>22259.0</v>
      </c>
      <c r="M741" s="98"/>
      <c r="N741" s="98"/>
      <c r="O741" s="98"/>
      <c r="P741" s="98"/>
      <c r="Q741" s="98"/>
      <c r="R741" s="98"/>
      <c r="S741" s="98"/>
      <c r="T741" s="98"/>
      <c r="U741" s="98"/>
      <c r="V741" s="98"/>
      <c r="W741" s="98"/>
      <c r="X741" s="98"/>
      <c r="Y741" s="98"/>
      <c r="Z741" s="98"/>
    </row>
    <row r="742">
      <c r="A742" s="69">
        <v>18285.0</v>
      </c>
      <c r="B742" s="68" t="s">
        <v>2404</v>
      </c>
      <c r="C742" s="69">
        <v>2025.0</v>
      </c>
      <c r="D742" s="68" t="s">
        <v>1147</v>
      </c>
      <c r="E742" s="68" t="s">
        <v>373</v>
      </c>
      <c r="F742" s="70" t="s">
        <v>2405</v>
      </c>
      <c r="G742" s="71">
        <v>46192.0</v>
      </c>
      <c r="H742" s="72">
        <f t="shared" si="5"/>
        <v>33</v>
      </c>
      <c r="I742" s="73" t="s">
        <v>2406</v>
      </c>
      <c r="J742" s="75"/>
      <c r="K742" s="73" t="s">
        <v>248</v>
      </c>
      <c r="L742" s="73">
        <v>2426.0</v>
      </c>
      <c r="M742" s="75"/>
      <c r="N742" s="75"/>
      <c r="O742" s="75"/>
      <c r="P742" s="75"/>
      <c r="Q742" s="75"/>
      <c r="R742" s="75"/>
      <c r="S742" s="75"/>
      <c r="T742" s="75"/>
      <c r="U742" s="75"/>
      <c r="V742" s="75"/>
      <c r="W742" s="75"/>
      <c r="X742" s="75"/>
      <c r="Y742" s="75"/>
      <c r="Z742" s="75"/>
    </row>
    <row r="743">
      <c r="A743" s="91">
        <v>18289.0</v>
      </c>
      <c r="B743" s="90" t="s">
        <v>2407</v>
      </c>
      <c r="C743" s="91">
        <v>2022.0</v>
      </c>
      <c r="D743" s="90" t="s">
        <v>724</v>
      </c>
      <c r="E743" s="90" t="s">
        <v>359</v>
      </c>
      <c r="F743" s="101" t="s">
        <v>2408</v>
      </c>
      <c r="G743" s="93">
        <v>46195.0</v>
      </c>
      <c r="H743" s="94">
        <f t="shared" si="5"/>
        <v>9</v>
      </c>
      <c r="I743" s="95" t="s">
        <v>2409</v>
      </c>
      <c r="J743" s="96">
        <v>46204.0</v>
      </c>
      <c r="K743" s="95" t="s">
        <v>24</v>
      </c>
      <c r="L743" s="95">
        <v>94115.0</v>
      </c>
      <c r="M743" s="98"/>
      <c r="N743" s="98"/>
      <c r="O743" s="98"/>
      <c r="P743" s="98"/>
      <c r="Q743" s="98"/>
      <c r="R743" s="98"/>
      <c r="S743" s="98"/>
      <c r="T743" s="98"/>
      <c r="U743" s="98"/>
      <c r="V743" s="98"/>
      <c r="W743" s="98"/>
      <c r="X743" s="98"/>
      <c r="Y743" s="98"/>
      <c r="Z743" s="98"/>
    </row>
    <row r="744">
      <c r="A744" s="69">
        <v>18293.0</v>
      </c>
      <c r="B744" s="68" t="s">
        <v>2410</v>
      </c>
      <c r="C744" s="69">
        <v>2022.0</v>
      </c>
      <c r="D744" s="68" t="s">
        <v>292</v>
      </c>
      <c r="E744" s="68" t="s">
        <v>2411</v>
      </c>
      <c r="F744" s="70" t="s">
        <v>2412</v>
      </c>
      <c r="G744" s="71">
        <v>46195.0</v>
      </c>
      <c r="H744" s="72">
        <f t="shared" si="5"/>
        <v>28</v>
      </c>
      <c r="I744" s="73" t="s">
        <v>2413</v>
      </c>
      <c r="J744" s="74">
        <v>46223.0</v>
      </c>
      <c r="K744" s="73" t="s">
        <v>24</v>
      </c>
      <c r="L744" s="73">
        <v>10.0</v>
      </c>
      <c r="M744" s="75"/>
      <c r="N744" s="75"/>
      <c r="O744" s="75"/>
      <c r="P744" s="75"/>
      <c r="Q744" s="75"/>
      <c r="R744" s="75"/>
      <c r="S744" s="75"/>
      <c r="T744" s="75"/>
      <c r="U744" s="75"/>
      <c r="V744" s="75"/>
      <c r="W744" s="75"/>
      <c r="X744" s="75"/>
      <c r="Y744" s="75"/>
      <c r="Z744" s="75"/>
    </row>
    <row r="745">
      <c r="A745" s="91">
        <v>18296.0</v>
      </c>
      <c r="B745" s="90" t="s">
        <v>2414</v>
      </c>
      <c r="C745" s="91">
        <v>2014.0</v>
      </c>
      <c r="D745" s="90" t="s">
        <v>251</v>
      </c>
      <c r="E745" s="90" t="s">
        <v>2415</v>
      </c>
      <c r="F745" s="101" t="s">
        <v>2416</v>
      </c>
      <c r="G745" s="93">
        <v>46195.0</v>
      </c>
      <c r="H745" s="94">
        <f t="shared" si="5"/>
        <v>2</v>
      </c>
      <c r="I745" s="95" t="s">
        <v>30</v>
      </c>
      <c r="J745" s="96">
        <v>46197.0</v>
      </c>
      <c r="K745" s="95" t="s">
        <v>31</v>
      </c>
      <c r="L745" s="95">
        <v>129711.0</v>
      </c>
      <c r="M745" s="98"/>
      <c r="N745" s="98"/>
      <c r="O745" s="98"/>
      <c r="P745" s="98"/>
      <c r="Q745" s="98"/>
      <c r="R745" s="98"/>
      <c r="S745" s="98"/>
      <c r="T745" s="98"/>
      <c r="U745" s="98"/>
      <c r="V745" s="98"/>
      <c r="W745" s="98"/>
      <c r="X745" s="98"/>
      <c r="Y745" s="98"/>
      <c r="Z745" s="98"/>
    </row>
    <row r="746">
      <c r="A746" s="69">
        <v>18299.0</v>
      </c>
      <c r="B746" s="68" t="s">
        <v>2417</v>
      </c>
      <c r="C746" s="69">
        <v>2025.0</v>
      </c>
      <c r="D746" s="68" t="s">
        <v>2418</v>
      </c>
      <c r="E746" s="68" t="s">
        <v>805</v>
      </c>
      <c r="F746" s="70" t="s">
        <v>2419</v>
      </c>
      <c r="G746" s="71">
        <v>46195.0</v>
      </c>
      <c r="H746" s="72">
        <f t="shared" si="5"/>
        <v>9</v>
      </c>
      <c r="I746" s="73" t="s">
        <v>2420</v>
      </c>
      <c r="J746" s="74">
        <v>46204.0</v>
      </c>
      <c r="K746" s="73" t="s">
        <v>24</v>
      </c>
      <c r="L746" s="73">
        <v>12.0</v>
      </c>
      <c r="M746" s="75"/>
      <c r="N746" s="75"/>
      <c r="O746" s="75"/>
      <c r="P746" s="75"/>
      <c r="Q746" s="75"/>
      <c r="R746" s="75"/>
      <c r="S746" s="75"/>
      <c r="T746" s="75"/>
      <c r="U746" s="75"/>
      <c r="V746" s="75"/>
      <c r="W746" s="75"/>
      <c r="X746" s="75"/>
      <c r="Y746" s="75"/>
      <c r="Z746" s="75"/>
    </row>
    <row r="747">
      <c r="A747" s="91">
        <v>18301.0</v>
      </c>
      <c r="B747" s="90" t="s">
        <v>2421</v>
      </c>
      <c r="C747" s="91">
        <v>2018.0</v>
      </c>
      <c r="D747" s="90" t="s">
        <v>292</v>
      </c>
      <c r="E747" s="90" t="s">
        <v>2112</v>
      </c>
      <c r="F747" s="101" t="s">
        <v>2422</v>
      </c>
      <c r="G747" s="93">
        <v>46196.0</v>
      </c>
      <c r="H747" s="94">
        <f t="shared" si="5"/>
        <v>8</v>
      </c>
      <c r="I747" s="95" t="s">
        <v>2423</v>
      </c>
      <c r="J747" s="96">
        <v>46204.0</v>
      </c>
      <c r="K747" s="95" t="s">
        <v>24</v>
      </c>
      <c r="L747" s="95">
        <v>85242.0</v>
      </c>
      <c r="M747" s="98"/>
      <c r="N747" s="98"/>
      <c r="O747" s="98"/>
      <c r="P747" s="98"/>
      <c r="Q747" s="98"/>
      <c r="R747" s="98"/>
      <c r="S747" s="98"/>
      <c r="T747" s="98"/>
      <c r="U747" s="98"/>
      <c r="V747" s="98"/>
      <c r="W747" s="98"/>
      <c r="X747" s="98"/>
      <c r="Y747" s="98"/>
      <c r="Z747" s="98"/>
    </row>
    <row r="748">
      <c r="A748" s="69">
        <v>18305.0</v>
      </c>
      <c r="B748" s="68" t="s">
        <v>2424</v>
      </c>
      <c r="C748" s="69">
        <v>2022.0</v>
      </c>
      <c r="D748" s="68" t="s">
        <v>40</v>
      </c>
      <c r="E748" s="68" t="s">
        <v>792</v>
      </c>
      <c r="F748" s="70" t="s">
        <v>2425</v>
      </c>
      <c r="G748" s="71">
        <v>46198.0</v>
      </c>
      <c r="H748" s="72">
        <f t="shared" si="5"/>
        <v>6</v>
      </c>
      <c r="I748" s="73" t="s">
        <v>2426</v>
      </c>
      <c r="J748" s="74">
        <v>46204.0</v>
      </c>
      <c r="K748" s="73" t="s">
        <v>24</v>
      </c>
      <c r="L748" s="73">
        <v>59555.0</v>
      </c>
      <c r="M748" s="75"/>
      <c r="N748" s="75"/>
      <c r="O748" s="75"/>
      <c r="P748" s="75"/>
      <c r="Q748" s="75"/>
      <c r="R748" s="75"/>
      <c r="S748" s="75"/>
      <c r="T748" s="75"/>
      <c r="U748" s="75"/>
      <c r="V748" s="75"/>
      <c r="W748" s="75"/>
      <c r="X748" s="75"/>
      <c r="Y748" s="75"/>
      <c r="Z748" s="75"/>
    </row>
    <row r="749">
      <c r="A749" s="91">
        <v>18306.0</v>
      </c>
      <c r="B749" s="90" t="s">
        <v>2427</v>
      </c>
      <c r="C749" s="91">
        <v>2022.0</v>
      </c>
      <c r="D749" s="90" t="s">
        <v>911</v>
      </c>
      <c r="E749" s="90" t="s">
        <v>2428</v>
      </c>
      <c r="F749" s="101" t="s">
        <v>2429</v>
      </c>
      <c r="G749" s="93">
        <v>46197.0</v>
      </c>
      <c r="H749" s="94">
        <f t="shared" si="5"/>
        <v>7</v>
      </c>
      <c r="I749" s="95" t="s">
        <v>2430</v>
      </c>
      <c r="J749" s="96">
        <v>46204.0</v>
      </c>
      <c r="K749" s="95" t="s">
        <v>24</v>
      </c>
      <c r="L749" s="95">
        <v>104042.0</v>
      </c>
      <c r="M749" s="98"/>
      <c r="N749" s="98"/>
      <c r="O749" s="98"/>
      <c r="P749" s="98"/>
      <c r="Q749" s="98"/>
      <c r="R749" s="98"/>
      <c r="S749" s="98"/>
      <c r="T749" s="98"/>
      <c r="U749" s="98"/>
      <c r="V749" s="98"/>
      <c r="W749" s="98"/>
      <c r="X749" s="98"/>
      <c r="Y749" s="98"/>
      <c r="Z749" s="98"/>
    </row>
    <row r="750">
      <c r="A750" s="69">
        <v>18257.0</v>
      </c>
      <c r="B750" s="68" t="s">
        <v>2431</v>
      </c>
      <c r="C750" s="69">
        <v>2025.0</v>
      </c>
      <c r="D750" s="68" t="s">
        <v>2432</v>
      </c>
      <c r="E750" s="68" t="s">
        <v>1744</v>
      </c>
      <c r="F750" s="70" t="s">
        <v>2376</v>
      </c>
      <c r="G750" s="71">
        <v>46198.0</v>
      </c>
      <c r="H750" s="72">
        <f t="shared" si="5"/>
        <v>27</v>
      </c>
      <c r="I750" s="73" t="s">
        <v>2433</v>
      </c>
      <c r="J750" s="75"/>
      <c r="K750" s="73" t="s">
        <v>66</v>
      </c>
      <c r="L750" s="73">
        <v>5257.0</v>
      </c>
      <c r="M750" s="75"/>
      <c r="N750" s="75"/>
      <c r="O750" s="75"/>
      <c r="P750" s="75"/>
      <c r="Q750" s="75"/>
      <c r="R750" s="75"/>
      <c r="S750" s="75"/>
      <c r="T750" s="75"/>
      <c r="U750" s="75"/>
      <c r="V750" s="75"/>
      <c r="W750" s="75"/>
      <c r="X750" s="75"/>
      <c r="Y750" s="75"/>
      <c r="Z750" s="75"/>
    </row>
    <row r="751">
      <c r="A751" s="91">
        <v>18315.0</v>
      </c>
      <c r="B751" s="90" t="s">
        <v>2434</v>
      </c>
      <c r="C751" s="91">
        <v>2022.0</v>
      </c>
      <c r="D751" s="90" t="s">
        <v>292</v>
      </c>
      <c r="E751" s="90" t="s">
        <v>2435</v>
      </c>
      <c r="F751" s="101" t="s">
        <v>2436</v>
      </c>
      <c r="G751" s="93">
        <v>46198.0</v>
      </c>
      <c r="H751" s="94">
        <f t="shared" si="5"/>
        <v>6</v>
      </c>
      <c r="I751" s="95" t="s">
        <v>2298</v>
      </c>
      <c r="J751" s="96">
        <v>46204.0</v>
      </c>
      <c r="K751" s="95" t="s">
        <v>721</v>
      </c>
      <c r="L751" s="95">
        <v>189454.0</v>
      </c>
      <c r="M751" s="98"/>
      <c r="N751" s="98"/>
      <c r="O751" s="98"/>
      <c r="P751" s="98"/>
      <c r="Q751" s="98"/>
      <c r="R751" s="98"/>
      <c r="S751" s="98"/>
      <c r="T751" s="98"/>
      <c r="U751" s="98"/>
      <c r="V751" s="98"/>
      <c r="W751" s="98"/>
      <c r="X751" s="98"/>
      <c r="Y751" s="98"/>
      <c r="Z751" s="98"/>
    </row>
    <row r="752">
      <c r="A752" s="69">
        <v>18317.0</v>
      </c>
      <c r="B752" s="68" t="s">
        <v>2437</v>
      </c>
      <c r="C752" s="69">
        <v>2023.0</v>
      </c>
      <c r="D752" s="68" t="s">
        <v>292</v>
      </c>
      <c r="E752" s="68" t="s">
        <v>1679</v>
      </c>
      <c r="F752" s="70" t="s">
        <v>2438</v>
      </c>
      <c r="G752" s="71">
        <v>46199.0</v>
      </c>
      <c r="H752" s="72">
        <f t="shared" si="5"/>
        <v>5</v>
      </c>
      <c r="I752" s="73" t="s">
        <v>2439</v>
      </c>
      <c r="J752" s="74">
        <v>46204.0</v>
      </c>
      <c r="K752" s="73" t="s">
        <v>721</v>
      </c>
      <c r="L752" s="73">
        <v>69072.0</v>
      </c>
      <c r="M752" s="75"/>
      <c r="N752" s="75"/>
      <c r="O752" s="75"/>
      <c r="P752" s="75"/>
      <c r="Q752" s="75"/>
      <c r="R752" s="75"/>
      <c r="S752" s="75"/>
      <c r="T752" s="75"/>
      <c r="U752" s="75"/>
      <c r="V752" s="75"/>
      <c r="W752" s="75"/>
      <c r="X752" s="75"/>
      <c r="Y752" s="75"/>
      <c r="Z752" s="75"/>
    </row>
    <row r="753">
      <c r="A753" s="91">
        <v>18307.0</v>
      </c>
      <c r="B753" s="90" t="s">
        <v>2440</v>
      </c>
      <c r="C753" s="91">
        <v>2022.0</v>
      </c>
      <c r="D753" s="90" t="s">
        <v>1147</v>
      </c>
      <c r="E753" s="90" t="s">
        <v>855</v>
      </c>
      <c r="F753" s="101" t="s">
        <v>2441</v>
      </c>
      <c r="G753" s="93">
        <v>46197.0</v>
      </c>
      <c r="H753" s="94">
        <f t="shared" si="5"/>
        <v>7</v>
      </c>
      <c r="I753" s="95" t="s">
        <v>2442</v>
      </c>
      <c r="J753" s="96">
        <v>46204.0</v>
      </c>
      <c r="K753" s="95" t="s">
        <v>24</v>
      </c>
      <c r="L753" s="97">
        <v>20804.0</v>
      </c>
      <c r="M753" s="98"/>
      <c r="N753" s="98"/>
      <c r="O753" s="98"/>
      <c r="P753" s="98"/>
      <c r="Q753" s="98"/>
      <c r="R753" s="98"/>
      <c r="S753" s="98"/>
      <c r="T753" s="98"/>
      <c r="U753" s="98"/>
      <c r="V753" s="98"/>
      <c r="W753" s="98"/>
      <c r="X753" s="98"/>
      <c r="Y753" s="98"/>
      <c r="Z753" s="98"/>
    </row>
    <row r="754">
      <c r="A754" s="69">
        <v>18303.0</v>
      </c>
      <c r="B754" s="68" t="s">
        <v>2443</v>
      </c>
      <c r="C754" s="69">
        <v>2022.0</v>
      </c>
      <c r="D754" s="68" t="s">
        <v>1270</v>
      </c>
      <c r="E754" s="68" t="s">
        <v>2444</v>
      </c>
      <c r="F754" s="70" t="s">
        <v>2445</v>
      </c>
      <c r="G754" s="71">
        <v>46199.0</v>
      </c>
      <c r="H754" s="72">
        <f t="shared" si="5"/>
        <v>18</v>
      </c>
      <c r="I754" s="73" t="s">
        <v>2446</v>
      </c>
      <c r="J754" s="74">
        <v>46217.0</v>
      </c>
      <c r="K754" s="73" t="s">
        <v>721</v>
      </c>
      <c r="L754" s="73">
        <v>17437.0</v>
      </c>
      <c r="M754" s="75"/>
      <c r="N754" s="75"/>
      <c r="O754" s="75"/>
      <c r="P754" s="75"/>
      <c r="Q754" s="75"/>
      <c r="R754" s="75"/>
      <c r="S754" s="75"/>
      <c r="T754" s="75"/>
      <c r="U754" s="75"/>
      <c r="V754" s="75"/>
      <c r="W754" s="75"/>
      <c r="X754" s="75"/>
      <c r="Y754" s="75"/>
      <c r="Z754" s="75"/>
    </row>
    <row r="755">
      <c r="A755" s="91">
        <v>18302.0</v>
      </c>
      <c r="B755" s="90" t="s">
        <v>2447</v>
      </c>
      <c r="C755" s="91">
        <v>2022.0</v>
      </c>
      <c r="D755" s="90" t="s">
        <v>1270</v>
      </c>
      <c r="E755" s="90" t="s">
        <v>2444</v>
      </c>
      <c r="F755" s="101" t="s">
        <v>2448</v>
      </c>
      <c r="G755" s="93">
        <v>46199.0</v>
      </c>
      <c r="H755" s="94">
        <f t="shared" si="5"/>
        <v>18</v>
      </c>
      <c r="I755" s="95" t="s">
        <v>2449</v>
      </c>
      <c r="J755" s="96">
        <v>46217.0</v>
      </c>
      <c r="K755" s="95" t="s">
        <v>721</v>
      </c>
      <c r="L755" s="95">
        <v>17484.0</v>
      </c>
      <c r="M755" s="98"/>
      <c r="N755" s="98"/>
      <c r="O755" s="98"/>
      <c r="P755" s="98"/>
      <c r="Q755" s="98"/>
      <c r="R755" s="98"/>
      <c r="S755" s="98"/>
      <c r="T755" s="98"/>
      <c r="U755" s="98"/>
      <c r="V755" s="98"/>
      <c r="W755" s="98"/>
      <c r="X755" s="98"/>
      <c r="Y755" s="98"/>
      <c r="Z755" s="98"/>
    </row>
    <row r="756">
      <c r="A756" s="69">
        <v>18261.0</v>
      </c>
      <c r="B756" s="68" t="s">
        <v>2450</v>
      </c>
      <c r="C756" s="69">
        <v>2021.0</v>
      </c>
      <c r="D756" s="68" t="s">
        <v>1270</v>
      </c>
      <c r="E756" s="68" t="s">
        <v>2451</v>
      </c>
      <c r="F756" s="70" t="s">
        <v>2383</v>
      </c>
      <c r="G756" s="71">
        <v>46199.0</v>
      </c>
      <c r="H756" s="72">
        <f t="shared" si="5"/>
        <v>25</v>
      </c>
      <c r="I756" s="73" t="s">
        <v>2452</v>
      </c>
      <c r="J756" s="74">
        <v>46224.0</v>
      </c>
      <c r="K756" s="73" t="s">
        <v>721</v>
      </c>
      <c r="L756" s="73">
        <v>15640.0</v>
      </c>
      <c r="M756" s="75"/>
      <c r="N756" s="75"/>
      <c r="O756" s="75"/>
      <c r="P756" s="75"/>
      <c r="Q756" s="75"/>
      <c r="R756" s="75"/>
      <c r="S756" s="75"/>
      <c r="T756" s="75"/>
      <c r="U756" s="75"/>
      <c r="V756" s="75"/>
      <c r="W756" s="75"/>
      <c r="X756" s="75"/>
      <c r="Y756" s="75"/>
      <c r="Z756" s="75"/>
    </row>
    <row r="757">
      <c r="A757" s="91">
        <v>18318.0</v>
      </c>
      <c r="B757" s="90" t="s">
        <v>2453</v>
      </c>
      <c r="C757" s="91">
        <v>2026.0</v>
      </c>
      <c r="D757" s="90" t="s">
        <v>2454</v>
      </c>
      <c r="E757" s="90" t="s">
        <v>805</v>
      </c>
      <c r="F757" s="101" t="s">
        <v>2419</v>
      </c>
      <c r="G757" s="93">
        <v>46199.0</v>
      </c>
      <c r="H757" s="94">
        <f t="shared" si="5"/>
        <v>18</v>
      </c>
      <c r="I757" s="95" t="s">
        <v>1870</v>
      </c>
      <c r="J757" s="96">
        <v>46217.0</v>
      </c>
      <c r="K757" s="95" t="s">
        <v>721</v>
      </c>
      <c r="L757" s="95">
        <v>14.0</v>
      </c>
      <c r="M757" s="98"/>
      <c r="N757" s="98"/>
      <c r="O757" s="98"/>
      <c r="P757" s="98"/>
      <c r="Q757" s="98"/>
      <c r="R757" s="98"/>
      <c r="S757" s="98"/>
      <c r="T757" s="98"/>
      <c r="U757" s="98"/>
      <c r="V757" s="98"/>
      <c r="W757" s="98"/>
      <c r="X757" s="98"/>
      <c r="Y757" s="98"/>
      <c r="Z757" s="98"/>
    </row>
    <row r="758">
      <c r="A758" s="69">
        <v>18320.0</v>
      </c>
      <c r="B758" s="68" t="s">
        <v>2455</v>
      </c>
      <c r="C758" s="69">
        <v>2022.0</v>
      </c>
      <c r="D758" s="68" t="s">
        <v>40</v>
      </c>
      <c r="E758" s="68" t="s">
        <v>792</v>
      </c>
      <c r="F758" s="70" t="s">
        <v>2456</v>
      </c>
      <c r="G758" s="71">
        <v>46199.0</v>
      </c>
      <c r="H758" s="72">
        <f t="shared" si="5"/>
        <v>4</v>
      </c>
      <c r="I758" s="73" t="s">
        <v>2457</v>
      </c>
      <c r="J758" s="74">
        <v>46203.0</v>
      </c>
      <c r="K758" s="73" t="s">
        <v>114</v>
      </c>
      <c r="L758" s="73">
        <v>101464.0</v>
      </c>
      <c r="M758" s="75"/>
      <c r="N758" s="75"/>
      <c r="O758" s="75"/>
      <c r="P758" s="75"/>
      <c r="Q758" s="75"/>
      <c r="R758" s="75"/>
      <c r="S758" s="75"/>
      <c r="T758" s="75"/>
      <c r="U758" s="75"/>
      <c r="V758" s="75"/>
      <c r="W758" s="75"/>
      <c r="X758" s="75"/>
      <c r="Y758" s="75"/>
      <c r="Z758" s="75"/>
    </row>
    <row r="759">
      <c r="A759" s="91">
        <v>18321.0</v>
      </c>
      <c r="B759" s="90" t="s">
        <v>2458</v>
      </c>
      <c r="C759" s="91">
        <v>2021.0</v>
      </c>
      <c r="D759" s="90" t="s">
        <v>1916</v>
      </c>
      <c r="E759" s="90" t="s">
        <v>792</v>
      </c>
      <c r="F759" s="101" t="s">
        <v>2459</v>
      </c>
      <c r="G759" s="93">
        <v>46199.0</v>
      </c>
      <c r="H759" s="94">
        <f t="shared" si="5"/>
        <v>5</v>
      </c>
      <c r="I759" s="95" t="s">
        <v>2460</v>
      </c>
      <c r="J759" s="96">
        <v>46204.0</v>
      </c>
      <c r="K759" s="95" t="s">
        <v>44</v>
      </c>
      <c r="L759" s="95">
        <v>28413.0</v>
      </c>
      <c r="M759" s="98"/>
      <c r="N759" s="98"/>
      <c r="O759" s="98"/>
      <c r="P759" s="98"/>
      <c r="Q759" s="98"/>
      <c r="R759" s="98"/>
      <c r="S759" s="98"/>
      <c r="T759" s="98"/>
      <c r="U759" s="98"/>
      <c r="V759" s="98"/>
      <c r="W759" s="98"/>
      <c r="X759" s="98"/>
      <c r="Y759" s="98"/>
      <c r="Z759" s="98"/>
    </row>
    <row r="760">
      <c r="A760" s="69">
        <v>18324.0</v>
      </c>
      <c r="B760" s="68" t="s">
        <v>2461</v>
      </c>
      <c r="C760" s="69">
        <v>2021.0</v>
      </c>
      <c r="D760" s="68" t="s">
        <v>1270</v>
      </c>
      <c r="E760" s="68" t="s">
        <v>2462</v>
      </c>
      <c r="F760" s="70" t="s">
        <v>2463</v>
      </c>
      <c r="G760" s="71">
        <v>46202.0</v>
      </c>
      <c r="H760" s="72">
        <f t="shared" si="5"/>
        <v>22</v>
      </c>
      <c r="I760" s="73" t="s">
        <v>1569</v>
      </c>
      <c r="J760" s="74">
        <v>46224.0</v>
      </c>
      <c r="K760" s="73" t="s">
        <v>24</v>
      </c>
      <c r="L760" s="73">
        <v>23947.0</v>
      </c>
      <c r="M760" s="75"/>
      <c r="N760" s="75"/>
      <c r="O760" s="75"/>
      <c r="P760" s="75"/>
      <c r="Q760" s="75"/>
      <c r="R760" s="75"/>
      <c r="S760" s="75"/>
      <c r="T760" s="75"/>
      <c r="U760" s="75"/>
      <c r="V760" s="75"/>
      <c r="W760" s="75"/>
      <c r="X760" s="75"/>
      <c r="Y760" s="75"/>
      <c r="Z760" s="75"/>
    </row>
    <row r="761">
      <c r="A761" s="91">
        <v>18326.0</v>
      </c>
      <c r="B761" s="90" t="s">
        <v>2464</v>
      </c>
      <c r="C761" s="91">
        <v>2019.0</v>
      </c>
      <c r="D761" s="90" t="s">
        <v>927</v>
      </c>
      <c r="E761" s="90" t="s">
        <v>2462</v>
      </c>
      <c r="F761" s="101" t="s">
        <v>2465</v>
      </c>
      <c r="G761" s="93">
        <v>46202.0</v>
      </c>
      <c r="H761" s="94">
        <f t="shared" si="5"/>
        <v>15</v>
      </c>
      <c r="I761" s="95" t="s">
        <v>2446</v>
      </c>
      <c r="J761" s="96">
        <v>46217.0</v>
      </c>
      <c r="K761" s="95" t="s">
        <v>24</v>
      </c>
      <c r="L761" s="95">
        <v>63845.0</v>
      </c>
      <c r="M761" s="98"/>
      <c r="N761" s="98"/>
      <c r="O761" s="98"/>
      <c r="P761" s="98"/>
      <c r="Q761" s="98"/>
      <c r="R761" s="98"/>
      <c r="S761" s="98"/>
      <c r="T761" s="98"/>
      <c r="U761" s="98"/>
      <c r="V761" s="98"/>
      <c r="W761" s="98"/>
      <c r="X761" s="98"/>
      <c r="Y761" s="98"/>
      <c r="Z761" s="98"/>
    </row>
    <row r="762">
      <c r="A762" s="69">
        <v>18327.0</v>
      </c>
      <c r="B762" s="68" t="s">
        <v>2466</v>
      </c>
      <c r="C762" s="69">
        <v>2019.0</v>
      </c>
      <c r="D762" s="68" t="s">
        <v>1076</v>
      </c>
      <c r="E762" s="68" t="s">
        <v>2467</v>
      </c>
      <c r="F762" s="70" t="s">
        <v>2468</v>
      </c>
      <c r="G762" s="71">
        <v>46203.0</v>
      </c>
      <c r="H762" s="72">
        <f t="shared" si="5"/>
        <v>1</v>
      </c>
      <c r="I762" s="73" t="s">
        <v>2469</v>
      </c>
      <c r="J762" s="74">
        <v>46204.0</v>
      </c>
      <c r="K762" s="73" t="s">
        <v>24</v>
      </c>
      <c r="L762" s="73">
        <v>20520.0</v>
      </c>
      <c r="M762" s="75"/>
      <c r="N762" s="75"/>
      <c r="O762" s="75"/>
      <c r="P762" s="75"/>
      <c r="Q762" s="75"/>
      <c r="R762" s="75"/>
      <c r="S762" s="75"/>
      <c r="T762" s="75"/>
      <c r="U762" s="75"/>
      <c r="V762" s="75"/>
      <c r="W762" s="75"/>
      <c r="X762" s="75"/>
      <c r="Y762" s="75"/>
      <c r="Z762" s="75"/>
    </row>
    <row r="763">
      <c r="A763" s="91">
        <v>18329.0</v>
      </c>
      <c r="B763" s="90" t="s">
        <v>2470</v>
      </c>
      <c r="C763" s="91">
        <v>2011.0</v>
      </c>
      <c r="D763" s="90" t="s">
        <v>1147</v>
      </c>
      <c r="E763" s="90" t="s">
        <v>2471</v>
      </c>
      <c r="F763" s="101" t="s">
        <v>2472</v>
      </c>
      <c r="G763" s="93">
        <v>46203.0</v>
      </c>
      <c r="H763" s="94">
        <f t="shared" si="5"/>
        <v>22</v>
      </c>
      <c r="I763" s="95" t="s">
        <v>2473</v>
      </c>
      <c r="J763" s="98"/>
      <c r="K763" s="95" t="s">
        <v>248</v>
      </c>
      <c r="L763" s="95">
        <v>12560.0</v>
      </c>
      <c r="M763" s="98"/>
      <c r="N763" s="98"/>
      <c r="O763" s="98"/>
      <c r="P763" s="98"/>
      <c r="Q763" s="98"/>
      <c r="R763" s="98"/>
      <c r="S763" s="98"/>
      <c r="T763" s="98"/>
      <c r="U763" s="98"/>
      <c r="V763" s="98"/>
      <c r="W763" s="98"/>
      <c r="X763" s="98"/>
      <c r="Y763" s="98"/>
      <c r="Z763" s="98"/>
    </row>
    <row r="764">
      <c r="A764" s="69">
        <v>18332.0</v>
      </c>
      <c r="B764" s="68" t="s">
        <v>2474</v>
      </c>
      <c r="C764" s="69">
        <v>2021.0</v>
      </c>
      <c r="D764" s="68" t="s">
        <v>724</v>
      </c>
      <c r="E764" s="68" t="s">
        <v>2475</v>
      </c>
      <c r="F764" s="70" t="s">
        <v>2476</v>
      </c>
      <c r="G764" s="71">
        <v>46204.0</v>
      </c>
      <c r="H764" s="72">
        <f t="shared" si="5"/>
        <v>0</v>
      </c>
      <c r="I764" s="73" t="s">
        <v>2477</v>
      </c>
      <c r="J764" s="74">
        <v>46204.0</v>
      </c>
      <c r="K764" s="73" t="s">
        <v>721</v>
      </c>
      <c r="L764" s="73">
        <v>69275.0</v>
      </c>
      <c r="M764" s="75"/>
      <c r="N764" s="75"/>
      <c r="O764" s="75"/>
      <c r="P764" s="75"/>
      <c r="Q764" s="75"/>
      <c r="R764" s="75"/>
      <c r="S764" s="75"/>
      <c r="T764" s="75"/>
      <c r="U764" s="75"/>
      <c r="V764" s="75"/>
      <c r="W764" s="75"/>
      <c r="X764" s="75"/>
      <c r="Y764" s="75"/>
      <c r="Z764" s="75"/>
    </row>
    <row r="765">
      <c r="A765" s="91">
        <v>18336.0</v>
      </c>
      <c r="B765" s="90" t="s">
        <v>2478</v>
      </c>
      <c r="C765" s="91">
        <v>2017.0</v>
      </c>
      <c r="D765" s="90" t="s">
        <v>182</v>
      </c>
      <c r="E765" s="90" t="s">
        <v>70</v>
      </c>
      <c r="F765" s="101" t="s">
        <v>2479</v>
      </c>
      <c r="G765" s="93">
        <v>46204.0</v>
      </c>
      <c r="H765" s="94">
        <f t="shared" si="5"/>
        <v>14</v>
      </c>
      <c r="I765" s="95" t="s">
        <v>2480</v>
      </c>
      <c r="J765" s="96">
        <v>46218.0</v>
      </c>
      <c r="K765" s="95" t="s">
        <v>2481</v>
      </c>
      <c r="L765" s="95">
        <v>132052.0</v>
      </c>
      <c r="M765" s="98"/>
      <c r="N765" s="98"/>
      <c r="O765" s="98"/>
      <c r="P765" s="98"/>
      <c r="Q765" s="98"/>
      <c r="R765" s="98"/>
      <c r="S765" s="98"/>
      <c r="T765" s="98"/>
      <c r="U765" s="98"/>
      <c r="V765" s="98"/>
      <c r="W765" s="98"/>
      <c r="X765" s="98"/>
      <c r="Y765" s="98"/>
      <c r="Z765" s="98"/>
    </row>
    <row r="766">
      <c r="A766" s="69">
        <v>18339.0</v>
      </c>
      <c r="B766" s="68" t="s">
        <v>2482</v>
      </c>
      <c r="C766" s="69">
        <v>2018.0</v>
      </c>
      <c r="D766" s="68" t="s">
        <v>911</v>
      </c>
      <c r="E766" s="68" t="s">
        <v>1425</v>
      </c>
      <c r="F766" s="70" t="s">
        <v>2483</v>
      </c>
      <c r="G766" s="71">
        <v>46205.0</v>
      </c>
      <c r="H766" s="72">
        <f t="shared" si="5"/>
        <v>12</v>
      </c>
      <c r="I766" s="73" t="s">
        <v>2446</v>
      </c>
      <c r="J766" s="74">
        <v>46217.0</v>
      </c>
      <c r="K766" s="73" t="s">
        <v>721</v>
      </c>
      <c r="L766" s="73">
        <v>111236.0</v>
      </c>
      <c r="M766" s="75"/>
      <c r="N766" s="75"/>
      <c r="O766" s="75"/>
      <c r="P766" s="75"/>
      <c r="Q766" s="75"/>
      <c r="R766" s="75"/>
      <c r="S766" s="75"/>
      <c r="T766" s="75"/>
      <c r="U766" s="75"/>
      <c r="V766" s="75"/>
      <c r="W766" s="75"/>
      <c r="X766" s="75"/>
      <c r="Y766" s="75"/>
      <c r="Z766" s="75"/>
    </row>
    <row r="767">
      <c r="A767" s="89">
        <v>18342.0</v>
      </c>
      <c r="B767" s="90" t="s">
        <v>2484</v>
      </c>
      <c r="C767" s="91">
        <v>2020.0</v>
      </c>
      <c r="D767" s="90" t="s">
        <v>629</v>
      </c>
      <c r="E767" s="90" t="s">
        <v>2485</v>
      </c>
      <c r="F767" s="101" t="s">
        <v>2486</v>
      </c>
      <c r="G767" s="93">
        <v>46205.0</v>
      </c>
      <c r="H767" s="94">
        <f t="shared" si="5"/>
        <v>5</v>
      </c>
      <c r="I767" s="95" t="s">
        <v>2487</v>
      </c>
      <c r="J767" s="96">
        <v>46210.0</v>
      </c>
      <c r="K767" s="95" t="s">
        <v>2488</v>
      </c>
      <c r="L767" s="95">
        <v>130722.0</v>
      </c>
      <c r="M767" s="98"/>
      <c r="N767" s="98"/>
      <c r="O767" s="98"/>
      <c r="P767" s="98"/>
      <c r="Q767" s="98"/>
      <c r="R767" s="98"/>
      <c r="S767" s="98"/>
      <c r="T767" s="98"/>
      <c r="U767" s="98"/>
      <c r="V767" s="98"/>
      <c r="W767" s="98"/>
      <c r="X767" s="98"/>
      <c r="Y767" s="98"/>
      <c r="Z767" s="98"/>
    </row>
    <row r="768">
      <c r="A768" s="69">
        <v>18389.0</v>
      </c>
      <c r="B768" s="68" t="s">
        <v>2489</v>
      </c>
      <c r="C768" s="69">
        <v>2021.0</v>
      </c>
      <c r="D768" s="68" t="s">
        <v>292</v>
      </c>
      <c r="E768" s="68" t="s">
        <v>2490</v>
      </c>
      <c r="F768" s="70">
        <v>91229.0</v>
      </c>
      <c r="G768" s="71">
        <v>46217.0</v>
      </c>
      <c r="H768" s="72">
        <f t="shared" si="5"/>
        <v>6</v>
      </c>
      <c r="I768" s="73" t="s">
        <v>2491</v>
      </c>
      <c r="J768" s="74">
        <v>46223.0</v>
      </c>
      <c r="K768" s="73" t="s">
        <v>721</v>
      </c>
      <c r="L768" s="73">
        <v>78668.0</v>
      </c>
      <c r="M768" s="75"/>
      <c r="N768" s="75"/>
      <c r="O768" s="75"/>
      <c r="P768" s="75"/>
      <c r="Q768" s="75"/>
      <c r="R768" s="75"/>
      <c r="S768" s="75"/>
      <c r="T768" s="75"/>
      <c r="U768" s="75"/>
      <c r="V768" s="75"/>
      <c r="W768" s="75"/>
      <c r="X768" s="75"/>
      <c r="Y768" s="75"/>
      <c r="Z768" s="75"/>
    </row>
    <row r="769">
      <c r="A769" s="91">
        <v>18346.0</v>
      </c>
      <c r="B769" s="90" t="s">
        <v>2492</v>
      </c>
      <c r="C769" s="91">
        <v>2019.0</v>
      </c>
      <c r="D769" s="90" t="s">
        <v>2493</v>
      </c>
      <c r="E769" s="90" t="s">
        <v>212</v>
      </c>
      <c r="F769" s="101" t="s">
        <v>2494</v>
      </c>
      <c r="G769" s="93">
        <v>46206.0</v>
      </c>
      <c r="H769" s="94">
        <f t="shared" si="5"/>
        <v>18</v>
      </c>
      <c r="I769" s="95" t="s">
        <v>1723</v>
      </c>
      <c r="J769" s="96">
        <v>46224.0</v>
      </c>
      <c r="K769" s="95" t="s">
        <v>721</v>
      </c>
      <c r="L769" s="95">
        <v>25743.0</v>
      </c>
      <c r="M769" s="98"/>
      <c r="N769" s="98"/>
      <c r="O769" s="98"/>
      <c r="P769" s="98"/>
      <c r="Q769" s="98"/>
      <c r="R769" s="98"/>
      <c r="S769" s="98"/>
      <c r="T769" s="98"/>
      <c r="U769" s="98"/>
      <c r="V769" s="98"/>
      <c r="W769" s="98"/>
      <c r="X769" s="98"/>
      <c r="Y769" s="98"/>
      <c r="Z769" s="98"/>
    </row>
    <row r="770">
      <c r="A770" s="69">
        <v>18347.0</v>
      </c>
      <c r="B770" s="68" t="s">
        <v>2495</v>
      </c>
      <c r="C770" s="69">
        <v>2022.0</v>
      </c>
      <c r="D770" s="68" t="s">
        <v>1270</v>
      </c>
      <c r="E770" s="68" t="s">
        <v>212</v>
      </c>
      <c r="F770" s="70" t="s">
        <v>2496</v>
      </c>
      <c r="G770" s="71">
        <v>46206.0</v>
      </c>
      <c r="H770" s="72">
        <f t="shared" si="5"/>
        <v>17</v>
      </c>
      <c r="I770" s="73" t="s">
        <v>2497</v>
      </c>
      <c r="J770" s="74">
        <v>46223.0</v>
      </c>
      <c r="K770" s="73" t="s">
        <v>721</v>
      </c>
      <c r="L770" s="73">
        <v>13700.0</v>
      </c>
      <c r="M770" s="75"/>
      <c r="N770" s="75"/>
      <c r="O770" s="75"/>
      <c r="P770" s="75"/>
      <c r="Q770" s="75"/>
      <c r="R770" s="75"/>
      <c r="S770" s="75"/>
      <c r="T770" s="75"/>
      <c r="U770" s="75"/>
      <c r="V770" s="75"/>
      <c r="W770" s="75"/>
      <c r="X770" s="75"/>
      <c r="Y770" s="75"/>
      <c r="Z770" s="75"/>
    </row>
    <row r="771">
      <c r="A771" s="91">
        <v>18348.0</v>
      </c>
      <c r="B771" s="90" t="s">
        <v>2498</v>
      </c>
      <c r="C771" s="91">
        <v>2026.0</v>
      </c>
      <c r="D771" s="90" t="s">
        <v>1635</v>
      </c>
      <c r="E771" s="90" t="s">
        <v>125</v>
      </c>
      <c r="F771" s="101" t="s">
        <v>989</v>
      </c>
      <c r="G771" s="93">
        <v>46206.0</v>
      </c>
      <c r="H771" s="94">
        <f t="shared" si="5"/>
        <v>11</v>
      </c>
      <c r="I771" s="95" t="s">
        <v>1870</v>
      </c>
      <c r="J771" s="96">
        <v>46217.0</v>
      </c>
      <c r="K771" s="95" t="s">
        <v>721</v>
      </c>
      <c r="L771" s="95">
        <v>11.0</v>
      </c>
      <c r="M771" s="98"/>
      <c r="N771" s="98"/>
      <c r="O771" s="98"/>
      <c r="P771" s="98"/>
      <c r="Q771" s="98"/>
      <c r="R771" s="98"/>
      <c r="S771" s="98"/>
      <c r="T771" s="98"/>
      <c r="U771" s="98"/>
      <c r="V771" s="98"/>
      <c r="W771" s="98"/>
      <c r="X771" s="98"/>
      <c r="Y771" s="98"/>
      <c r="Z771" s="98"/>
    </row>
    <row r="772">
      <c r="A772" s="69">
        <v>18345.0</v>
      </c>
      <c r="B772" s="68" t="s">
        <v>2499</v>
      </c>
      <c r="C772" s="69">
        <v>2014.0</v>
      </c>
      <c r="D772" s="68" t="s">
        <v>2500</v>
      </c>
      <c r="E772" s="68" t="s">
        <v>1639</v>
      </c>
      <c r="F772" s="113">
        <v>46225.0</v>
      </c>
      <c r="G772" s="71">
        <v>46206.0</v>
      </c>
      <c r="H772" s="72">
        <f t="shared" si="5"/>
        <v>11</v>
      </c>
      <c r="I772" s="73" t="s">
        <v>2501</v>
      </c>
      <c r="J772" s="74">
        <v>46217.0</v>
      </c>
      <c r="K772" s="73" t="s">
        <v>114</v>
      </c>
      <c r="L772" s="73">
        <v>7250.0</v>
      </c>
      <c r="M772" s="75"/>
      <c r="N772" s="75"/>
      <c r="O772" s="75"/>
      <c r="P772" s="75"/>
      <c r="Q772" s="75"/>
      <c r="R772" s="75"/>
      <c r="S772" s="75"/>
      <c r="T772" s="75"/>
      <c r="U772" s="75"/>
      <c r="V772" s="75"/>
      <c r="W772" s="75"/>
      <c r="X772" s="75"/>
      <c r="Y772" s="75"/>
      <c r="Z772" s="75"/>
    </row>
    <row r="773">
      <c r="A773" s="91">
        <v>18351.0</v>
      </c>
      <c r="B773" s="90" t="s">
        <v>2502</v>
      </c>
      <c r="C773" s="91">
        <v>2020.0</v>
      </c>
      <c r="D773" s="90" t="s">
        <v>1163</v>
      </c>
      <c r="E773" s="90" t="s">
        <v>912</v>
      </c>
      <c r="F773" s="101" t="s">
        <v>2503</v>
      </c>
      <c r="G773" s="93">
        <v>46206.0</v>
      </c>
      <c r="H773" s="94">
        <f t="shared" si="5"/>
        <v>17</v>
      </c>
      <c r="I773" s="95" t="s">
        <v>2504</v>
      </c>
      <c r="J773" s="96">
        <v>46223.0</v>
      </c>
      <c r="K773" s="95" t="s">
        <v>102</v>
      </c>
      <c r="L773" s="95">
        <v>108262.0</v>
      </c>
      <c r="M773" s="98"/>
      <c r="N773" s="98"/>
      <c r="O773" s="98"/>
      <c r="P773" s="98"/>
      <c r="Q773" s="98"/>
      <c r="R773" s="98"/>
      <c r="S773" s="98"/>
      <c r="T773" s="98"/>
      <c r="U773" s="98"/>
      <c r="V773" s="98"/>
      <c r="W773" s="98"/>
      <c r="X773" s="98"/>
      <c r="Y773" s="98"/>
      <c r="Z773" s="98"/>
    </row>
    <row r="774">
      <c r="A774" s="69">
        <v>18352.0</v>
      </c>
      <c r="B774" s="68" t="s">
        <v>2505</v>
      </c>
      <c r="C774" s="69">
        <v>2018.0</v>
      </c>
      <c r="D774" s="68" t="s">
        <v>1163</v>
      </c>
      <c r="E774" s="68" t="s">
        <v>912</v>
      </c>
      <c r="F774" s="70" t="s">
        <v>2506</v>
      </c>
      <c r="G774" s="71">
        <v>46206.0</v>
      </c>
      <c r="H774" s="72">
        <f t="shared" si="5"/>
        <v>13</v>
      </c>
      <c r="I774" s="73" t="s">
        <v>2507</v>
      </c>
      <c r="J774" s="74">
        <v>46219.0</v>
      </c>
      <c r="K774" s="73" t="s">
        <v>2508</v>
      </c>
      <c r="L774" s="73">
        <v>93404.0</v>
      </c>
      <c r="M774" s="75"/>
      <c r="N774" s="75"/>
      <c r="O774" s="75"/>
      <c r="P774" s="75"/>
      <c r="Q774" s="75"/>
      <c r="R774" s="75"/>
      <c r="S774" s="75"/>
      <c r="T774" s="75"/>
      <c r="U774" s="75"/>
      <c r="V774" s="75"/>
      <c r="W774" s="75"/>
      <c r="X774" s="75"/>
      <c r="Y774" s="75"/>
      <c r="Z774" s="75"/>
    </row>
    <row r="775">
      <c r="A775" s="91">
        <v>18360.0</v>
      </c>
      <c r="B775" s="90" t="s">
        <v>2509</v>
      </c>
      <c r="C775" s="91">
        <v>2021.0</v>
      </c>
      <c r="D775" s="90" t="s">
        <v>1270</v>
      </c>
      <c r="E775" s="90" t="s">
        <v>307</v>
      </c>
      <c r="F775" s="101" t="s">
        <v>2510</v>
      </c>
      <c r="G775" s="93">
        <v>46209.0</v>
      </c>
      <c r="H775" s="94">
        <f t="shared" si="5"/>
        <v>16</v>
      </c>
      <c r="I775" s="95" t="s">
        <v>2511</v>
      </c>
      <c r="J775" s="98"/>
      <c r="K775" s="95" t="s">
        <v>37</v>
      </c>
      <c r="L775" s="95">
        <v>15956.0</v>
      </c>
      <c r="M775" s="98"/>
      <c r="N775" s="98"/>
      <c r="O775" s="98"/>
      <c r="P775" s="98"/>
      <c r="Q775" s="98"/>
      <c r="R775" s="98"/>
      <c r="S775" s="98"/>
      <c r="T775" s="98"/>
      <c r="U775" s="98"/>
      <c r="V775" s="98"/>
      <c r="W775" s="98"/>
      <c r="X775" s="98"/>
      <c r="Y775" s="98"/>
      <c r="Z775" s="98"/>
    </row>
    <row r="776">
      <c r="A776" s="69">
        <v>18362.0</v>
      </c>
      <c r="B776" s="68" t="s">
        <v>2512</v>
      </c>
      <c r="C776" s="69">
        <v>2022.0</v>
      </c>
      <c r="D776" s="68" t="s">
        <v>1270</v>
      </c>
      <c r="E776" s="68" t="s">
        <v>2513</v>
      </c>
      <c r="F776" s="70" t="s">
        <v>2514</v>
      </c>
      <c r="G776" s="71">
        <v>46209.0</v>
      </c>
      <c r="H776" s="72">
        <f t="shared" si="5"/>
        <v>7</v>
      </c>
      <c r="I776" s="73" t="s">
        <v>2515</v>
      </c>
      <c r="J776" s="74">
        <v>46216.0</v>
      </c>
      <c r="K776" s="73" t="s">
        <v>721</v>
      </c>
      <c r="L776" s="73">
        <v>12984.0</v>
      </c>
      <c r="M776" s="75"/>
      <c r="N776" s="75"/>
      <c r="O776" s="75"/>
      <c r="P776" s="75"/>
      <c r="Q776" s="75"/>
      <c r="R776" s="75"/>
      <c r="S776" s="75"/>
      <c r="T776" s="75"/>
      <c r="U776" s="75"/>
      <c r="V776" s="75"/>
      <c r="W776" s="75"/>
      <c r="X776" s="75"/>
      <c r="Y776" s="75"/>
      <c r="Z776" s="75"/>
    </row>
    <row r="777">
      <c r="A777" s="91">
        <v>18363.0</v>
      </c>
      <c r="B777" s="90" t="s">
        <v>2516</v>
      </c>
      <c r="C777" s="91">
        <v>2022.0</v>
      </c>
      <c r="D777" s="90" t="s">
        <v>1270</v>
      </c>
      <c r="E777" s="90" t="s">
        <v>2513</v>
      </c>
      <c r="F777" s="101" t="s">
        <v>2517</v>
      </c>
      <c r="G777" s="93">
        <v>46209.0</v>
      </c>
      <c r="H777" s="94">
        <f t="shared" si="5"/>
        <v>7</v>
      </c>
      <c r="I777" s="95" t="s">
        <v>1806</v>
      </c>
      <c r="J777" s="96">
        <v>46216.0</v>
      </c>
      <c r="K777" s="95" t="s">
        <v>721</v>
      </c>
      <c r="L777" s="95">
        <v>9696.0</v>
      </c>
      <c r="M777" s="98"/>
      <c r="N777" s="98"/>
      <c r="O777" s="98"/>
      <c r="P777" s="98"/>
      <c r="Q777" s="98"/>
      <c r="R777" s="98"/>
      <c r="S777" s="98"/>
      <c r="T777" s="98"/>
      <c r="U777" s="98"/>
      <c r="V777" s="98"/>
      <c r="W777" s="98"/>
      <c r="X777" s="98"/>
      <c r="Y777" s="98"/>
      <c r="Z777" s="98"/>
    </row>
    <row r="778">
      <c r="A778" s="69">
        <v>18364.0</v>
      </c>
      <c r="B778" s="68" t="s">
        <v>2518</v>
      </c>
      <c r="C778" s="69">
        <v>2022.0</v>
      </c>
      <c r="D778" s="68" t="s">
        <v>718</v>
      </c>
      <c r="E778" s="68" t="s">
        <v>418</v>
      </c>
      <c r="F778" s="70" t="s">
        <v>2519</v>
      </c>
      <c r="G778" s="71">
        <v>46209.0</v>
      </c>
      <c r="H778" s="72">
        <f t="shared" si="5"/>
        <v>8</v>
      </c>
      <c r="I778" s="73" t="s">
        <v>2520</v>
      </c>
      <c r="J778" s="74">
        <v>46217.0</v>
      </c>
      <c r="K778" s="73" t="s">
        <v>102</v>
      </c>
      <c r="L778" s="73">
        <v>35778.0</v>
      </c>
      <c r="M778" s="75"/>
      <c r="N778" s="75"/>
      <c r="O778" s="75"/>
      <c r="P778" s="75"/>
      <c r="Q778" s="75"/>
      <c r="R778" s="75"/>
      <c r="S778" s="75"/>
      <c r="T778" s="75"/>
      <c r="U778" s="75"/>
      <c r="V778" s="75"/>
      <c r="W778" s="75"/>
      <c r="X778" s="75"/>
      <c r="Y778" s="75"/>
      <c r="Z778" s="75"/>
    </row>
    <row r="779">
      <c r="A779" s="91">
        <v>18365.0</v>
      </c>
      <c r="B779" s="90" t="s">
        <v>2521</v>
      </c>
      <c r="C779" s="91">
        <v>2015.0</v>
      </c>
      <c r="D779" s="90" t="s">
        <v>182</v>
      </c>
      <c r="E779" s="90" t="s">
        <v>2029</v>
      </c>
      <c r="F779" s="101" t="s">
        <v>2522</v>
      </c>
      <c r="G779" s="93">
        <v>46209.0</v>
      </c>
      <c r="H779" s="94">
        <f t="shared" si="5"/>
        <v>11</v>
      </c>
      <c r="I779" s="95" t="s">
        <v>2523</v>
      </c>
      <c r="J779" s="96">
        <v>46220.0</v>
      </c>
      <c r="K779" s="95" t="s">
        <v>114</v>
      </c>
      <c r="L779" s="95">
        <v>296519.0</v>
      </c>
      <c r="M779" s="98"/>
      <c r="N779" s="98"/>
      <c r="O779" s="98"/>
      <c r="P779" s="98"/>
      <c r="Q779" s="98"/>
      <c r="R779" s="98"/>
      <c r="S779" s="98"/>
      <c r="T779" s="98"/>
      <c r="U779" s="98"/>
      <c r="V779" s="98"/>
      <c r="W779" s="98"/>
      <c r="X779" s="98"/>
      <c r="Y779" s="98"/>
      <c r="Z779" s="98"/>
    </row>
    <row r="780">
      <c r="A780" s="69">
        <v>18371.0</v>
      </c>
      <c r="B780" s="68" t="s">
        <v>2524</v>
      </c>
      <c r="C780" s="69">
        <v>2011.0</v>
      </c>
      <c r="D780" s="68" t="s">
        <v>1446</v>
      </c>
      <c r="E780" s="68" t="s">
        <v>70</v>
      </c>
      <c r="F780" s="70" t="s">
        <v>2525</v>
      </c>
      <c r="G780" s="71">
        <v>46211.0</v>
      </c>
      <c r="H780" s="72">
        <f t="shared" si="5"/>
        <v>0</v>
      </c>
      <c r="I780" s="73" t="s">
        <v>2526</v>
      </c>
      <c r="J780" s="74">
        <v>46211.0</v>
      </c>
      <c r="K780" s="73" t="s">
        <v>24</v>
      </c>
      <c r="L780" s="73">
        <v>79430.0</v>
      </c>
      <c r="M780" s="75"/>
      <c r="N780" s="75"/>
      <c r="O780" s="75"/>
      <c r="P780" s="75"/>
      <c r="Q780" s="75"/>
      <c r="R780" s="75"/>
      <c r="S780" s="75"/>
      <c r="T780" s="75"/>
      <c r="U780" s="75"/>
      <c r="V780" s="75"/>
      <c r="W780" s="75"/>
      <c r="X780" s="75"/>
      <c r="Y780" s="75"/>
      <c r="Z780" s="75"/>
    </row>
    <row r="781">
      <c r="A781" s="91">
        <v>18380.0</v>
      </c>
      <c r="B781" s="90" t="s">
        <v>2527</v>
      </c>
      <c r="C781" s="91">
        <v>2023.0</v>
      </c>
      <c r="D781" s="90" t="s">
        <v>1361</v>
      </c>
      <c r="E781" s="90" t="s">
        <v>1339</v>
      </c>
      <c r="F781" s="101" t="s">
        <v>2528</v>
      </c>
      <c r="G781" s="93">
        <v>46213.0</v>
      </c>
      <c r="H781" s="94">
        <f t="shared" si="5"/>
        <v>5</v>
      </c>
      <c r="I781" s="95" t="s">
        <v>2529</v>
      </c>
      <c r="J781" s="96">
        <v>46218.0</v>
      </c>
      <c r="K781" s="95" t="s">
        <v>721</v>
      </c>
      <c r="L781" s="95">
        <v>20594.0</v>
      </c>
      <c r="M781" s="98"/>
      <c r="N781" s="98"/>
      <c r="O781" s="98"/>
      <c r="P781" s="98"/>
      <c r="Q781" s="98"/>
      <c r="R781" s="98"/>
      <c r="S781" s="98"/>
      <c r="T781" s="98"/>
      <c r="U781" s="98"/>
      <c r="V781" s="98"/>
      <c r="W781" s="98"/>
      <c r="X781" s="98"/>
      <c r="Y781" s="98"/>
      <c r="Z781" s="98"/>
    </row>
    <row r="782">
      <c r="A782" s="69">
        <v>18384.0</v>
      </c>
      <c r="B782" s="68" t="s">
        <v>2530</v>
      </c>
      <c r="C782" s="69">
        <v>2021.0</v>
      </c>
      <c r="D782" s="68" t="s">
        <v>1147</v>
      </c>
      <c r="E782" s="68" t="s">
        <v>2531</v>
      </c>
      <c r="F782" s="70" t="s">
        <v>2532</v>
      </c>
      <c r="G782" s="71">
        <v>46217.0</v>
      </c>
      <c r="H782" s="72">
        <f t="shared" si="5"/>
        <v>6</v>
      </c>
      <c r="I782" s="73" t="s">
        <v>2533</v>
      </c>
      <c r="J782" s="74">
        <v>46223.0</v>
      </c>
      <c r="K782" s="73" t="s">
        <v>721</v>
      </c>
      <c r="L782" s="73">
        <v>85297.0</v>
      </c>
      <c r="M782" s="75"/>
      <c r="N782" s="75"/>
      <c r="O782" s="75"/>
      <c r="P782" s="75"/>
      <c r="Q782" s="75"/>
      <c r="R782" s="75"/>
      <c r="S782" s="75"/>
      <c r="T782" s="75"/>
      <c r="U782" s="75"/>
      <c r="V782" s="75"/>
      <c r="W782" s="75"/>
      <c r="X782" s="75"/>
      <c r="Y782" s="75"/>
      <c r="Z782" s="75"/>
    </row>
    <row r="783">
      <c r="A783" s="91">
        <v>18386.0</v>
      </c>
      <c r="B783" s="90" t="s">
        <v>2534</v>
      </c>
      <c r="C783" s="91">
        <v>2022.0</v>
      </c>
      <c r="D783" s="90" t="s">
        <v>911</v>
      </c>
      <c r="E783" s="90" t="s">
        <v>257</v>
      </c>
      <c r="F783" s="101" t="s">
        <v>2535</v>
      </c>
      <c r="G783" s="93">
        <v>46217.0</v>
      </c>
      <c r="H783" s="94">
        <f t="shared" si="5"/>
        <v>6</v>
      </c>
      <c r="I783" s="95" t="s">
        <v>2536</v>
      </c>
      <c r="J783" s="96">
        <v>46223.0</v>
      </c>
      <c r="K783" s="95" t="s">
        <v>721</v>
      </c>
      <c r="L783" s="95">
        <v>51759.0</v>
      </c>
      <c r="M783" s="98"/>
      <c r="N783" s="98"/>
      <c r="O783" s="98"/>
      <c r="P783" s="98"/>
      <c r="Q783" s="98"/>
      <c r="R783" s="98"/>
      <c r="S783" s="98"/>
      <c r="T783" s="98"/>
      <c r="U783" s="98"/>
      <c r="V783" s="98"/>
      <c r="W783" s="98"/>
      <c r="X783" s="98"/>
      <c r="Y783" s="98"/>
      <c r="Z783" s="98"/>
    </row>
    <row r="784">
      <c r="A784" s="69">
        <v>18392.0</v>
      </c>
      <c r="B784" s="68" t="s">
        <v>2537</v>
      </c>
      <c r="C784" s="69">
        <v>2020.0</v>
      </c>
      <c r="D784" s="68" t="s">
        <v>292</v>
      </c>
      <c r="E784" s="68" t="s">
        <v>2538</v>
      </c>
      <c r="F784" s="70" t="s">
        <v>2538</v>
      </c>
      <c r="G784" s="71">
        <v>46218.0</v>
      </c>
      <c r="H784" s="72">
        <f t="shared" si="5"/>
        <v>0</v>
      </c>
      <c r="I784" s="73" t="s">
        <v>2539</v>
      </c>
      <c r="J784" s="74">
        <v>46218.0</v>
      </c>
      <c r="K784" s="73" t="s">
        <v>721</v>
      </c>
      <c r="L784" s="73">
        <v>65111.0</v>
      </c>
      <c r="M784" s="75"/>
      <c r="N784" s="75"/>
      <c r="O784" s="75"/>
      <c r="P784" s="75"/>
      <c r="Q784" s="75"/>
      <c r="R784" s="75"/>
      <c r="S784" s="75"/>
      <c r="T784" s="75"/>
      <c r="U784" s="75"/>
      <c r="V784" s="75"/>
      <c r="W784" s="75"/>
      <c r="X784" s="75"/>
      <c r="Y784" s="75"/>
      <c r="Z784" s="75"/>
    </row>
    <row r="785">
      <c r="A785" s="91">
        <v>18376.0</v>
      </c>
      <c r="B785" s="90" t="s">
        <v>2540</v>
      </c>
      <c r="C785" s="91">
        <v>2024.0</v>
      </c>
      <c r="D785" s="90" t="s">
        <v>1515</v>
      </c>
      <c r="E785" s="90" t="s">
        <v>70</v>
      </c>
      <c r="F785" s="102"/>
      <c r="G785" s="93">
        <v>46218.0</v>
      </c>
      <c r="H785" s="94">
        <f t="shared" si="5"/>
        <v>0</v>
      </c>
      <c r="I785" s="95" t="s">
        <v>2541</v>
      </c>
      <c r="J785" s="96">
        <v>46218.0</v>
      </c>
      <c r="K785" s="95" t="s">
        <v>24</v>
      </c>
      <c r="L785" s="95">
        <v>35063.0</v>
      </c>
      <c r="M785" s="98"/>
      <c r="N785" s="98"/>
      <c r="O785" s="98"/>
      <c r="P785" s="98"/>
      <c r="Q785" s="98"/>
      <c r="R785" s="98"/>
      <c r="S785" s="98"/>
      <c r="T785" s="98"/>
      <c r="U785" s="98"/>
      <c r="V785" s="98"/>
      <c r="W785" s="98"/>
      <c r="X785" s="98"/>
      <c r="Y785" s="98"/>
      <c r="Z785" s="98"/>
    </row>
    <row r="786">
      <c r="A786" s="69">
        <v>18396.0</v>
      </c>
      <c r="B786" s="68" t="s">
        <v>2542</v>
      </c>
      <c r="C786" s="69">
        <v>2015.0</v>
      </c>
      <c r="D786" s="68" t="s">
        <v>1597</v>
      </c>
      <c r="E786" s="68" t="s">
        <v>2543</v>
      </c>
      <c r="F786" s="70" t="s">
        <v>2544</v>
      </c>
      <c r="G786" s="71">
        <v>46218.0</v>
      </c>
      <c r="H786" s="72">
        <f t="shared" si="5"/>
        <v>7</v>
      </c>
      <c r="I786" s="73" t="s">
        <v>2511</v>
      </c>
      <c r="J786" s="75"/>
      <c r="K786" s="73" t="s">
        <v>37</v>
      </c>
      <c r="L786" s="73">
        <v>51227.0</v>
      </c>
      <c r="M786" s="75"/>
      <c r="N786" s="75"/>
      <c r="O786" s="75"/>
      <c r="P786" s="75"/>
      <c r="Q786" s="75"/>
      <c r="R786" s="75"/>
      <c r="S786" s="75"/>
      <c r="T786" s="75"/>
      <c r="U786" s="75"/>
      <c r="V786" s="75"/>
      <c r="W786" s="75"/>
      <c r="X786" s="75"/>
      <c r="Y786" s="75"/>
      <c r="Z786" s="75"/>
    </row>
    <row r="787">
      <c r="A787" s="91">
        <v>18397.0</v>
      </c>
      <c r="B787" s="90" t="s">
        <v>2545</v>
      </c>
      <c r="C787" s="91">
        <v>2021.0</v>
      </c>
      <c r="D787" s="90" t="s">
        <v>2546</v>
      </c>
      <c r="E787" s="90" t="s">
        <v>106</v>
      </c>
      <c r="F787" s="101" t="s">
        <v>2547</v>
      </c>
      <c r="G787" s="93">
        <v>46218.0</v>
      </c>
      <c r="H787" s="94">
        <f t="shared" si="5"/>
        <v>7</v>
      </c>
      <c r="I787" s="95" t="s">
        <v>2548</v>
      </c>
      <c r="J787" s="98"/>
      <c r="K787" s="95" t="s">
        <v>2549</v>
      </c>
      <c r="L787" s="95">
        <v>2611.0</v>
      </c>
      <c r="M787" s="98"/>
      <c r="N787" s="98"/>
      <c r="O787" s="98"/>
      <c r="P787" s="98"/>
      <c r="Q787" s="98"/>
      <c r="R787" s="98"/>
      <c r="S787" s="98"/>
      <c r="T787" s="98"/>
      <c r="U787" s="98"/>
      <c r="V787" s="98"/>
      <c r="W787" s="98"/>
      <c r="X787" s="98"/>
      <c r="Y787" s="98"/>
      <c r="Z787" s="98"/>
    </row>
    <row r="788">
      <c r="A788" s="69">
        <v>18399.0</v>
      </c>
      <c r="B788" s="68" t="s">
        <v>2550</v>
      </c>
      <c r="C788" s="69">
        <v>2019.0</v>
      </c>
      <c r="D788" s="68" t="s">
        <v>2551</v>
      </c>
      <c r="E788" s="68" t="s">
        <v>82</v>
      </c>
      <c r="F788" s="70" t="s">
        <v>2552</v>
      </c>
      <c r="G788" s="71">
        <v>46218.0</v>
      </c>
      <c r="H788" s="72">
        <f t="shared" si="5"/>
        <v>0</v>
      </c>
      <c r="I788" s="73" t="s">
        <v>496</v>
      </c>
      <c r="J788" s="74">
        <v>46218.0</v>
      </c>
      <c r="K788" s="73" t="s">
        <v>44</v>
      </c>
      <c r="L788" s="73">
        <v>132083.0</v>
      </c>
      <c r="M788" s="75"/>
      <c r="N788" s="75"/>
      <c r="O788" s="75"/>
      <c r="P788" s="75"/>
      <c r="Q788" s="75"/>
      <c r="R788" s="75"/>
      <c r="S788" s="75"/>
      <c r="T788" s="75"/>
      <c r="U788" s="75"/>
      <c r="V788" s="75"/>
      <c r="W788" s="75"/>
      <c r="X788" s="75"/>
      <c r="Y788" s="75"/>
      <c r="Z788" s="75"/>
    </row>
    <row r="789">
      <c r="A789" s="91">
        <v>18400.0</v>
      </c>
      <c r="B789" s="90" t="s">
        <v>2553</v>
      </c>
      <c r="C789" s="91">
        <v>2018.0</v>
      </c>
      <c r="D789" s="90" t="s">
        <v>182</v>
      </c>
      <c r="E789" s="90" t="s">
        <v>277</v>
      </c>
      <c r="F789" s="101" t="s">
        <v>2554</v>
      </c>
      <c r="G789" s="93">
        <v>46218.0</v>
      </c>
      <c r="H789" s="94">
        <f t="shared" si="5"/>
        <v>2</v>
      </c>
      <c r="I789" s="95" t="s">
        <v>2555</v>
      </c>
      <c r="J789" s="96">
        <v>46220.0</v>
      </c>
      <c r="K789" s="95" t="s">
        <v>44</v>
      </c>
      <c r="L789" s="95">
        <v>39797.0</v>
      </c>
      <c r="M789" s="98"/>
      <c r="N789" s="98"/>
      <c r="O789" s="98"/>
      <c r="P789" s="98"/>
      <c r="Q789" s="98"/>
      <c r="R789" s="98"/>
      <c r="S789" s="98"/>
      <c r="T789" s="98"/>
      <c r="U789" s="98"/>
      <c r="V789" s="98"/>
      <c r="W789" s="98"/>
      <c r="X789" s="98"/>
      <c r="Y789" s="98"/>
      <c r="Z789" s="98"/>
    </row>
    <row r="790">
      <c r="A790" s="69">
        <v>18401.0</v>
      </c>
      <c r="B790" s="68" t="s">
        <v>2556</v>
      </c>
      <c r="C790" s="69">
        <v>2019.0</v>
      </c>
      <c r="D790" s="68" t="s">
        <v>182</v>
      </c>
      <c r="E790" s="68" t="s">
        <v>235</v>
      </c>
      <c r="F790" s="70" t="s">
        <v>2557</v>
      </c>
      <c r="G790" s="71">
        <v>46219.0</v>
      </c>
      <c r="H790" s="72">
        <f t="shared" si="5"/>
        <v>6</v>
      </c>
      <c r="I790" s="73" t="s">
        <v>2558</v>
      </c>
      <c r="J790" s="74">
        <v>46225.0</v>
      </c>
      <c r="K790" s="73" t="s">
        <v>44</v>
      </c>
      <c r="L790" s="73">
        <v>82990.0</v>
      </c>
      <c r="M790" s="75"/>
      <c r="N790" s="75"/>
      <c r="O790" s="75"/>
      <c r="P790" s="75"/>
      <c r="Q790" s="75"/>
      <c r="R790" s="75"/>
      <c r="S790" s="75"/>
      <c r="T790" s="75"/>
      <c r="U790" s="75"/>
      <c r="V790" s="75"/>
      <c r="W790" s="75"/>
      <c r="X790" s="75"/>
      <c r="Y790" s="75"/>
      <c r="Z790" s="75"/>
    </row>
    <row r="791">
      <c r="A791" s="91">
        <v>18404.0</v>
      </c>
      <c r="B791" s="90" t="s">
        <v>2559</v>
      </c>
      <c r="C791" s="91">
        <v>2015.0</v>
      </c>
      <c r="D791" s="90" t="s">
        <v>629</v>
      </c>
      <c r="E791" s="90" t="s">
        <v>699</v>
      </c>
      <c r="F791" s="101" t="s">
        <v>2560</v>
      </c>
      <c r="G791" s="93">
        <v>46219.0</v>
      </c>
      <c r="H791" s="94">
        <f t="shared" si="5"/>
        <v>6</v>
      </c>
      <c r="I791" s="95" t="s">
        <v>2561</v>
      </c>
      <c r="J791" s="98"/>
      <c r="K791" s="95" t="s">
        <v>66</v>
      </c>
      <c r="L791" s="95">
        <v>129112.0</v>
      </c>
      <c r="M791" s="98"/>
      <c r="N791" s="98"/>
      <c r="O791" s="98"/>
      <c r="P791" s="98"/>
      <c r="Q791" s="98"/>
      <c r="R791" s="98"/>
      <c r="S791" s="98"/>
      <c r="T791" s="98"/>
      <c r="U791" s="98"/>
      <c r="V791" s="98"/>
      <c r="W791" s="98"/>
      <c r="X791" s="98"/>
      <c r="Y791" s="98"/>
      <c r="Z791" s="98"/>
    </row>
    <row r="792">
      <c r="A792" s="69">
        <v>18406.0</v>
      </c>
      <c r="B792" s="68" t="s">
        <v>2562</v>
      </c>
      <c r="C792" s="69">
        <v>2022.0</v>
      </c>
      <c r="D792" s="68" t="s">
        <v>724</v>
      </c>
      <c r="E792" s="68" t="s">
        <v>307</v>
      </c>
      <c r="F792" s="70" t="s">
        <v>2563</v>
      </c>
      <c r="G792" s="71">
        <v>46219.0</v>
      </c>
      <c r="H792" s="72">
        <f t="shared" si="5"/>
        <v>1</v>
      </c>
      <c r="I792" s="73" t="s">
        <v>2446</v>
      </c>
      <c r="J792" s="74">
        <v>46220.0</v>
      </c>
      <c r="K792" s="73" t="s">
        <v>721</v>
      </c>
      <c r="L792" s="73">
        <v>45284.0</v>
      </c>
      <c r="M792" s="75"/>
      <c r="N792" s="75"/>
      <c r="O792" s="75"/>
      <c r="P792" s="75"/>
      <c r="Q792" s="75"/>
      <c r="R792" s="75"/>
      <c r="S792" s="75"/>
      <c r="T792" s="75"/>
      <c r="U792" s="75"/>
      <c r="V792" s="75"/>
      <c r="W792" s="75"/>
      <c r="X792" s="75"/>
      <c r="Y792" s="75"/>
      <c r="Z792" s="75"/>
    </row>
    <row r="793">
      <c r="A793" s="91">
        <v>18407.0</v>
      </c>
      <c r="B793" s="90" t="s">
        <v>2564</v>
      </c>
      <c r="C793" s="91">
        <v>2022.0</v>
      </c>
      <c r="D793" s="90" t="s">
        <v>1270</v>
      </c>
      <c r="E793" s="90" t="s">
        <v>1028</v>
      </c>
      <c r="F793" s="101" t="s">
        <v>2565</v>
      </c>
      <c r="G793" s="93">
        <v>46220.0</v>
      </c>
      <c r="H793" s="94">
        <f t="shared" si="5"/>
        <v>4</v>
      </c>
      <c r="I793" s="95" t="s">
        <v>1569</v>
      </c>
      <c r="J793" s="96">
        <v>46224.0</v>
      </c>
      <c r="K793" s="95" t="s">
        <v>721</v>
      </c>
      <c r="L793" s="95">
        <v>28531.0</v>
      </c>
      <c r="M793" s="98"/>
      <c r="N793" s="98"/>
      <c r="O793" s="98"/>
      <c r="P793" s="98"/>
      <c r="Q793" s="98"/>
      <c r="R793" s="98"/>
      <c r="S793" s="98"/>
      <c r="T793" s="98"/>
      <c r="U793" s="98"/>
      <c r="V793" s="98"/>
      <c r="W793" s="98"/>
      <c r="X793" s="98"/>
      <c r="Y793" s="98"/>
      <c r="Z793" s="98"/>
    </row>
    <row r="794">
      <c r="A794" s="69">
        <v>18411.0</v>
      </c>
      <c r="B794" s="68" t="s">
        <v>2566</v>
      </c>
      <c r="C794" s="69">
        <v>2022.0</v>
      </c>
      <c r="D794" s="68" t="s">
        <v>1319</v>
      </c>
      <c r="E794" s="68" t="s">
        <v>82</v>
      </c>
      <c r="F794" s="70" t="s">
        <v>2567</v>
      </c>
      <c r="G794" s="71">
        <v>46220.0</v>
      </c>
      <c r="H794" s="72">
        <f t="shared" si="5"/>
        <v>3</v>
      </c>
      <c r="I794" s="73" t="s">
        <v>2568</v>
      </c>
      <c r="J794" s="74">
        <v>46223.0</v>
      </c>
      <c r="K794" s="73" t="s">
        <v>102</v>
      </c>
      <c r="L794" s="73">
        <v>59755.0</v>
      </c>
      <c r="M794" s="75"/>
      <c r="N794" s="75"/>
      <c r="O794" s="75"/>
      <c r="P794" s="75"/>
      <c r="Q794" s="75"/>
      <c r="R794" s="75"/>
      <c r="S794" s="75"/>
      <c r="T794" s="75"/>
      <c r="U794" s="75"/>
      <c r="V794" s="75"/>
      <c r="W794" s="75"/>
      <c r="X794" s="75"/>
      <c r="Y794" s="75"/>
      <c r="Z794" s="75"/>
    </row>
    <row r="795">
      <c r="A795" s="91">
        <v>18414.0</v>
      </c>
      <c r="B795" s="90" t="s">
        <v>2569</v>
      </c>
      <c r="C795" s="91">
        <v>2022.0</v>
      </c>
      <c r="D795" s="90" t="s">
        <v>629</v>
      </c>
      <c r="E795" s="90" t="s">
        <v>2570</v>
      </c>
      <c r="F795" s="101">
        <v>93130.0</v>
      </c>
      <c r="G795" s="93">
        <v>46220.0</v>
      </c>
      <c r="H795" s="94">
        <f t="shared" si="5"/>
        <v>3</v>
      </c>
      <c r="I795" s="95" t="s">
        <v>2571</v>
      </c>
      <c r="J795" s="96">
        <v>46223.0</v>
      </c>
      <c r="K795" s="95" t="s">
        <v>102</v>
      </c>
      <c r="L795" s="95">
        <v>44006.0</v>
      </c>
      <c r="M795" s="98"/>
      <c r="N795" s="98"/>
      <c r="O795" s="98"/>
      <c r="P795" s="98"/>
      <c r="Q795" s="98"/>
      <c r="R795" s="98"/>
      <c r="S795" s="98"/>
      <c r="T795" s="98"/>
      <c r="U795" s="98"/>
      <c r="V795" s="98"/>
      <c r="W795" s="98"/>
      <c r="X795" s="98"/>
      <c r="Y795" s="98"/>
      <c r="Z795" s="98"/>
    </row>
    <row r="796">
      <c r="A796" s="69">
        <v>18416.0</v>
      </c>
      <c r="B796" s="68" t="s">
        <v>2572</v>
      </c>
      <c r="C796" s="69">
        <v>2022.0</v>
      </c>
      <c r="D796" s="68" t="s">
        <v>1270</v>
      </c>
      <c r="E796" s="68" t="s">
        <v>1845</v>
      </c>
      <c r="F796" s="70" t="s">
        <v>2573</v>
      </c>
      <c r="G796" s="71">
        <v>46223.0</v>
      </c>
      <c r="H796" s="72">
        <f t="shared" si="5"/>
        <v>2</v>
      </c>
      <c r="I796" s="73" t="s">
        <v>2511</v>
      </c>
      <c r="J796" s="75"/>
      <c r="K796" s="73" t="s">
        <v>37</v>
      </c>
      <c r="L796" s="73">
        <v>32418.0</v>
      </c>
      <c r="M796" s="75"/>
      <c r="N796" s="75"/>
      <c r="O796" s="75"/>
      <c r="P796" s="75"/>
      <c r="Q796" s="75"/>
      <c r="R796" s="75"/>
      <c r="S796" s="75"/>
      <c r="T796" s="75"/>
      <c r="U796" s="75"/>
      <c r="V796" s="75"/>
      <c r="W796" s="75"/>
      <c r="X796" s="75"/>
      <c r="Y796" s="75"/>
      <c r="Z796" s="75"/>
    </row>
    <row r="797">
      <c r="A797" s="91">
        <v>18421.0</v>
      </c>
      <c r="B797" s="90" t="s">
        <v>2574</v>
      </c>
      <c r="C797" s="91">
        <v>2016.0</v>
      </c>
      <c r="D797" s="90" t="s">
        <v>575</v>
      </c>
      <c r="E797" s="90" t="s">
        <v>303</v>
      </c>
      <c r="F797" s="101">
        <v>19226.0</v>
      </c>
      <c r="G797" s="93">
        <v>46223.0</v>
      </c>
      <c r="H797" s="94">
        <f t="shared" si="5"/>
        <v>0</v>
      </c>
      <c r="I797" s="95" t="s">
        <v>2575</v>
      </c>
      <c r="J797" s="96">
        <v>46223.0</v>
      </c>
      <c r="K797" s="95" t="s">
        <v>2576</v>
      </c>
      <c r="L797" s="95">
        <v>16227.0</v>
      </c>
      <c r="M797" s="98"/>
      <c r="N797" s="98"/>
      <c r="O797" s="98"/>
      <c r="P797" s="98"/>
      <c r="Q797" s="98"/>
      <c r="R797" s="98"/>
      <c r="S797" s="98"/>
      <c r="T797" s="98"/>
      <c r="U797" s="98"/>
      <c r="V797" s="98"/>
      <c r="W797" s="98"/>
      <c r="X797" s="98"/>
      <c r="Y797" s="98"/>
      <c r="Z797" s="98"/>
    </row>
    <row r="798">
      <c r="A798" s="69">
        <v>18420.0</v>
      </c>
      <c r="B798" s="68" t="s">
        <v>2577</v>
      </c>
      <c r="C798" s="69">
        <v>2016.0</v>
      </c>
      <c r="D798" s="68" t="s">
        <v>575</v>
      </c>
      <c r="E798" s="68" t="s">
        <v>303</v>
      </c>
      <c r="F798" s="70" t="s">
        <v>2578</v>
      </c>
      <c r="G798" s="71">
        <v>46223.0</v>
      </c>
      <c r="H798" s="72">
        <f t="shared" si="5"/>
        <v>2</v>
      </c>
      <c r="I798" s="73" t="s">
        <v>2579</v>
      </c>
      <c r="J798" s="75"/>
      <c r="K798" s="73" t="s">
        <v>17</v>
      </c>
      <c r="L798" s="73">
        <v>21785.0</v>
      </c>
      <c r="M798" s="75"/>
      <c r="N798" s="75"/>
      <c r="O798" s="75"/>
      <c r="P798" s="75"/>
      <c r="Q798" s="75"/>
      <c r="R798" s="75"/>
      <c r="S798" s="75"/>
      <c r="T798" s="75"/>
      <c r="U798" s="75"/>
      <c r="V798" s="75"/>
      <c r="W798" s="75"/>
      <c r="X798" s="75"/>
      <c r="Y798" s="75"/>
      <c r="Z798" s="75"/>
    </row>
    <row r="799">
      <c r="A799" s="91">
        <v>18418.0</v>
      </c>
      <c r="B799" s="90" t="s">
        <v>2580</v>
      </c>
      <c r="C799" s="91">
        <v>2016.0</v>
      </c>
      <c r="D799" s="90" t="s">
        <v>575</v>
      </c>
      <c r="E799" s="90" t="s">
        <v>2581</v>
      </c>
      <c r="F799" s="101" t="s">
        <v>2581</v>
      </c>
      <c r="G799" s="93">
        <v>46223.0</v>
      </c>
      <c r="H799" s="94">
        <f t="shared" si="5"/>
        <v>2</v>
      </c>
      <c r="I799" s="95" t="s">
        <v>2582</v>
      </c>
      <c r="J799" s="98"/>
      <c r="K799" s="95" t="s">
        <v>17</v>
      </c>
      <c r="L799" s="95">
        <v>8348.0</v>
      </c>
      <c r="M799" s="98"/>
      <c r="N799" s="98"/>
      <c r="O799" s="98"/>
      <c r="P799" s="98"/>
      <c r="Q799" s="98"/>
      <c r="R799" s="98"/>
      <c r="S799" s="98"/>
      <c r="T799" s="98"/>
      <c r="U799" s="98"/>
      <c r="V799" s="98"/>
      <c r="W799" s="98"/>
      <c r="X799" s="98"/>
      <c r="Y799" s="98"/>
      <c r="Z799" s="98"/>
    </row>
    <row r="800">
      <c r="A800" s="69">
        <v>18422.0</v>
      </c>
      <c r="B800" s="68" t="s">
        <v>2583</v>
      </c>
      <c r="C800" s="69">
        <v>2022.0</v>
      </c>
      <c r="D800" s="68" t="s">
        <v>718</v>
      </c>
      <c r="E800" s="68" t="s">
        <v>82</v>
      </c>
      <c r="F800" s="70" t="s">
        <v>2584</v>
      </c>
      <c r="G800" s="71">
        <v>46223.0</v>
      </c>
      <c r="H800" s="72">
        <f t="shared" si="5"/>
        <v>1</v>
      </c>
      <c r="I800" s="73" t="s">
        <v>2585</v>
      </c>
      <c r="J800" s="74">
        <v>46224.0</v>
      </c>
      <c r="K800" s="73" t="s">
        <v>44</v>
      </c>
      <c r="L800" s="73">
        <v>106202.0</v>
      </c>
      <c r="M800" s="75"/>
      <c r="N800" s="75"/>
      <c r="O800" s="75"/>
      <c r="P800" s="75"/>
      <c r="Q800" s="75"/>
      <c r="R800" s="75"/>
      <c r="S800" s="75"/>
      <c r="T800" s="75"/>
      <c r="U800" s="75"/>
      <c r="V800" s="75"/>
      <c r="W800" s="75"/>
      <c r="X800" s="75"/>
      <c r="Y800" s="75"/>
      <c r="Z800" s="75"/>
    </row>
    <row r="801">
      <c r="A801" s="91">
        <v>18424.0</v>
      </c>
      <c r="B801" s="90" t="s">
        <v>2586</v>
      </c>
      <c r="C801" s="91">
        <v>2023.0</v>
      </c>
      <c r="D801" s="90" t="s">
        <v>1361</v>
      </c>
      <c r="E801" s="90" t="s">
        <v>1339</v>
      </c>
      <c r="F801" s="101" t="s">
        <v>2587</v>
      </c>
      <c r="G801" s="93">
        <v>46223.0</v>
      </c>
      <c r="H801" s="94">
        <f t="shared" si="5"/>
        <v>2</v>
      </c>
      <c r="I801" s="95" t="s">
        <v>2511</v>
      </c>
      <c r="J801" s="98"/>
      <c r="K801" s="95" t="s">
        <v>37</v>
      </c>
      <c r="L801" s="95">
        <v>27858.0</v>
      </c>
      <c r="M801" s="98"/>
      <c r="N801" s="98"/>
      <c r="O801" s="98"/>
      <c r="P801" s="98"/>
      <c r="Q801" s="98"/>
      <c r="R801" s="98"/>
      <c r="S801" s="98"/>
      <c r="T801" s="98"/>
      <c r="U801" s="98"/>
      <c r="V801" s="98"/>
      <c r="W801" s="98"/>
      <c r="X801" s="98"/>
      <c r="Y801" s="98"/>
      <c r="Z801" s="98"/>
    </row>
    <row r="802">
      <c r="A802" s="69">
        <v>18428.0</v>
      </c>
      <c r="B802" s="68" t="s">
        <v>2588</v>
      </c>
      <c r="C802" s="69">
        <v>2016.0</v>
      </c>
      <c r="D802" s="68" t="s">
        <v>575</v>
      </c>
      <c r="E802" s="68" t="s">
        <v>303</v>
      </c>
      <c r="F802" s="70" t="s">
        <v>2589</v>
      </c>
      <c r="G802" s="71">
        <v>46223.0</v>
      </c>
      <c r="H802" s="72">
        <f t="shared" si="5"/>
        <v>2</v>
      </c>
      <c r="I802" s="73" t="s">
        <v>2590</v>
      </c>
      <c r="J802" s="75"/>
      <c r="K802" s="73" t="s">
        <v>17</v>
      </c>
      <c r="L802" s="73">
        <v>46245.0</v>
      </c>
      <c r="M802" s="75"/>
      <c r="N802" s="75"/>
      <c r="O802" s="75"/>
      <c r="P802" s="75"/>
      <c r="Q802" s="75"/>
      <c r="R802" s="75"/>
      <c r="S802" s="75"/>
      <c r="T802" s="75"/>
      <c r="U802" s="75"/>
      <c r="V802" s="75"/>
      <c r="W802" s="75"/>
      <c r="X802" s="75"/>
      <c r="Y802" s="75"/>
      <c r="Z802" s="75"/>
    </row>
    <row r="803">
      <c r="A803" s="91">
        <v>18427.0</v>
      </c>
      <c r="B803" s="90" t="s">
        <v>2591</v>
      </c>
      <c r="C803" s="91">
        <v>2016.0</v>
      </c>
      <c r="D803" s="90" t="s">
        <v>575</v>
      </c>
      <c r="E803" s="90" t="s">
        <v>303</v>
      </c>
      <c r="F803" s="101" t="s">
        <v>2592</v>
      </c>
      <c r="G803" s="93">
        <v>46223.0</v>
      </c>
      <c r="H803" s="94">
        <f t="shared" si="5"/>
        <v>2</v>
      </c>
      <c r="I803" s="95" t="s">
        <v>2593</v>
      </c>
      <c r="J803" s="98"/>
      <c r="K803" s="95" t="s">
        <v>17</v>
      </c>
      <c r="L803" s="95">
        <v>57946.0</v>
      </c>
      <c r="M803" s="98"/>
      <c r="N803" s="98"/>
      <c r="O803" s="98"/>
      <c r="P803" s="98"/>
      <c r="Q803" s="98"/>
      <c r="R803" s="98"/>
      <c r="S803" s="98"/>
      <c r="T803" s="98"/>
      <c r="U803" s="98"/>
      <c r="V803" s="98"/>
      <c r="W803" s="98"/>
      <c r="X803" s="98"/>
      <c r="Y803" s="98"/>
      <c r="Z803" s="98"/>
    </row>
    <row r="804">
      <c r="A804" s="69">
        <v>18426.0</v>
      </c>
      <c r="B804" s="68" t="s">
        <v>2594</v>
      </c>
      <c r="C804" s="69">
        <v>2016.0</v>
      </c>
      <c r="D804" s="68" t="s">
        <v>575</v>
      </c>
      <c r="E804" s="68" t="s">
        <v>303</v>
      </c>
      <c r="F804" s="70" t="s">
        <v>2595</v>
      </c>
      <c r="G804" s="71">
        <v>46223.0</v>
      </c>
      <c r="H804" s="72">
        <f t="shared" si="5"/>
        <v>2</v>
      </c>
      <c r="I804" s="73" t="s">
        <v>2596</v>
      </c>
      <c r="J804" s="75"/>
      <c r="K804" s="73" t="s">
        <v>17</v>
      </c>
      <c r="L804" s="73">
        <v>31509.0</v>
      </c>
      <c r="M804" s="75"/>
      <c r="N804" s="75"/>
      <c r="O804" s="75"/>
      <c r="P804" s="75"/>
      <c r="Q804" s="75"/>
      <c r="R804" s="75"/>
      <c r="S804" s="75"/>
      <c r="T804" s="75"/>
      <c r="U804" s="75"/>
      <c r="V804" s="75"/>
      <c r="W804" s="75"/>
      <c r="X804" s="75"/>
      <c r="Y804" s="75"/>
      <c r="Z804" s="75"/>
    </row>
    <row r="805">
      <c r="A805" s="91">
        <v>18425.0</v>
      </c>
      <c r="B805" s="90" t="s">
        <v>2597</v>
      </c>
      <c r="C805" s="91">
        <v>2015.0</v>
      </c>
      <c r="D805" s="90" t="s">
        <v>575</v>
      </c>
      <c r="E805" s="90" t="s">
        <v>303</v>
      </c>
      <c r="F805" s="101" t="s">
        <v>2598</v>
      </c>
      <c r="G805" s="93">
        <v>46223.0</v>
      </c>
      <c r="H805" s="94">
        <f t="shared" si="5"/>
        <v>2</v>
      </c>
      <c r="I805" s="95" t="s">
        <v>2599</v>
      </c>
      <c r="J805" s="98"/>
      <c r="K805" s="95" t="s">
        <v>17</v>
      </c>
      <c r="L805" s="95">
        <v>34410.0</v>
      </c>
      <c r="M805" s="98"/>
      <c r="N805" s="98"/>
      <c r="O805" s="98"/>
      <c r="P805" s="98"/>
      <c r="Q805" s="98"/>
      <c r="R805" s="98"/>
      <c r="S805" s="98"/>
      <c r="T805" s="98"/>
      <c r="U805" s="98"/>
      <c r="V805" s="98"/>
      <c r="W805" s="98"/>
      <c r="X805" s="98"/>
      <c r="Y805" s="98"/>
      <c r="Z805" s="98"/>
    </row>
    <row r="806">
      <c r="A806" s="69">
        <v>18429.0</v>
      </c>
      <c r="B806" s="68" t="s">
        <v>2600</v>
      </c>
      <c r="C806" s="69">
        <v>2019.0</v>
      </c>
      <c r="D806" s="68" t="s">
        <v>911</v>
      </c>
      <c r="E806" s="68" t="s">
        <v>359</v>
      </c>
      <c r="F806" s="70" t="s">
        <v>2601</v>
      </c>
      <c r="G806" s="71">
        <v>46223.0</v>
      </c>
      <c r="H806" s="72">
        <f t="shared" si="5"/>
        <v>2</v>
      </c>
      <c r="I806" s="73" t="s">
        <v>2446</v>
      </c>
      <c r="J806" s="74">
        <v>46225.0</v>
      </c>
      <c r="K806" s="73" t="s">
        <v>721</v>
      </c>
      <c r="L806" s="73">
        <v>76100.0</v>
      </c>
      <c r="M806" s="75"/>
      <c r="N806" s="75"/>
      <c r="O806" s="75"/>
      <c r="P806" s="75"/>
      <c r="Q806" s="75"/>
      <c r="R806" s="75"/>
      <c r="S806" s="75"/>
      <c r="T806" s="75"/>
      <c r="U806" s="75"/>
      <c r="V806" s="75"/>
      <c r="W806" s="75"/>
      <c r="X806" s="75"/>
      <c r="Y806" s="75"/>
      <c r="Z806" s="75"/>
    </row>
    <row r="807">
      <c r="A807" s="91">
        <v>18430.0</v>
      </c>
      <c r="B807" s="90" t="s">
        <v>2602</v>
      </c>
      <c r="C807" s="91">
        <v>2022.0</v>
      </c>
      <c r="D807" s="90" t="s">
        <v>292</v>
      </c>
      <c r="E807" s="90" t="s">
        <v>487</v>
      </c>
      <c r="F807" s="101" t="s">
        <v>2603</v>
      </c>
      <c r="G807" s="93">
        <v>46224.0</v>
      </c>
      <c r="H807" s="94">
        <f t="shared" si="5"/>
        <v>0</v>
      </c>
      <c r="I807" s="95" t="s">
        <v>2604</v>
      </c>
      <c r="J807" s="96">
        <v>46224.0</v>
      </c>
      <c r="K807" s="95" t="s">
        <v>721</v>
      </c>
      <c r="L807" s="95">
        <v>121528.0</v>
      </c>
      <c r="M807" s="98"/>
      <c r="N807" s="98"/>
      <c r="O807" s="98"/>
      <c r="P807" s="98"/>
      <c r="Q807" s="98"/>
      <c r="R807" s="98"/>
      <c r="S807" s="98"/>
      <c r="T807" s="98"/>
      <c r="U807" s="98"/>
      <c r="V807" s="98"/>
      <c r="W807" s="98"/>
      <c r="X807" s="98"/>
      <c r="Y807" s="98"/>
      <c r="Z807" s="98"/>
    </row>
    <row r="808">
      <c r="A808" s="69">
        <v>18431.0</v>
      </c>
      <c r="B808" s="68" t="s">
        <v>2605</v>
      </c>
      <c r="C808" s="69">
        <v>2020.0</v>
      </c>
      <c r="D808" s="68" t="s">
        <v>629</v>
      </c>
      <c r="E808" s="68" t="s">
        <v>2359</v>
      </c>
      <c r="F808" s="70" t="s">
        <v>2606</v>
      </c>
      <c r="G808" s="71">
        <v>46224.0</v>
      </c>
      <c r="H808" s="72">
        <f t="shared" si="5"/>
        <v>1</v>
      </c>
      <c r="I808" s="73" t="s">
        <v>2607</v>
      </c>
      <c r="J808" s="75"/>
      <c r="K808" s="73" t="s">
        <v>248</v>
      </c>
      <c r="L808" s="73">
        <v>30153.0</v>
      </c>
      <c r="M808" s="75"/>
      <c r="N808" s="75"/>
      <c r="O808" s="75"/>
      <c r="P808" s="75"/>
      <c r="Q808" s="75"/>
      <c r="R808" s="75"/>
      <c r="S808" s="75"/>
      <c r="T808" s="75"/>
      <c r="U808" s="75"/>
      <c r="V808" s="75"/>
      <c r="W808" s="75"/>
      <c r="X808" s="75"/>
      <c r="Y808" s="75"/>
      <c r="Z808" s="75"/>
    </row>
    <row r="809">
      <c r="A809" s="91">
        <v>18433.0</v>
      </c>
      <c r="B809" s="90" t="s">
        <v>2608</v>
      </c>
      <c r="C809" s="91">
        <v>2022.0</v>
      </c>
      <c r="D809" s="90" t="s">
        <v>1270</v>
      </c>
      <c r="E809" s="90" t="s">
        <v>212</v>
      </c>
      <c r="F809" s="101" t="s">
        <v>2609</v>
      </c>
      <c r="G809" s="93">
        <v>46224.0</v>
      </c>
      <c r="H809" s="94">
        <f t="shared" si="5"/>
        <v>1</v>
      </c>
      <c r="I809" s="95" t="s">
        <v>1583</v>
      </c>
      <c r="J809" s="98"/>
      <c r="K809" s="95" t="s">
        <v>248</v>
      </c>
      <c r="L809" s="95">
        <v>21464.0</v>
      </c>
      <c r="M809" s="98"/>
      <c r="N809" s="98"/>
      <c r="O809" s="98"/>
      <c r="P809" s="98"/>
      <c r="Q809" s="98"/>
      <c r="R809" s="98"/>
      <c r="S809" s="98"/>
      <c r="T809" s="98"/>
      <c r="U809" s="98"/>
      <c r="V809" s="98"/>
      <c r="W809" s="98"/>
      <c r="X809" s="98"/>
      <c r="Y809" s="98"/>
      <c r="Z809" s="98"/>
    </row>
    <row r="810">
      <c r="A810" s="69">
        <v>18436.0</v>
      </c>
      <c r="B810" s="68" t="s">
        <v>2610</v>
      </c>
      <c r="C810" s="69">
        <v>2022.0</v>
      </c>
      <c r="D810" s="68" t="s">
        <v>1270</v>
      </c>
      <c r="E810" s="68" t="s">
        <v>661</v>
      </c>
      <c r="F810" s="70" t="s">
        <v>2611</v>
      </c>
      <c r="G810" s="71">
        <v>46224.0</v>
      </c>
      <c r="H810" s="72">
        <f t="shared" si="5"/>
        <v>1</v>
      </c>
      <c r="I810" s="73" t="s">
        <v>1583</v>
      </c>
      <c r="J810" s="75"/>
      <c r="K810" s="73" t="s">
        <v>248</v>
      </c>
      <c r="L810" s="73">
        <v>1.0</v>
      </c>
      <c r="M810" s="75"/>
      <c r="N810" s="75"/>
      <c r="O810" s="75"/>
      <c r="P810" s="75"/>
      <c r="Q810" s="75"/>
      <c r="R810" s="75"/>
      <c r="S810" s="75"/>
      <c r="T810" s="75"/>
      <c r="U810" s="75"/>
      <c r="V810" s="75"/>
      <c r="W810" s="75"/>
      <c r="X810" s="75"/>
      <c r="Y810" s="75"/>
      <c r="Z810" s="75"/>
    </row>
    <row r="811">
      <c r="A811" s="91">
        <v>18434.0</v>
      </c>
      <c r="B811" s="90" t="s">
        <v>2612</v>
      </c>
      <c r="C811" s="91">
        <v>2022.0</v>
      </c>
      <c r="D811" s="90" t="s">
        <v>292</v>
      </c>
      <c r="E811" s="90" t="s">
        <v>2613</v>
      </c>
      <c r="F811" s="101" t="s">
        <v>2614</v>
      </c>
      <c r="G811" s="93">
        <v>46224.0</v>
      </c>
      <c r="H811" s="94">
        <f t="shared" si="5"/>
        <v>1</v>
      </c>
      <c r="I811" s="95" t="s">
        <v>2615</v>
      </c>
      <c r="J811" s="98"/>
      <c r="K811" s="95" t="s">
        <v>37</v>
      </c>
      <c r="L811" s="95">
        <v>110307.0</v>
      </c>
      <c r="M811" s="98"/>
      <c r="N811" s="98"/>
      <c r="O811" s="98"/>
      <c r="P811" s="98"/>
      <c r="Q811" s="98"/>
      <c r="R811" s="98"/>
      <c r="S811" s="98"/>
      <c r="T811" s="98"/>
      <c r="U811" s="98"/>
      <c r="V811" s="98"/>
      <c r="W811" s="98"/>
      <c r="X811" s="98"/>
      <c r="Y811" s="98"/>
      <c r="Z811" s="98"/>
    </row>
    <row r="812">
      <c r="A812" s="69">
        <v>18437.0</v>
      </c>
      <c r="B812" s="68" t="s">
        <v>2616</v>
      </c>
      <c r="C812" s="69">
        <v>2022.0</v>
      </c>
      <c r="D812" s="68" t="s">
        <v>1270</v>
      </c>
      <c r="E812" s="68" t="s">
        <v>661</v>
      </c>
      <c r="F812" s="70" t="s">
        <v>2617</v>
      </c>
      <c r="G812" s="71">
        <v>46224.0</v>
      </c>
      <c r="H812" s="72">
        <f t="shared" si="5"/>
        <v>1</v>
      </c>
      <c r="I812" s="73" t="s">
        <v>1583</v>
      </c>
      <c r="J812" s="75"/>
      <c r="K812" s="73" t="s">
        <v>248</v>
      </c>
      <c r="L812" s="73">
        <v>1.0</v>
      </c>
      <c r="M812" s="75"/>
      <c r="N812" s="75"/>
      <c r="O812" s="75"/>
      <c r="P812" s="75"/>
      <c r="Q812" s="75"/>
      <c r="R812" s="75"/>
      <c r="S812" s="75"/>
      <c r="T812" s="75"/>
      <c r="U812" s="75"/>
      <c r="V812" s="75"/>
      <c r="W812" s="75"/>
      <c r="X812" s="75"/>
      <c r="Y812" s="75"/>
      <c r="Z812" s="75"/>
    </row>
    <row r="813">
      <c r="A813" s="91">
        <v>18435.0</v>
      </c>
      <c r="B813" s="90" t="s">
        <v>2618</v>
      </c>
      <c r="C813" s="91">
        <v>2022.0</v>
      </c>
      <c r="D813" s="90" t="s">
        <v>1270</v>
      </c>
      <c r="E813" s="90" t="s">
        <v>2613</v>
      </c>
      <c r="F813" s="101" t="s">
        <v>2619</v>
      </c>
      <c r="G813" s="93">
        <v>46224.0</v>
      </c>
      <c r="H813" s="94">
        <f t="shared" si="5"/>
        <v>1</v>
      </c>
      <c r="I813" s="95" t="s">
        <v>2615</v>
      </c>
      <c r="J813" s="98"/>
      <c r="K813" s="95" t="s">
        <v>37</v>
      </c>
      <c r="L813" s="95">
        <v>1.0</v>
      </c>
      <c r="M813" s="98"/>
      <c r="N813" s="98"/>
      <c r="O813" s="98"/>
      <c r="P813" s="98"/>
      <c r="Q813" s="98"/>
      <c r="R813" s="98"/>
      <c r="S813" s="98"/>
      <c r="T813" s="98"/>
      <c r="U813" s="98"/>
      <c r="V813" s="98"/>
      <c r="W813" s="98"/>
      <c r="X813" s="98"/>
      <c r="Y813" s="98"/>
      <c r="Z813" s="98"/>
    </row>
    <row r="814">
      <c r="A814" s="69">
        <v>18442.0</v>
      </c>
      <c r="B814" s="68" t="s">
        <v>2620</v>
      </c>
      <c r="C814" s="69">
        <v>2022.0</v>
      </c>
      <c r="D814" s="68" t="s">
        <v>40</v>
      </c>
      <c r="E814" s="68" t="s">
        <v>1639</v>
      </c>
      <c r="F814" s="70" t="s">
        <v>2621</v>
      </c>
      <c r="G814" s="71">
        <v>46225.0</v>
      </c>
      <c r="H814" s="72">
        <f t="shared" si="5"/>
        <v>0</v>
      </c>
      <c r="I814" s="73" t="s">
        <v>133</v>
      </c>
      <c r="J814" s="74">
        <v>46225.0</v>
      </c>
      <c r="K814" s="73" t="s">
        <v>44</v>
      </c>
      <c r="L814" s="73">
        <v>75897.0</v>
      </c>
      <c r="M814" s="75"/>
      <c r="N814" s="75"/>
      <c r="O814" s="75"/>
      <c r="P814" s="75"/>
      <c r="Q814" s="75"/>
      <c r="R814" s="75"/>
      <c r="S814" s="75"/>
      <c r="T814" s="75"/>
      <c r="U814" s="75"/>
      <c r="V814" s="75"/>
      <c r="W814" s="75"/>
      <c r="X814" s="75"/>
      <c r="Y814" s="75"/>
      <c r="Z814" s="75"/>
    </row>
    <row r="815">
      <c r="A815" s="112"/>
      <c r="B815" s="121"/>
      <c r="C815" s="112"/>
      <c r="D815" s="121"/>
      <c r="E815" s="121"/>
      <c r="F815" s="102"/>
      <c r="G815" s="102"/>
      <c r="H815" s="94" t="str">
        <f t="shared" si="5"/>
        <v/>
      </c>
      <c r="I815" s="98"/>
      <c r="J815" s="98"/>
      <c r="K815" s="95"/>
      <c r="L815" s="98"/>
      <c r="M815" s="98"/>
      <c r="N815" s="98"/>
      <c r="O815" s="98"/>
      <c r="P815" s="98"/>
      <c r="Q815" s="98"/>
      <c r="R815" s="98"/>
      <c r="S815" s="98"/>
      <c r="T815" s="98"/>
      <c r="U815" s="98"/>
      <c r="V815" s="98"/>
      <c r="W815" s="98"/>
      <c r="X815" s="98"/>
      <c r="Y815" s="98"/>
      <c r="Z815" s="98"/>
    </row>
    <row r="816">
      <c r="A816" s="114"/>
      <c r="B816" s="122"/>
      <c r="C816" s="114"/>
      <c r="D816" s="122"/>
      <c r="E816" s="122"/>
      <c r="F816" s="88"/>
      <c r="G816" s="88"/>
      <c r="H816" s="72" t="str">
        <f t="shared" si="5"/>
        <v/>
      </c>
      <c r="I816" s="75"/>
      <c r="J816" s="75"/>
      <c r="K816" s="73"/>
      <c r="L816" s="75"/>
      <c r="M816" s="75"/>
      <c r="N816" s="75"/>
      <c r="O816" s="75"/>
      <c r="P816" s="75"/>
      <c r="Q816" s="75"/>
      <c r="R816" s="75"/>
      <c r="S816" s="75"/>
      <c r="T816" s="75"/>
      <c r="U816" s="75"/>
      <c r="V816" s="75"/>
      <c r="W816" s="75"/>
      <c r="X816" s="75"/>
      <c r="Y816" s="75"/>
      <c r="Z816" s="75"/>
    </row>
    <row r="817">
      <c r="A817" s="112"/>
      <c r="B817" s="121"/>
      <c r="C817" s="112"/>
      <c r="D817" s="121"/>
      <c r="E817" s="121"/>
      <c r="F817" s="102"/>
      <c r="G817" s="102"/>
      <c r="H817" s="94" t="str">
        <f t="shared" si="5"/>
        <v/>
      </c>
      <c r="I817" s="98"/>
      <c r="J817" s="98"/>
      <c r="K817" s="95"/>
      <c r="L817" s="98"/>
      <c r="M817" s="98"/>
      <c r="N817" s="98"/>
      <c r="O817" s="98"/>
      <c r="P817" s="98"/>
      <c r="Q817" s="98"/>
      <c r="R817" s="98"/>
      <c r="S817" s="98"/>
      <c r="T817" s="98"/>
      <c r="U817" s="98"/>
      <c r="V817" s="98"/>
      <c r="W817" s="98"/>
      <c r="X817" s="98"/>
      <c r="Y817" s="98"/>
      <c r="Z817" s="98"/>
    </row>
    <row r="818">
      <c r="A818" s="114"/>
      <c r="B818" s="122"/>
      <c r="C818" s="114"/>
      <c r="D818" s="122"/>
      <c r="E818" s="122"/>
      <c r="F818" s="88"/>
      <c r="G818" s="88"/>
      <c r="H818" s="72" t="str">
        <f t="shared" si="5"/>
        <v/>
      </c>
      <c r="I818" s="75"/>
      <c r="J818" s="75"/>
      <c r="K818" s="73"/>
      <c r="L818" s="75"/>
      <c r="M818" s="75"/>
      <c r="N818" s="75"/>
      <c r="O818" s="75"/>
      <c r="P818" s="75"/>
      <c r="Q818" s="75"/>
      <c r="R818" s="75"/>
      <c r="S818" s="75"/>
      <c r="T818" s="75"/>
      <c r="U818" s="75"/>
      <c r="V818" s="75"/>
      <c r="W818" s="75"/>
      <c r="X818" s="75"/>
      <c r="Y818" s="75"/>
      <c r="Z818" s="75"/>
    </row>
    <row r="819">
      <c r="A819" s="112"/>
      <c r="B819" s="121"/>
      <c r="C819" s="112"/>
      <c r="D819" s="121"/>
      <c r="E819" s="121"/>
      <c r="F819" s="102"/>
      <c r="G819" s="102"/>
      <c r="H819" s="94" t="str">
        <f t="shared" si="5"/>
        <v/>
      </c>
      <c r="I819" s="98"/>
      <c r="J819" s="98"/>
      <c r="K819" s="95"/>
      <c r="L819" s="98"/>
      <c r="M819" s="98"/>
      <c r="N819" s="98"/>
      <c r="O819" s="98"/>
      <c r="P819" s="98"/>
      <c r="Q819" s="98"/>
      <c r="R819" s="98"/>
      <c r="S819" s="98"/>
      <c r="T819" s="98"/>
      <c r="U819" s="98"/>
      <c r="V819" s="98"/>
      <c r="W819" s="98"/>
      <c r="X819" s="98"/>
      <c r="Y819" s="98"/>
      <c r="Z819" s="98"/>
    </row>
    <row r="820">
      <c r="A820" s="114"/>
      <c r="B820" s="122"/>
      <c r="C820" s="114"/>
      <c r="D820" s="122"/>
      <c r="E820" s="122"/>
      <c r="F820" s="88"/>
      <c r="G820" s="88"/>
      <c r="H820" s="72" t="str">
        <f t="shared" si="5"/>
        <v/>
      </c>
      <c r="I820" s="75"/>
      <c r="J820" s="75"/>
      <c r="K820" s="73"/>
      <c r="L820" s="75"/>
      <c r="M820" s="75"/>
      <c r="N820" s="75"/>
      <c r="O820" s="75"/>
      <c r="P820" s="75"/>
      <c r="Q820" s="75"/>
      <c r="R820" s="75"/>
      <c r="S820" s="75"/>
      <c r="T820" s="75"/>
      <c r="U820" s="75"/>
      <c r="V820" s="75"/>
      <c r="W820" s="75"/>
      <c r="X820" s="75"/>
      <c r="Y820" s="75"/>
      <c r="Z820" s="75"/>
    </row>
    <row r="821">
      <c r="A821" s="112"/>
      <c r="B821" s="121"/>
      <c r="C821" s="112"/>
      <c r="D821" s="121"/>
      <c r="E821" s="121"/>
      <c r="F821" s="102"/>
      <c r="G821" s="102"/>
      <c r="H821" s="94" t="str">
        <f t="shared" si="5"/>
        <v/>
      </c>
      <c r="I821" s="98"/>
      <c r="J821" s="98"/>
      <c r="K821" s="95"/>
      <c r="L821" s="98"/>
      <c r="M821" s="98"/>
      <c r="N821" s="98"/>
      <c r="O821" s="98"/>
      <c r="P821" s="98"/>
      <c r="Q821" s="98"/>
      <c r="R821" s="98"/>
      <c r="S821" s="98"/>
      <c r="T821" s="98"/>
      <c r="U821" s="98"/>
      <c r="V821" s="98"/>
      <c r="W821" s="98"/>
      <c r="X821" s="98"/>
      <c r="Y821" s="98"/>
      <c r="Z821" s="98"/>
    </row>
    <row r="822">
      <c r="A822" s="114"/>
      <c r="B822" s="122"/>
      <c r="C822" s="114"/>
      <c r="D822" s="122"/>
      <c r="E822" s="122"/>
      <c r="F822" s="88"/>
      <c r="G822" s="88"/>
      <c r="H822" s="72" t="str">
        <f t="shared" si="5"/>
        <v/>
      </c>
      <c r="I822" s="75"/>
      <c r="J822" s="75"/>
      <c r="K822" s="73"/>
      <c r="L822" s="75"/>
      <c r="M822" s="75"/>
      <c r="N822" s="75"/>
      <c r="O822" s="75"/>
      <c r="P822" s="75"/>
      <c r="Q822" s="75"/>
      <c r="R822" s="75"/>
      <c r="S822" s="75"/>
      <c r="T822" s="75"/>
      <c r="U822" s="75"/>
      <c r="V822" s="75"/>
      <c r="W822" s="75"/>
      <c r="X822" s="75"/>
      <c r="Y822" s="75"/>
      <c r="Z822" s="75"/>
    </row>
    <row r="823">
      <c r="A823" s="112"/>
      <c r="B823" s="121"/>
      <c r="C823" s="112"/>
      <c r="D823" s="121"/>
      <c r="E823" s="121"/>
      <c r="F823" s="102"/>
      <c r="G823" s="102"/>
      <c r="H823" s="94" t="str">
        <f t="shared" si="5"/>
        <v/>
      </c>
      <c r="I823" s="98"/>
      <c r="J823" s="98"/>
      <c r="K823" s="95"/>
      <c r="L823" s="98"/>
      <c r="M823" s="98"/>
      <c r="N823" s="98"/>
      <c r="O823" s="98"/>
      <c r="P823" s="98"/>
      <c r="Q823" s="98"/>
      <c r="R823" s="98"/>
      <c r="S823" s="98"/>
      <c r="T823" s="98"/>
      <c r="U823" s="98"/>
      <c r="V823" s="98"/>
      <c r="W823" s="98"/>
      <c r="X823" s="98"/>
      <c r="Y823" s="98"/>
      <c r="Z823" s="98"/>
    </row>
    <row r="824">
      <c r="A824" s="114"/>
      <c r="B824" s="122"/>
      <c r="C824" s="114"/>
      <c r="D824" s="122"/>
      <c r="E824" s="122"/>
      <c r="F824" s="88"/>
      <c r="G824" s="88"/>
      <c r="H824" s="72" t="str">
        <f t="shared" si="5"/>
        <v/>
      </c>
      <c r="I824" s="75"/>
      <c r="J824" s="75"/>
      <c r="K824" s="73"/>
      <c r="L824" s="75"/>
      <c r="M824" s="75"/>
      <c r="N824" s="75"/>
      <c r="O824" s="75"/>
      <c r="P824" s="75"/>
      <c r="Q824" s="75"/>
      <c r="R824" s="75"/>
      <c r="S824" s="75"/>
      <c r="T824" s="75"/>
      <c r="U824" s="75"/>
      <c r="V824" s="75"/>
      <c r="W824" s="75"/>
      <c r="X824" s="75"/>
      <c r="Y824" s="75"/>
      <c r="Z824" s="75"/>
    </row>
    <row r="825">
      <c r="A825" s="112"/>
      <c r="B825" s="121"/>
      <c r="C825" s="112"/>
      <c r="D825" s="121"/>
      <c r="E825" s="121"/>
      <c r="F825" s="102"/>
      <c r="G825" s="102"/>
      <c r="H825" s="94" t="str">
        <f t="shared" si="5"/>
        <v/>
      </c>
      <c r="I825" s="98"/>
      <c r="J825" s="98"/>
      <c r="K825" s="95"/>
      <c r="L825" s="98"/>
      <c r="M825" s="98"/>
      <c r="N825" s="98"/>
      <c r="O825" s="98"/>
      <c r="P825" s="98"/>
      <c r="Q825" s="98"/>
      <c r="R825" s="98"/>
      <c r="S825" s="98"/>
      <c r="T825" s="98"/>
      <c r="U825" s="98"/>
      <c r="V825" s="98"/>
      <c r="W825" s="98"/>
      <c r="X825" s="98"/>
      <c r="Y825" s="98"/>
      <c r="Z825" s="98"/>
    </row>
    <row r="826">
      <c r="A826" s="114"/>
      <c r="B826" s="122"/>
      <c r="C826" s="114"/>
      <c r="D826" s="122"/>
      <c r="E826" s="122"/>
      <c r="F826" s="88"/>
      <c r="G826" s="88"/>
      <c r="H826" s="72" t="str">
        <f t="shared" si="5"/>
        <v/>
      </c>
      <c r="I826" s="75"/>
      <c r="J826" s="75"/>
      <c r="K826" s="73"/>
      <c r="L826" s="75"/>
      <c r="M826" s="75"/>
      <c r="N826" s="75"/>
      <c r="O826" s="75"/>
      <c r="P826" s="75"/>
      <c r="Q826" s="75"/>
      <c r="R826" s="75"/>
      <c r="S826" s="75"/>
      <c r="T826" s="75"/>
      <c r="U826" s="75"/>
      <c r="V826" s="75"/>
      <c r="W826" s="75"/>
      <c r="X826" s="75"/>
      <c r="Y826" s="75"/>
      <c r="Z826" s="75"/>
    </row>
    <row r="827">
      <c r="A827" s="112"/>
      <c r="B827" s="121"/>
      <c r="C827" s="112"/>
      <c r="D827" s="121"/>
      <c r="E827" s="121"/>
      <c r="F827" s="102"/>
      <c r="G827" s="102"/>
      <c r="H827" s="94" t="str">
        <f t="shared" si="5"/>
        <v/>
      </c>
      <c r="I827" s="98"/>
      <c r="J827" s="98"/>
      <c r="K827" s="95"/>
      <c r="L827" s="98"/>
      <c r="M827" s="98"/>
      <c r="N827" s="98"/>
      <c r="O827" s="98"/>
      <c r="P827" s="98"/>
      <c r="Q827" s="98"/>
      <c r="R827" s="98"/>
      <c r="S827" s="98"/>
      <c r="T827" s="98"/>
      <c r="U827" s="98"/>
      <c r="V827" s="98"/>
      <c r="W827" s="98"/>
      <c r="X827" s="98"/>
      <c r="Y827" s="98"/>
      <c r="Z827" s="98"/>
    </row>
    <row r="828">
      <c r="A828" s="114"/>
      <c r="B828" s="122"/>
      <c r="C828" s="114"/>
      <c r="D828" s="122"/>
      <c r="E828" s="122"/>
      <c r="F828" s="88"/>
      <c r="G828" s="88"/>
      <c r="H828" s="72" t="str">
        <f t="shared" si="5"/>
        <v/>
      </c>
      <c r="I828" s="75"/>
      <c r="J828" s="75"/>
      <c r="K828" s="73"/>
      <c r="L828" s="75"/>
      <c r="M828" s="75"/>
      <c r="N828" s="75"/>
      <c r="O828" s="75"/>
      <c r="P828" s="75"/>
      <c r="Q828" s="75"/>
      <c r="R828" s="75"/>
      <c r="S828" s="75"/>
      <c r="T828" s="75"/>
      <c r="U828" s="75"/>
      <c r="V828" s="75"/>
      <c r="W828" s="75"/>
      <c r="X828" s="75"/>
      <c r="Y828" s="75"/>
      <c r="Z828" s="75"/>
    </row>
    <row r="829">
      <c r="A829" s="112"/>
      <c r="B829" s="121"/>
      <c r="C829" s="112"/>
      <c r="D829" s="121"/>
      <c r="E829" s="121"/>
      <c r="F829" s="102"/>
      <c r="G829" s="102"/>
      <c r="H829" s="94" t="str">
        <f t="shared" si="5"/>
        <v/>
      </c>
      <c r="I829" s="98"/>
      <c r="J829" s="98"/>
      <c r="K829" s="95"/>
      <c r="L829" s="98"/>
      <c r="M829" s="98"/>
      <c r="N829" s="98"/>
      <c r="O829" s="98"/>
      <c r="P829" s="98"/>
      <c r="Q829" s="98"/>
      <c r="R829" s="98"/>
      <c r="S829" s="98"/>
      <c r="T829" s="98"/>
      <c r="U829" s="98"/>
      <c r="V829" s="98"/>
      <c r="W829" s="98"/>
      <c r="X829" s="98"/>
      <c r="Y829" s="98"/>
      <c r="Z829" s="98"/>
    </row>
    <row r="830">
      <c r="A830" s="114"/>
      <c r="B830" s="122"/>
      <c r="C830" s="114"/>
      <c r="D830" s="122"/>
      <c r="E830" s="122"/>
      <c r="F830" s="88"/>
      <c r="G830" s="88"/>
      <c r="H830" s="72" t="str">
        <f t="shared" si="5"/>
        <v/>
      </c>
      <c r="I830" s="75"/>
      <c r="J830" s="75"/>
      <c r="K830" s="73"/>
      <c r="L830" s="75"/>
      <c r="M830" s="75"/>
      <c r="N830" s="75"/>
      <c r="O830" s="75"/>
      <c r="P830" s="75"/>
      <c r="Q830" s="75"/>
      <c r="R830" s="75"/>
      <c r="S830" s="75"/>
      <c r="T830" s="75"/>
      <c r="U830" s="75"/>
      <c r="V830" s="75"/>
      <c r="W830" s="75"/>
      <c r="X830" s="75"/>
      <c r="Y830" s="75"/>
      <c r="Z830" s="75"/>
    </row>
    <row r="831">
      <c r="A831" s="112"/>
      <c r="B831" s="121"/>
      <c r="C831" s="112"/>
      <c r="D831" s="121"/>
      <c r="E831" s="121"/>
      <c r="F831" s="102"/>
      <c r="G831" s="102"/>
      <c r="H831" s="94" t="str">
        <f t="shared" si="5"/>
        <v/>
      </c>
      <c r="I831" s="98"/>
      <c r="J831" s="98"/>
      <c r="K831" s="95"/>
      <c r="L831" s="98"/>
      <c r="M831" s="98"/>
      <c r="N831" s="98"/>
      <c r="O831" s="98"/>
      <c r="P831" s="98"/>
      <c r="Q831" s="98"/>
      <c r="R831" s="98"/>
      <c r="S831" s="98"/>
      <c r="T831" s="98"/>
      <c r="U831" s="98"/>
      <c r="V831" s="98"/>
      <c r="W831" s="98"/>
      <c r="X831" s="98"/>
      <c r="Y831" s="98"/>
      <c r="Z831" s="98"/>
    </row>
    <row r="832">
      <c r="A832" s="114"/>
      <c r="B832" s="122"/>
      <c r="C832" s="114"/>
      <c r="D832" s="122"/>
      <c r="E832" s="122"/>
      <c r="F832" s="88"/>
      <c r="G832" s="88"/>
      <c r="H832" s="72" t="str">
        <f t="shared" si="5"/>
        <v/>
      </c>
      <c r="I832" s="75"/>
      <c r="J832" s="75"/>
      <c r="K832" s="73"/>
      <c r="L832" s="75"/>
      <c r="M832" s="75"/>
      <c r="N832" s="75"/>
      <c r="O832" s="75"/>
      <c r="P832" s="75"/>
      <c r="Q832" s="75"/>
      <c r="R832" s="75"/>
      <c r="S832" s="75"/>
      <c r="T832" s="75"/>
      <c r="U832" s="75"/>
      <c r="V832" s="75"/>
      <c r="W832" s="75"/>
      <c r="X832" s="75"/>
      <c r="Y832" s="75"/>
      <c r="Z832" s="75"/>
    </row>
    <row r="833">
      <c r="A833" s="112"/>
      <c r="B833" s="121"/>
      <c r="C833" s="112"/>
      <c r="D833" s="121"/>
      <c r="E833" s="121"/>
      <c r="F833" s="102"/>
      <c r="G833" s="102"/>
      <c r="H833" s="94" t="str">
        <f t="shared" si="5"/>
        <v/>
      </c>
      <c r="I833" s="98"/>
      <c r="J833" s="98"/>
      <c r="K833" s="95"/>
      <c r="L833" s="98"/>
      <c r="M833" s="98"/>
      <c r="N833" s="98"/>
      <c r="O833" s="98"/>
      <c r="P833" s="98"/>
      <c r="Q833" s="98"/>
      <c r="R833" s="98"/>
      <c r="S833" s="98"/>
      <c r="T833" s="98"/>
      <c r="U833" s="98"/>
      <c r="V833" s="98"/>
      <c r="W833" s="98"/>
      <c r="X833" s="98"/>
      <c r="Y833" s="98"/>
      <c r="Z833" s="98"/>
    </row>
    <row r="834">
      <c r="A834" s="114"/>
      <c r="B834" s="122"/>
      <c r="C834" s="114"/>
      <c r="D834" s="122"/>
      <c r="E834" s="122"/>
      <c r="F834" s="88"/>
      <c r="G834" s="88"/>
      <c r="H834" s="72" t="str">
        <f t="shared" si="5"/>
        <v/>
      </c>
      <c r="I834" s="75"/>
      <c r="J834" s="75"/>
      <c r="K834" s="73"/>
      <c r="L834" s="75"/>
      <c r="M834" s="75"/>
      <c r="N834" s="75"/>
      <c r="O834" s="75"/>
      <c r="P834" s="75"/>
      <c r="Q834" s="75"/>
      <c r="R834" s="75"/>
      <c r="S834" s="75"/>
      <c r="T834" s="75"/>
      <c r="U834" s="75"/>
      <c r="V834" s="75"/>
      <c r="W834" s="75"/>
      <c r="X834" s="75"/>
      <c r="Y834" s="75"/>
      <c r="Z834" s="75"/>
    </row>
    <row r="835">
      <c r="A835" s="112"/>
      <c r="B835" s="121"/>
      <c r="C835" s="112"/>
      <c r="D835" s="121"/>
      <c r="E835" s="121"/>
      <c r="F835" s="102"/>
      <c r="G835" s="102"/>
      <c r="H835" s="94" t="str">
        <f t="shared" si="5"/>
        <v/>
      </c>
      <c r="I835" s="98"/>
      <c r="J835" s="98"/>
      <c r="K835" s="95"/>
      <c r="L835" s="98"/>
      <c r="M835" s="98"/>
      <c r="N835" s="98"/>
      <c r="O835" s="98"/>
      <c r="P835" s="98"/>
      <c r="Q835" s="98"/>
      <c r="R835" s="98"/>
      <c r="S835" s="98"/>
      <c r="T835" s="98"/>
      <c r="U835" s="98"/>
      <c r="V835" s="98"/>
      <c r="W835" s="98"/>
      <c r="X835" s="98"/>
      <c r="Y835" s="98"/>
      <c r="Z835" s="98"/>
    </row>
    <row r="836">
      <c r="A836" s="114"/>
      <c r="B836" s="122"/>
      <c r="C836" s="114"/>
      <c r="D836" s="122"/>
      <c r="E836" s="122"/>
      <c r="F836" s="88"/>
      <c r="G836" s="88"/>
      <c r="H836" s="72" t="str">
        <f t="shared" si="5"/>
        <v/>
      </c>
      <c r="I836" s="75"/>
      <c r="J836" s="75"/>
      <c r="K836" s="73"/>
      <c r="L836" s="75"/>
      <c r="M836" s="75"/>
      <c r="N836" s="75"/>
      <c r="O836" s="75"/>
      <c r="P836" s="75"/>
      <c r="Q836" s="75"/>
      <c r="R836" s="75"/>
      <c r="S836" s="75"/>
      <c r="T836" s="75"/>
      <c r="U836" s="75"/>
      <c r="V836" s="75"/>
      <c r="W836" s="75"/>
      <c r="X836" s="75"/>
      <c r="Y836" s="75"/>
      <c r="Z836" s="75"/>
    </row>
    <row r="837">
      <c r="A837" s="112"/>
      <c r="B837" s="121"/>
      <c r="C837" s="112"/>
      <c r="D837" s="121"/>
      <c r="E837" s="121"/>
      <c r="F837" s="102"/>
      <c r="G837" s="102"/>
      <c r="H837" s="94" t="str">
        <f t="shared" si="5"/>
        <v/>
      </c>
      <c r="I837" s="98"/>
      <c r="J837" s="98"/>
      <c r="K837" s="95"/>
      <c r="L837" s="98"/>
      <c r="M837" s="98"/>
      <c r="N837" s="98"/>
      <c r="O837" s="98"/>
      <c r="P837" s="98"/>
      <c r="Q837" s="98"/>
      <c r="R837" s="98"/>
      <c r="S837" s="98"/>
      <c r="T837" s="98"/>
      <c r="U837" s="98"/>
      <c r="V837" s="98"/>
      <c r="W837" s="98"/>
      <c r="X837" s="98"/>
      <c r="Y837" s="98"/>
      <c r="Z837" s="98"/>
    </row>
    <row r="838">
      <c r="A838" s="114"/>
      <c r="B838" s="122"/>
      <c r="C838" s="114"/>
      <c r="D838" s="122"/>
      <c r="E838" s="122"/>
      <c r="F838" s="88"/>
      <c r="G838" s="88"/>
      <c r="H838" s="72" t="str">
        <f t="shared" si="5"/>
        <v/>
      </c>
      <c r="I838" s="75"/>
      <c r="J838" s="75"/>
      <c r="K838" s="73"/>
      <c r="L838" s="75"/>
      <c r="M838" s="75"/>
      <c r="N838" s="75"/>
      <c r="O838" s="75"/>
      <c r="P838" s="75"/>
      <c r="Q838" s="75"/>
      <c r="R838" s="75"/>
      <c r="S838" s="75"/>
      <c r="T838" s="75"/>
      <c r="U838" s="75"/>
      <c r="V838" s="75"/>
      <c r="W838" s="75"/>
      <c r="X838" s="75"/>
      <c r="Y838" s="75"/>
      <c r="Z838" s="75"/>
    </row>
    <row r="839">
      <c r="A839" s="112"/>
      <c r="B839" s="121"/>
      <c r="C839" s="112"/>
      <c r="D839" s="121"/>
      <c r="E839" s="121"/>
      <c r="F839" s="102"/>
      <c r="G839" s="102"/>
      <c r="H839" s="94" t="str">
        <f t="shared" si="5"/>
        <v/>
      </c>
      <c r="I839" s="98"/>
      <c r="J839" s="98"/>
      <c r="K839" s="95"/>
      <c r="L839" s="98"/>
      <c r="M839" s="98"/>
      <c r="N839" s="98"/>
      <c r="O839" s="98"/>
      <c r="P839" s="98"/>
      <c r="Q839" s="98"/>
      <c r="R839" s="98"/>
      <c r="S839" s="98"/>
      <c r="T839" s="98"/>
      <c r="U839" s="98"/>
      <c r="V839" s="98"/>
      <c r="W839" s="98"/>
      <c r="X839" s="98"/>
      <c r="Y839" s="98"/>
      <c r="Z839" s="98"/>
    </row>
    <row r="840">
      <c r="A840" s="114"/>
      <c r="B840" s="122"/>
      <c r="C840" s="114"/>
      <c r="D840" s="122"/>
      <c r="E840" s="122"/>
      <c r="F840" s="88"/>
      <c r="G840" s="88"/>
      <c r="H840" s="72" t="str">
        <f t="shared" si="5"/>
        <v/>
      </c>
      <c r="I840" s="75"/>
      <c r="J840" s="75"/>
      <c r="K840" s="73"/>
      <c r="L840" s="75"/>
      <c r="M840" s="75"/>
      <c r="N840" s="75"/>
      <c r="O840" s="75"/>
      <c r="P840" s="75"/>
      <c r="Q840" s="75"/>
      <c r="R840" s="75"/>
      <c r="S840" s="75"/>
      <c r="T840" s="75"/>
      <c r="U840" s="75"/>
      <c r="V840" s="75"/>
      <c r="W840" s="75"/>
      <c r="X840" s="75"/>
      <c r="Y840" s="75"/>
      <c r="Z840" s="75"/>
    </row>
    <row r="841">
      <c r="A841" s="112"/>
      <c r="B841" s="121"/>
      <c r="C841" s="112"/>
      <c r="D841" s="121"/>
      <c r="E841" s="121"/>
      <c r="F841" s="102"/>
      <c r="G841" s="102"/>
      <c r="H841" s="94" t="str">
        <f t="shared" si="5"/>
        <v/>
      </c>
      <c r="I841" s="98"/>
      <c r="J841" s="98"/>
      <c r="K841" s="95"/>
      <c r="L841" s="98"/>
      <c r="M841" s="98"/>
      <c r="N841" s="98"/>
      <c r="O841" s="98"/>
      <c r="P841" s="98"/>
      <c r="Q841" s="98"/>
      <c r="R841" s="98"/>
      <c r="S841" s="98"/>
      <c r="T841" s="98"/>
      <c r="U841" s="98"/>
      <c r="V841" s="98"/>
      <c r="W841" s="98"/>
      <c r="X841" s="98"/>
      <c r="Y841" s="98"/>
      <c r="Z841" s="98"/>
    </row>
    <row r="842">
      <c r="A842" s="114"/>
      <c r="B842" s="122"/>
      <c r="C842" s="114"/>
      <c r="D842" s="122"/>
      <c r="E842" s="122"/>
      <c r="F842" s="88"/>
      <c r="G842" s="88"/>
      <c r="H842" s="72" t="str">
        <f t="shared" si="5"/>
        <v/>
      </c>
      <c r="I842" s="75"/>
      <c r="J842" s="75"/>
      <c r="K842" s="73"/>
      <c r="L842" s="75"/>
      <c r="M842" s="75"/>
      <c r="N842" s="75"/>
      <c r="O842" s="75"/>
      <c r="P842" s="75"/>
      <c r="Q842" s="75"/>
      <c r="R842" s="75"/>
      <c r="S842" s="75"/>
      <c r="T842" s="75"/>
      <c r="U842" s="75"/>
      <c r="V842" s="75"/>
      <c r="W842" s="75"/>
      <c r="X842" s="75"/>
      <c r="Y842" s="75"/>
      <c r="Z842" s="75"/>
    </row>
    <row r="843">
      <c r="A843" s="112"/>
      <c r="B843" s="121"/>
      <c r="C843" s="112"/>
      <c r="D843" s="121"/>
      <c r="E843" s="121"/>
      <c r="F843" s="102"/>
      <c r="G843" s="102"/>
      <c r="H843" s="94" t="str">
        <f t="shared" si="5"/>
        <v/>
      </c>
      <c r="I843" s="98"/>
      <c r="J843" s="98"/>
      <c r="K843" s="95"/>
      <c r="L843" s="98"/>
      <c r="M843" s="98"/>
      <c r="N843" s="98"/>
      <c r="O843" s="98"/>
      <c r="P843" s="98"/>
      <c r="Q843" s="98"/>
      <c r="R843" s="98"/>
      <c r="S843" s="98"/>
      <c r="T843" s="98"/>
      <c r="U843" s="98"/>
      <c r="V843" s="98"/>
      <c r="W843" s="98"/>
      <c r="X843" s="98"/>
      <c r="Y843" s="98"/>
      <c r="Z843" s="98"/>
    </row>
    <row r="844">
      <c r="A844" s="114"/>
      <c r="B844" s="122"/>
      <c r="C844" s="114"/>
      <c r="D844" s="122"/>
      <c r="E844" s="122"/>
      <c r="F844" s="88"/>
      <c r="G844" s="88"/>
      <c r="H844" s="72" t="str">
        <f t="shared" si="5"/>
        <v/>
      </c>
      <c r="I844" s="75"/>
      <c r="J844" s="75"/>
      <c r="K844" s="73"/>
      <c r="L844" s="75"/>
      <c r="M844" s="75"/>
      <c r="N844" s="75"/>
      <c r="O844" s="75"/>
      <c r="P844" s="75"/>
      <c r="Q844" s="75"/>
      <c r="R844" s="75"/>
      <c r="S844" s="75"/>
      <c r="T844" s="75"/>
      <c r="U844" s="75"/>
      <c r="V844" s="75"/>
      <c r="W844" s="75"/>
      <c r="X844" s="75"/>
      <c r="Y844" s="75"/>
      <c r="Z844" s="75"/>
    </row>
    <row r="845">
      <c r="A845" s="112"/>
      <c r="B845" s="121"/>
      <c r="C845" s="112"/>
      <c r="D845" s="121"/>
      <c r="E845" s="121"/>
      <c r="F845" s="102"/>
      <c r="G845" s="102"/>
      <c r="H845" s="94" t="str">
        <f t="shared" si="5"/>
        <v/>
      </c>
      <c r="I845" s="98"/>
      <c r="J845" s="98"/>
      <c r="K845" s="95"/>
      <c r="L845" s="98"/>
      <c r="M845" s="98"/>
      <c r="N845" s="98"/>
      <c r="O845" s="98"/>
      <c r="P845" s="98"/>
      <c r="Q845" s="98"/>
      <c r="R845" s="98"/>
      <c r="S845" s="98"/>
      <c r="T845" s="98"/>
      <c r="U845" s="98"/>
      <c r="V845" s="98"/>
      <c r="W845" s="98"/>
      <c r="X845" s="98"/>
      <c r="Y845" s="98"/>
      <c r="Z845" s="98"/>
    </row>
    <row r="846">
      <c r="A846" s="114"/>
      <c r="B846" s="122"/>
      <c r="C846" s="114"/>
      <c r="D846" s="122"/>
      <c r="E846" s="122"/>
      <c r="F846" s="88"/>
      <c r="G846" s="88"/>
      <c r="H846" s="72" t="str">
        <f t="shared" si="5"/>
        <v/>
      </c>
      <c r="I846" s="75"/>
      <c r="J846" s="75"/>
      <c r="K846" s="73"/>
      <c r="L846" s="75"/>
      <c r="M846" s="75"/>
      <c r="N846" s="75"/>
      <c r="O846" s="75"/>
      <c r="P846" s="75"/>
      <c r="Q846" s="75"/>
      <c r="R846" s="75"/>
      <c r="S846" s="75"/>
      <c r="T846" s="75"/>
      <c r="U846" s="75"/>
      <c r="V846" s="75"/>
      <c r="W846" s="75"/>
      <c r="X846" s="75"/>
      <c r="Y846" s="75"/>
      <c r="Z846" s="75"/>
    </row>
    <row r="847">
      <c r="A847" s="112"/>
      <c r="B847" s="121"/>
      <c r="C847" s="112"/>
      <c r="D847" s="121"/>
      <c r="E847" s="121"/>
      <c r="F847" s="102"/>
      <c r="G847" s="102"/>
      <c r="H847" s="94" t="str">
        <f t="shared" si="5"/>
        <v/>
      </c>
      <c r="I847" s="98"/>
      <c r="J847" s="98"/>
      <c r="K847" s="95"/>
      <c r="L847" s="98"/>
      <c r="M847" s="98"/>
      <c r="N847" s="98"/>
      <c r="O847" s="98"/>
      <c r="P847" s="98"/>
      <c r="Q847" s="98"/>
      <c r="R847" s="98"/>
      <c r="S847" s="98"/>
      <c r="T847" s="98"/>
      <c r="U847" s="98"/>
      <c r="V847" s="98"/>
      <c r="W847" s="98"/>
      <c r="X847" s="98"/>
      <c r="Y847" s="98"/>
      <c r="Z847" s="98"/>
    </row>
    <row r="848">
      <c r="A848" s="114"/>
      <c r="B848" s="122"/>
      <c r="C848" s="114"/>
      <c r="D848" s="122"/>
      <c r="E848" s="122"/>
      <c r="F848" s="88"/>
      <c r="G848" s="88"/>
      <c r="H848" s="72" t="str">
        <f t="shared" si="5"/>
        <v/>
      </c>
      <c r="I848" s="75"/>
      <c r="J848" s="75"/>
      <c r="K848" s="73"/>
      <c r="L848" s="75"/>
      <c r="M848" s="75"/>
      <c r="N848" s="75"/>
      <c r="O848" s="75"/>
      <c r="P848" s="75"/>
      <c r="Q848" s="75"/>
      <c r="R848" s="75"/>
      <c r="S848" s="75"/>
      <c r="T848" s="75"/>
      <c r="U848" s="75"/>
      <c r="V848" s="75"/>
      <c r="W848" s="75"/>
      <c r="X848" s="75"/>
      <c r="Y848" s="75"/>
      <c r="Z848" s="75"/>
    </row>
    <row r="849">
      <c r="A849" s="112"/>
      <c r="B849" s="121"/>
      <c r="C849" s="112"/>
      <c r="D849" s="121"/>
      <c r="E849" s="121"/>
      <c r="F849" s="102"/>
      <c r="G849" s="102"/>
      <c r="H849" s="94" t="str">
        <f t="shared" si="5"/>
        <v/>
      </c>
      <c r="I849" s="98"/>
      <c r="J849" s="98"/>
      <c r="K849" s="95"/>
      <c r="L849" s="98"/>
      <c r="M849" s="98"/>
      <c r="N849" s="98"/>
      <c r="O849" s="98"/>
      <c r="P849" s="98"/>
      <c r="Q849" s="98"/>
      <c r="R849" s="98"/>
      <c r="S849" s="98"/>
      <c r="T849" s="98"/>
      <c r="U849" s="98"/>
      <c r="V849" s="98"/>
      <c r="W849" s="98"/>
      <c r="X849" s="98"/>
      <c r="Y849" s="98"/>
      <c r="Z849" s="98"/>
    </row>
    <row r="850">
      <c r="A850" s="114"/>
      <c r="B850" s="122"/>
      <c r="C850" s="114"/>
      <c r="D850" s="122"/>
      <c r="E850" s="122"/>
      <c r="F850" s="88"/>
      <c r="G850" s="88"/>
      <c r="H850" s="72" t="str">
        <f t="shared" si="5"/>
        <v/>
      </c>
      <c r="I850" s="75"/>
      <c r="J850" s="75"/>
      <c r="K850" s="73"/>
      <c r="L850" s="75"/>
      <c r="M850" s="75"/>
      <c r="N850" s="75"/>
      <c r="O850" s="75"/>
      <c r="P850" s="75"/>
      <c r="Q850" s="75"/>
      <c r="R850" s="75"/>
      <c r="S850" s="75"/>
      <c r="T850" s="75"/>
      <c r="U850" s="75"/>
      <c r="V850" s="75"/>
      <c r="W850" s="75"/>
      <c r="X850" s="75"/>
      <c r="Y850" s="75"/>
      <c r="Z850" s="75"/>
    </row>
    <row r="851">
      <c r="A851" s="112"/>
      <c r="B851" s="121"/>
      <c r="C851" s="112"/>
      <c r="D851" s="121"/>
      <c r="E851" s="121"/>
      <c r="F851" s="102"/>
      <c r="G851" s="102"/>
      <c r="H851" s="94" t="str">
        <f t="shared" si="5"/>
        <v/>
      </c>
      <c r="I851" s="98"/>
      <c r="J851" s="98"/>
      <c r="K851" s="95"/>
      <c r="L851" s="98"/>
      <c r="M851" s="98"/>
      <c r="N851" s="98"/>
      <c r="O851" s="98"/>
      <c r="P851" s="98"/>
      <c r="Q851" s="98"/>
      <c r="R851" s="98"/>
      <c r="S851" s="98"/>
      <c r="T851" s="98"/>
      <c r="U851" s="98"/>
      <c r="V851" s="98"/>
      <c r="W851" s="98"/>
      <c r="X851" s="98"/>
      <c r="Y851" s="98"/>
      <c r="Z851" s="98"/>
    </row>
    <row r="852">
      <c r="A852" s="114"/>
      <c r="B852" s="122"/>
      <c r="C852" s="114"/>
      <c r="D852" s="122"/>
      <c r="E852" s="122"/>
      <c r="F852" s="88"/>
      <c r="G852" s="88"/>
      <c r="H852" s="72" t="str">
        <f t="shared" si="5"/>
        <v/>
      </c>
      <c r="I852" s="75"/>
      <c r="J852" s="75"/>
      <c r="K852" s="73"/>
      <c r="L852" s="75"/>
      <c r="M852" s="75"/>
      <c r="N852" s="75"/>
      <c r="O852" s="75"/>
      <c r="P852" s="75"/>
      <c r="Q852" s="75"/>
      <c r="R852" s="75"/>
      <c r="S852" s="75"/>
      <c r="T852" s="75"/>
      <c r="U852" s="75"/>
      <c r="V852" s="75"/>
      <c r="W852" s="75"/>
      <c r="X852" s="75"/>
      <c r="Y852" s="75"/>
      <c r="Z852" s="75"/>
    </row>
    <row r="853">
      <c r="A853" s="112"/>
      <c r="B853" s="121"/>
      <c r="C853" s="112"/>
      <c r="D853" s="121"/>
      <c r="E853" s="121"/>
      <c r="F853" s="102"/>
      <c r="G853" s="102"/>
      <c r="H853" s="94" t="str">
        <f t="shared" si="5"/>
        <v/>
      </c>
      <c r="I853" s="98"/>
      <c r="J853" s="98"/>
      <c r="K853" s="95"/>
      <c r="L853" s="98"/>
      <c r="M853" s="98"/>
      <c r="N853" s="98"/>
      <c r="O853" s="98"/>
      <c r="P853" s="98"/>
      <c r="Q853" s="98"/>
      <c r="R853" s="98"/>
      <c r="S853" s="98"/>
      <c r="T853" s="98"/>
      <c r="U853" s="98"/>
      <c r="V853" s="98"/>
      <c r="W853" s="98"/>
      <c r="X853" s="98"/>
      <c r="Y853" s="98"/>
      <c r="Z853" s="98"/>
    </row>
    <row r="854">
      <c r="A854" s="114"/>
      <c r="B854" s="122"/>
      <c r="C854" s="114"/>
      <c r="D854" s="122"/>
      <c r="E854" s="122"/>
      <c r="F854" s="88"/>
      <c r="G854" s="88"/>
      <c r="H854" s="72" t="str">
        <f t="shared" si="5"/>
        <v/>
      </c>
      <c r="I854" s="75"/>
      <c r="J854" s="75"/>
      <c r="K854" s="73"/>
      <c r="L854" s="75"/>
      <c r="M854" s="75"/>
      <c r="N854" s="75"/>
      <c r="O854" s="75"/>
      <c r="P854" s="75"/>
      <c r="Q854" s="75"/>
      <c r="R854" s="75"/>
      <c r="S854" s="75"/>
      <c r="T854" s="75"/>
      <c r="U854" s="75"/>
      <c r="V854" s="75"/>
      <c r="W854" s="75"/>
      <c r="X854" s="75"/>
      <c r="Y854" s="75"/>
      <c r="Z854" s="75"/>
    </row>
    <row r="855">
      <c r="A855" s="112"/>
      <c r="B855" s="121"/>
      <c r="C855" s="112"/>
      <c r="D855" s="121"/>
      <c r="E855" s="121"/>
      <c r="F855" s="102"/>
      <c r="G855" s="102"/>
      <c r="H855" s="94" t="str">
        <f t="shared" si="5"/>
        <v/>
      </c>
      <c r="I855" s="98"/>
      <c r="J855" s="98"/>
      <c r="K855" s="95"/>
      <c r="L855" s="98"/>
      <c r="M855" s="98"/>
      <c r="N855" s="98"/>
      <c r="O855" s="98"/>
      <c r="P855" s="98"/>
      <c r="Q855" s="98"/>
      <c r="R855" s="98"/>
      <c r="S855" s="98"/>
      <c r="T855" s="98"/>
      <c r="U855" s="98"/>
      <c r="V855" s="98"/>
      <c r="W855" s="98"/>
      <c r="X855" s="98"/>
      <c r="Y855" s="98"/>
      <c r="Z855" s="98"/>
    </row>
    <row r="856">
      <c r="A856" s="114"/>
      <c r="B856" s="122"/>
      <c r="C856" s="114"/>
      <c r="D856" s="122"/>
      <c r="E856" s="122"/>
      <c r="F856" s="88"/>
      <c r="G856" s="88"/>
      <c r="H856" s="72" t="str">
        <f t="shared" si="5"/>
        <v/>
      </c>
      <c r="I856" s="75"/>
      <c r="J856" s="75"/>
      <c r="K856" s="73"/>
      <c r="L856" s="75"/>
      <c r="M856" s="75"/>
      <c r="N856" s="75"/>
      <c r="O856" s="75"/>
      <c r="P856" s="75"/>
      <c r="Q856" s="75"/>
      <c r="R856" s="75"/>
      <c r="S856" s="75"/>
      <c r="T856" s="75"/>
      <c r="U856" s="75"/>
      <c r="V856" s="75"/>
      <c r="W856" s="75"/>
      <c r="X856" s="75"/>
      <c r="Y856" s="75"/>
      <c r="Z856" s="75"/>
    </row>
    <row r="857">
      <c r="A857" s="112"/>
      <c r="B857" s="121"/>
      <c r="C857" s="112"/>
      <c r="D857" s="121"/>
      <c r="E857" s="121"/>
      <c r="F857" s="102"/>
      <c r="G857" s="102"/>
      <c r="H857" s="94" t="str">
        <f t="shared" si="5"/>
        <v/>
      </c>
      <c r="I857" s="98"/>
      <c r="J857" s="98"/>
      <c r="K857" s="95"/>
      <c r="L857" s="98"/>
      <c r="M857" s="98"/>
      <c r="N857" s="98"/>
      <c r="O857" s="98"/>
      <c r="P857" s="98"/>
      <c r="Q857" s="98"/>
      <c r="R857" s="98"/>
      <c r="S857" s="98"/>
      <c r="T857" s="98"/>
      <c r="U857" s="98"/>
      <c r="V857" s="98"/>
      <c r="W857" s="98"/>
      <c r="X857" s="98"/>
      <c r="Y857" s="98"/>
      <c r="Z857" s="98"/>
    </row>
    <row r="858">
      <c r="A858" s="114"/>
      <c r="B858" s="122"/>
      <c r="C858" s="114"/>
      <c r="D858" s="122"/>
      <c r="E858" s="122"/>
      <c r="F858" s="88"/>
      <c r="G858" s="88"/>
      <c r="H858" s="72" t="str">
        <f t="shared" si="5"/>
        <v/>
      </c>
      <c r="I858" s="75"/>
      <c r="J858" s="75"/>
      <c r="K858" s="73"/>
      <c r="L858" s="75"/>
      <c r="M858" s="75"/>
      <c r="N858" s="75"/>
      <c r="O858" s="75"/>
      <c r="P858" s="75"/>
      <c r="Q858" s="75"/>
      <c r="R858" s="75"/>
      <c r="S858" s="75"/>
      <c r="T858" s="75"/>
      <c r="U858" s="75"/>
      <c r="V858" s="75"/>
      <c r="W858" s="75"/>
      <c r="X858" s="75"/>
      <c r="Y858" s="75"/>
      <c r="Z858" s="75"/>
    </row>
    <row r="859">
      <c r="A859" s="112"/>
      <c r="B859" s="121"/>
      <c r="C859" s="112"/>
      <c r="D859" s="121"/>
      <c r="E859" s="121"/>
      <c r="F859" s="102"/>
      <c r="G859" s="102"/>
      <c r="H859" s="94" t="str">
        <f t="shared" si="5"/>
        <v/>
      </c>
      <c r="I859" s="98"/>
      <c r="J859" s="98"/>
      <c r="K859" s="95"/>
      <c r="L859" s="98"/>
      <c r="M859" s="98"/>
      <c r="N859" s="98"/>
      <c r="O859" s="98"/>
      <c r="P859" s="98"/>
      <c r="Q859" s="98"/>
      <c r="R859" s="98"/>
      <c r="S859" s="98"/>
      <c r="T859" s="98"/>
      <c r="U859" s="98"/>
      <c r="V859" s="98"/>
      <c r="W859" s="98"/>
      <c r="X859" s="98"/>
      <c r="Y859" s="98"/>
      <c r="Z859" s="98"/>
    </row>
    <row r="860">
      <c r="A860" s="114"/>
      <c r="B860" s="122"/>
      <c r="C860" s="114"/>
      <c r="D860" s="122"/>
      <c r="E860" s="122"/>
      <c r="F860" s="88"/>
      <c r="G860" s="88"/>
      <c r="H860" s="72" t="str">
        <f t="shared" si="5"/>
        <v/>
      </c>
      <c r="I860" s="75"/>
      <c r="J860" s="75"/>
      <c r="K860" s="73"/>
      <c r="L860" s="75"/>
      <c r="M860" s="75"/>
      <c r="N860" s="75"/>
      <c r="O860" s="75"/>
      <c r="P860" s="75"/>
      <c r="Q860" s="75"/>
      <c r="R860" s="75"/>
      <c r="S860" s="75"/>
      <c r="T860" s="75"/>
      <c r="U860" s="75"/>
      <c r="V860" s="75"/>
      <c r="W860" s="75"/>
      <c r="X860" s="75"/>
      <c r="Y860" s="75"/>
      <c r="Z860" s="75"/>
    </row>
    <row r="861">
      <c r="A861" s="112"/>
      <c r="B861" s="121"/>
      <c r="C861" s="112"/>
      <c r="D861" s="121"/>
      <c r="E861" s="121"/>
      <c r="F861" s="102"/>
      <c r="G861" s="102"/>
      <c r="H861" s="94" t="str">
        <f t="shared" si="5"/>
        <v/>
      </c>
      <c r="I861" s="98"/>
      <c r="J861" s="98"/>
      <c r="K861" s="95"/>
      <c r="L861" s="98"/>
      <c r="M861" s="98"/>
      <c r="N861" s="98"/>
      <c r="O861" s="98"/>
      <c r="P861" s="98"/>
      <c r="Q861" s="98"/>
      <c r="R861" s="98"/>
      <c r="S861" s="98"/>
      <c r="T861" s="98"/>
      <c r="U861" s="98"/>
      <c r="V861" s="98"/>
      <c r="W861" s="98"/>
      <c r="X861" s="98"/>
      <c r="Y861" s="98"/>
      <c r="Z861" s="98"/>
    </row>
    <row r="862">
      <c r="A862" s="114"/>
      <c r="B862" s="122"/>
      <c r="C862" s="114"/>
      <c r="D862" s="122"/>
      <c r="E862" s="122"/>
      <c r="F862" s="88"/>
      <c r="G862" s="88"/>
      <c r="H862" s="72" t="str">
        <f t="shared" si="5"/>
        <v/>
      </c>
      <c r="I862" s="75"/>
      <c r="J862" s="75"/>
      <c r="K862" s="73"/>
      <c r="L862" s="75"/>
      <c r="M862" s="75"/>
      <c r="N862" s="75"/>
      <c r="O862" s="75"/>
      <c r="P862" s="75"/>
      <c r="Q862" s="75"/>
      <c r="R862" s="75"/>
      <c r="S862" s="75"/>
      <c r="T862" s="75"/>
      <c r="U862" s="75"/>
      <c r="V862" s="75"/>
      <c r="W862" s="75"/>
      <c r="X862" s="75"/>
      <c r="Y862" s="75"/>
      <c r="Z862" s="75"/>
    </row>
    <row r="863">
      <c r="A863" s="112"/>
      <c r="B863" s="121"/>
      <c r="C863" s="112"/>
      <c r="D863" s="121"/>
      <c r="E863" s="121"/>
      <c r="F863" s="102"/>
      <c r="G863" s="102"/>
      <c r="H863" s="94" t="str">
        <f t="shared" si="5"/>
        <v/>
      </c>
      <c r="I863" s="98"/>
      <c r="J863" s="98"/>
      <c r="K863" s="95"/>
      <c r="L863" s="98"/>
      <c r="M863" s="98"/>
      <c r="N863" s="98"/>
      <c r="O863" s="98"/>
      <c r="P863" s="98"/>
      <c r="Q863" s="98"/>
      <c r="R863" s="98"/>
      <c r="S863" s="98"/>
      <c r="T863" s="98"/>
      <c r="U863" s="98"/>
      <c r="V863" s="98"/>
      <c r="W863" s="98"/>
      <c r="X863" s="98"/>
      <c r="Y863" s="98"/>
      <c r="Z863" s="98"/>
    </row>
    <row r="864">
      <c r="A864" s="114"/>
      <c r="B864" s="122"/>
      <c r="C864" s="114"/>
      <c r="D864" s="122"/>
      <c r="E864" s="122"/>
      <c r="F864" s="88"/>
      <c r="G864" s="88"/>
      <c r="H864" s="72" t="str">
        <f t="shared" si="5"/>
        <v/>
      </c>
      <c r="I864" s="75"/>
      <c r="J864" s="75"/>
      <c r="K864" s="73"/>
      <c r="L864" s="75"/>
      <c r="M864" s="75"/>
      <c r="N864" s="75"/>
      <c r="O864" s="75"/>
      <c r="P864" s="75"/>
      <c r="Q864" s="75"/>
      <c r="R864" s="75"/>
      <c r="S864" s="75"/>
      <c r="T864" s="75"/>
      <c r="U864" s="75"/>
      <c r="V864" s="75"/>
      <c r="W864" s="75"/>
      <c r="X864" s="75"/>
      <c r="Y864" s="75"/>
      <c r="Z864" s="75"/>
    </row>
    <row r="865">
      <c r="A865" s="112"/>
      <c r="B865" s="121"/>
      <c r="C865" s="112"/>
      <c r="D865" s="121"/>
      <c r="E865" s="121"/>
      <c r="F865" s="102"/>
      <c r="G865" s="102"/>
      <c r="H865" s="94" t="str">
        <f t="shared" si="5"/>
        <v/>
      </c>
      <c r="I865" s="98"/>
      <c r="J865" s="98"/>
      <c r="K865" s="95"/>
      <c r="L865" s="98"/>
      <c r="M865" s="98"/>
      <c r="N865" s="98"/>
      <c r="O865" s="98"/>
      <c r="P865" s="98"/>
      <c r="Q865" s="98"/>
      <c r="R865" s="98"/>
      <c r="S865" s="98"/>
      <c r="T865" s="98"/>
      <c r="U865" s="98"/>
      <c r="V865" s="98"/>
      <c r="W865" s="98"/>
      <c r="X865" s="98"/>
      <c r="Y865" s="98"/>
      <c r="Z865" s="98"/>
    </row>
    <row r="866">
      <c r="A866" s="114"/>
      <c r="B866" s="122"/>
      <c r="C866" s="114"/>
      <c r="D866" s="122"/>
      <c r="E866" s="122"/>
      <c r="F866" s="88"/>
      <c r="G866" s="88"/>
      <c r="H866" s="72" t="str">
        <f t="shared" si="5"/>
        <v/>
      </c>
      <c r="I866" s="75"/>
      <c r="J866" s="75"/>
      <c r="K866" s="73"/>
      <c r="L866" s="75"/>
      <c r="M866" s="75"/>
      <c r="N866" s="75"/>
      <c r="O866" s="75"/>
      <c r="P866" s="75"/>
      <c r="Q866" s="75"/>
      <c r="R866" s="75"/>
      <c r="S866" s="75"/>
      <c r="T866" s="75"/>
      <c r="U866" s="75"/>
      <c r="V866" s="75"/>
      <c r="W866" s="75"/>
      <c r="X866" s="75"/>
      <c r="Y866" s="75"/>
      <c r="Z866" s="75"/>
    </row>
    <row r="867">
      <c r="A867" s="112"/>
      <c r="B867" s="121"/>
      <c r="C867" s="112"/>
      <c r="D867" s="121"/>
      <c r="E867" s="121"/>
      <c r="F867" s="102"/>
      <c r="G867" s="102"/>
      <c r="H867" s="94" t="str">
        <f t="shared" si="5"/>
        <v/>
      </c>
      <c r="I867" s="98"/>
      <c r="J867" s="98"/>
      <c r="K867" s="95"/>
      <c r="L867" s="98"/>
      <c r="M867" s="98"/>
      <c r="N867" s="98"/>
      <c r="O867" s="98"/>
      <c r="P867" s="98"/>
      <c r="Q867" s="98"/>
      <c r="R867" s="98"/>
      <c r="S867" s="98"/>
      <c r="T867" s="98"/>
      <c r="U867" s="98"/>
      <c r="V867" s="98"/>
      <c r="W867" s="98"/>
      <c r="X867" s="98"/>
      <c r="Y867" s="98"/>
      <c r="Z867" s="98"/>
    </row>
    <row r="868">
      <c r="A868" s="114"/>
      <c r="B868" s="122"/>
      <c r="C868" s="114"/>
      <c r="D868" s="122"/>
      <c r="E868" s="122"/>
      <c r="F868" s="88"/>
      <c r="G868" s="88"/>
      <c r="H868" s="72" t="str">
        <f t="shared" si="5"/>
        <v/>
      </c>
      <c r="I868" s="75"/>
      <c r="J868" s="75"/>
      <c r="K868" s="73"/>
      <c r="L868" s="75"/>
      <c r="M868" s="75"/>
      <c r="N868" s="75"/>
      <c r="O868" s="75"/>
      <c r="P868" s="75"/>
      <c r="Q868" s="75"/>
      <c r="R868" s="75"/>
      <c r="S868" s="75"/>
      <c r="T868" s="75"/>
      <c r="U868" s="75"/>
      <c r="V868" s="75"/>
      <c r="W868" s="75"/>
      <c r="X868" s="75"/>
      <c r="Y868" s="75"/>
      <c r="Z868" s="75"/>
    </row>
    <row r="869">
      <c r="A869" s="112"/>
      <c r="B869" s="121"/>
      <c r="C869" s="112"/>
      <c r="D869" s="121"/>
      <c r="E869" s="121"/>
      <c r="F869" s="102"/>
      <c r="G869" s="102"/>
      <c r="H869" s="94" t="str">
        <f t="shared" si="5"/>
        <v/>
      </c>
      <c r="I869" s="98"/>
      <c r="J869" s="98"/>
      <c r="K869" s="95"/>
      <c r="L869" s="98"/>
      <c r="M869" s="98"/>
      <c r="N869" s="98"/>
      <c r="O869" s="98"/>
      <c r="P869" s="98"/>
      <c r="Q869" s="98"/>
      <c r="R869" s="98"/>
      <c r="S869" s="98"/>
      <c r="T869" s="98"/>
      <c r="U869" s="98"/>
      <c r="V869" s="98"/>
      <c r="W869" s="98"/>
      <c r="X869" s="98"/>
      <c r="Y869" s="98"/>
      <c r="Z869" s="98"/>
    </row>
    <row r="870">
      <c r="A870" s="114"/>
      <c r="B870" s="122"/>
      <c r="C870" s="114"/>
      <c r="D870" s="122"/>
      <c r="E870" s="122"/>
      <c r="F870" s="88"/>
      <c r="G870" s="88"/>
      <c r="H870" s="72" t="str">
        <f t="shared" si="5"/>
        <v/>
      </c>
      <c r="I870" s="75"/>
      <c r="J870" s="75"/>
      <c r="K870" s="73"/>
      <c r="L870" s="75"/>
      <c r="M870" s="75"/>
      <c r="N870" s="75"/>
      <c r="O870" s="75"/>
      <c r="P870" s="75"/>
      <c r="Q870" s="75"/>
      <c r="R870" s="75"/>
      <c r="S870" s="75"/>
      <c r="T870" s="75"/>
      <c r="U870" s="75"/>
      <c r="V870" s="75"/>
      <c r="W870" s="75"/>
      <c r="X870" s="75"/>
      <c r="Y870" s="75"/>
      <c r="Z870" s="75"/>
    </row>
    <row r="871">
      <c r="A871" s="112"/>
      <c r="B871" s="121"/>
      <c r="C871" s="112"/>
      <c r="D871" s="121"/>
      <c r="E871" s="121"/>
      <c r="F871" s="102"/>
      <c r="G871" s="102"/>
      <c r="H871" s="94" t="str">
        <f t="shared" si="5"/>
        <v/>
      </c>
      <c r="I871" s="98"/>
      <c r="J871" s="98"/>
      <c r="K871" s="95"/>
      <c r="L871" s="98"/>
      <c r="M871" s="98"/>
      <c r="N871" s="98"/>
      <c r="O871" s="98"/>
      <c r="P871" s="98"/>
      <c r="Q871" s="98"/>
      <c r="R871" s="98"/>
      <c r="S871" s="98"/>
      <c r="T871" s="98"/>
      <c r="U871" s="98"/>
      <c r="V871" s="98"/>
      <c r="W871" s="98"/>
      <c r="X871" s="98"/>
      <c r="Y871" s="98"/>
      <c r="Z871" s="98"/>
    </row>
    <row r="872">
      <c r="A872" s="114"/>
      <c r="B872" s="122"/>
      <c r="C872" s="114"/>
      <c r="D872" s="122"/>
      <c r="E872" s="122"/>
      <c r="F872" s="88"/>
      <c r="G872" s="88"/>
      <c r="H872" s="72" t="str">
        <f t="shared" si="5"/>
        <v/>
      </c>
      <c r="I872" s="75"/>
      <c r="J872" s="75"/>
      <c r="K872" s="73"/>
      <c r="L872" s="75"/>
      <c r="M872" s="75"/>
      <c r="N872" s="75"/>
      <c r="O872" s="75"/>
      <c r="P872" s="75"/>
      <c r="Q872" s="75"/>
      <c r="R872" s="75"/>
      <c r="S872" s="75"/>
      <c r="T872" s="75"/>
      <c r="U872" s="75"/>
      <c r="V872" s="75"/>
      <c r="W872" s="75"/>
      <c r="X872" s="75"/>
      <c r="Y872" s="75"/>
      <c r="Z872" s="75"/>
    </row>
    <row r="873">
      <c r="A873" s="112"/>
      <c r="B873" s="121"/>
      <c r="C873" s="112"/>
      <c r="D873" s="121"/>
      <c r="E873" s="121"/>
      <c r="F873" s="102"/>
      <c r="G873" s="102"/>
      <c r="H873" s="94" t="str">
        <f t="shared" si="5"/>
        <v/>
      </c>
      <c r="I873" s="98"/>
      <c r="J873" s="98"/>
      <c r="K873" s="95"/>
      <c r="L873" s="98"/>
      <c r="M873" s="98"/>
      <c r="N873" s="98"/>
      <c r="O873" s="98"/>
      <c r="P873" s="98"/>
      <c r="Q873" s="98"/>
      <c r="R873" s="98"/>
      <c r="S873" s="98"/>
      <c r="T873" s="98"/>
      <c r="U873" s="98"/>
      <c r="V873" s="98"/>
      <c r="W873" s="98"/>
      <c r="X873" s="98"/>
      <c r="Y873" s="98"/>
      <c r="Z873" s="98"/>
    </row>
    <row r="874">
      <c r="A874" s="114"/>
      <c r="B874" s="122"/>
      <c r="C874" s="114"/>
      <c r="D874" s="122"/>
      <c r="E874" s="122"/>
      <c r="F874" s="88"/>
      <c r="G874" s="88"/>
      <c r="H874" s="72" t="str">
        <f t="shared" si="5"/>
        <v/>
      </c>
      <c r="I874" s="75"/>
      <c r="J874" s="75"/>
      <c r="K874" s="73"/>
      <c r="L874" s="75"/>
      <c r="M874" s="75"/>
      <c r="N874" s="75"/>
      <c r="O874" s="75"/>
      <c r="P874" s="75"/>
      <c r="Q874" s="75"/>
      <c r="R874" s="75"/>
      <c r="S874" s="75"/>
      <c r="T874" s="75"/>
      <c r="U874" s="75"/>
      <c r="V874" s="75"/>
      <c r="W874" s="75"/>
      <c r="X874" s="75"/>
      <c r="Y874" s="75"/>
      <c r="Z874" s="75"/>
    </row>
    <row r="875">
      <c r="A875" s="112"/>
      <c r="B875" s="121"/>
      <c r="C875" s="112"/>
      <c r="D875" s="121"/>
      <c r="E875" s="121"/>
      <c r="F875" s="102"/>
      <c r="G875" s="102"/>
      <c r="H875" s="94" t="str">
        <f t="shared" si="5"/>
        <v/>
      </c>
      <c r="I875" s="98"/>
      <c r="J875" s="98"/>
      <c r="K875" s="95"/>
      <c r="L875" s="98"/>
      <c r="M875" s="98"/>
      <c r="N875" s="98"/>
      <c r="O875" s="98"/>
      <c r="P875" s="98"/>
      <c r="Q875" s="98"/>
      <c r="R875" s="98"/>
      <c r="S875" s="98"/>
      <c r="T875" s="98"/>
      <c r="U875" s="98"/>
      <c r="V875" s="98"/>
      <c r="W875" s="98"/>
      <c r="X875" s="98"/>
      <c r="Y875" s="98"/>
      <c r="Z875" s="98"/>
    </row>
    <row r="876">
      <c r="A876" s="114"/>
      <c r="B876" s="122"/>
      <c r="C876" s="114"/>
      <c r="D876" s="122"/>
      <c r="E876" s="122"/>
      <c r="F876" s="88"/>
      <c r="G876" s="88"/>
      <c r="H876" s="72" t="str">
        <f t="shared" si="5"/>
        <v/>
      </c>
      <c r="I876" s="75"/>
      <c r="J876" s="75"/>
      <c r="K876" s="73"/>
      <c r="L876" s="75"/>
      <c r="M876" s="75"/>
      <c r="N876" s="75"/>
      <c r="O876" s="75"/>
      <c r="P876" s="75"/>
      <c r="Q876" s="75"/>
      <c r="R876" s="75"/>
      <c r="S876" s="75"/>
      <c r="T876" s="75"/>
      <c r="U876" s="75"/>
      <c r="V876" s="75"/>
      <c r="W876" s="75"/>
      <c r="X876" s="75"/>
      <c r="Y876" s="75"/>
      <c r="Z876" s="75"/>
    </row>
    <row r="877">
      <c r="A877" s="112"/>
      <c r="B877" s="121"/>
      <c r="C877" s="112"/>
      <c r="D877" s="121"/>
      <c r="E877" s="121"/>
      <c r="F877" s="102"/>
      <c r="G877" s="102"/>
      <c r="H877" s="94" t="str">
        <f t="shared" si="5"/>
        <v/>
      </c>
      <c r="I877" s="98"/>
      <c r="J877" s="98"/>
      <c r="K877" s="95"/>
      <c r="L877" s="98"/>
      <c r="M877" s="98"/>
      <c r="N877" s="98"/>
      <c r="O877" s="98"/>
      <c r="P877" s="98"/>
      <c r="Q877" s="98"/>
      <c r="R877" s="98"/>
      <c r="S877" s="98"/>
      <c r="T877" s="98"/>
      <c r="U877" s="98"/>
      <c r="V877" s="98"/>
      <c r="W877" s="98"/>
      <c r="X877" s="98"/>
      <c r="Y877" s="98"/>
      <c r="Z877" s="98"/>
    </row>
    <row r="878">
      <c r="A878" s="114"/>
      <c r="B878" s="122"/>
      <c r="C878" s="114"/>
      <c r="D878" s="122"/>
      <c r="E878" s="122"/>
      <c r="F878" s="88"/>
      <c r="G878" s="88"/>
      <c r="H878" s="72" t="str">
        <f t="shared" si="5"/>
        <v/>
      </c>
      <c r="I878" s="75"/>
      <c r="J878" s="75"/>
      <c r="K878" s="73"/>
      <c r="L878" s="75"/>
      <c r="M878" s="75"/>
      <c r="N878" s="75"/>
      <c r="O878" s="75"/>
      <c r="P878" s="75"/>
      <c r="Q878" s="75"/>
      <c r="R878" s="75"/>
      <c r="S878" s="75"/>
      <c r="T878" s="75"/>
      <c r="U878" s="75"/>
      <c r="V878" s="75"/>
      <c r="W878" s="75"/>
      <c r="X878" s="75"/>
      <c r="Y878" s="75"/>
      <c r="Z878" s="75"/>
    </row>
    <row r="879">
      <c r="A879" s="112"/>
      <c r="B879" s="121"/>
      <c r="C879" s="112"/>
      <c r="D879" s="121"/>
      <c r="E879" s="121"/>
      <c r="F879" s="102"/>
      <c r="G879" s="102"/>
      <c r="H879" s="94" t="str">
        <f t="shared" si="5"/>
        <v/>
      </c>
      <c r="I879" s="98"/>
      <c r="J879" s="98"/>
      <c r="K879" s="95"/>
      <c r="L879" s="98"/>
      <c r="M879" s="98"/>
      <c r="N879" s="98"/>
      <c r="O879" s="98"/>
      <c r="P879" s="98"/>
      <c r="Q879" s="98"/>
      <c r="R879" s="98"/>
      <c r="S879" s="98"/>
      <c r="T879" s="98"/>
      <c r="U879" s="98"/>
      <c r="V879" s="98"/>
      <c r="W879" s="98"/>
      <c r="X879" s="98"/>
      <c r="Y879" s="98"/>
      <c r="Z879" s="98"/>
    </row>
    <row r="880">
      <c r="A880" s="114"/>
      <c r="B880" s="122"/>
      <c r="C880" s="114"/>
      <c r="D880" s="122"/>
      <c r="E880" s="122"/>
      <c r="F880" s="88"/>
      <c r="G880" s="88"/>
      <c r="H880" s="72" t="str">
        <f t="shared" si="5"/>
        <v/>
      </c>
      <c r="I880" s="75"/>
      <c r="J880" s="75"/>
      <c r="K880" s="73"/>
      <c r="L880" s="75"/>
      <c r="M880" s="75"/>
      <c r="N880" s="75"/>
      <c r="O880" s="75"/>
      <c r="P880" s="75"/>
      <c r="Q880" s="75"/>
      <c r="R880" s="75"/>
      <c r="S880" s="75"/>
      <c r="T880" s="75"/>
      <c r="U880" s="75"/>
      <c r="V880" s="75"/>
      <c r="W880" s="75"/>
      <c r="X880" s="75"/>
      <c r="Y880" s="75"/>
      <c r="Z880" s="75"/>
    </row>
    <row r="881">
      <c r="A881" s="112"/>
      <c r="B881" s="121"/>
      <c r="C881" s="112"/>
      <c r="D881" s="121"/>
      <c r="E881" s="121"/>
      <c r="F881" s="102"/>
      <c r="G881" s="102"/>
      <c r="H881" s="94" t="str">
        <f t="shared" si="5"/>
        <v/>
      </c>
      <c r="I881" s="98"/>
      <c r="J881" s="98"/>
      <c r="K881" s="95"/>
      <c r="L881" s="98"/>
      <c r="M881" s="98"/>
      <c r="N881" s="98"/>
      <c r="O881" s="98"/>
      <c r="P881" s="98"/>
      <c r="Q881" s="98"/>
      <c r="R881" s="98"/>
      <c r="S881" s="98"/>
      <c r="T881" s="98"/>
      <c r="U881" s="98"/>
      <c r="V881" s="98"/>
      <c r="W881" s="98"/>
      <c r="X881" s="98"/>
      <c r="Y881" s="98"/>
      <c r="Z881" s="98"/>
    </row>
    <row r="882">
      <c r="A882" s="114"/>
      <c r="B882" s="122"/>
      <c r="C882" s="114"/>
      <c r="D882" s="122"/>
      <c r="E882" s="122"/>
      <c r="F882" s="88"/>
      <c r="G882" s="88"/>
      <c r="H882" s="72" t="str">
        <f t="shared" si="5"/>
        <v/>
      </c>
      <c r="I882" s="75"/>
      <c r="J882" s="75"/>
      <c r="K882" s="73"/>
      <c r="L882" s="75"/>
      <c r="M882" s="75"/>
      <c r="N882" s="75"/>
      <c r="O882" s="75"/>
      <c r="P882" s="75"/>
      <c r="Q882" s="75"/>
      <c r="R882" s="75"/>
      <c r="S882" s="75"/>
      <c r="T882" s="75"/>
      <c r="U882" s="75"/>
      <c r="V882" s="75"/>
      <c r="W882" s="75"/>
      <c r="X882" s="75"/>
      <c r="Y882" s="75"/>
      <c r="Z882" s="75"/>
    </row>
    <row r="883">
      <c r="A883" s="112"/>
      <c r="B883" s="121"/>
      <c r="C883" s="112"/>
      <c r="D883" s="121"/>
      <c r="E883" s="121"/>
      <c r="F883" s="102"/>
      <c r="G883" s="102"/>
      <c r="H883" s="94" t="str">
        <f t="shared" si="5"/>
        <v/>
      </c>
      <c r="I883" s="98"/>
      <c r="J883" s="98"/>
      <c r="K883" s="95"/>
      <c r="L883" s="98"/>
      <c r="M883" s="98"/>
      <c r="N883" s="98"/>
      <c r="O883" s="98"/>
      <c r="P883" s="98"/>
      <c r="Q883" s="98"/>
      <c r="R883" s="98"/>
      <c r="S883" s="98"/>
      <c r="T883" s="98"/>
      <c r="U883" s="98"/>
      <c r="V883" s="98"/>
      <c r="W883" s="98"/>
      <c r="X883" s="98"/>
      <c r="Y883" s="98"/>
      <c r="Z883" s="98"/>
    </row>
    <row r="884">
      <c r="A884" s="114"/>
      <c r="B884" s="122"/>
      <c r="C884" s="114"/>
      <c r="D884" s="122"/>
      <c r="E884" s="122"/>
      <c r="F884" s="88"/>
      <c r="G884" s="88"/>
      <c r="H884" s="72" t="str">
        <f t="shared" si="5"/>
        <v/>
      </c>
      <c r="I884" s="75"/>
      <c r="J884" s="75"/>
      <c r="K884" s="73"/>
      <c r="L884" s="75"/>
      <c r="M884" s="75"/>
      <c r="N884" s="75"/>
      <c r="O884" s="75"/>
      <c r="P884" s="75"/>
      <c r="Q884" s="75"/>
      <c r="R884" s="75"/>
      <c r="S884" s="75"/>
      <c r="T884" s="75"/>
      <c r="U884" s="75"/>
      <c r="V884" s="75"/>
      <c r="W884" s="75"/>
      <c r="X884" s="75"/>
      <c r="Y884" s="75"/>
      <c r="Z884" s="75"/>
    </row>
    <row r="885">
      <c r="A885" s="112"/>
      <c r="B885" s="121"/>
      <c r="C885" s="112"/>
      <c r="D885" s="121"/>
      <c r="E885" s="121"/>
      <c r="F885" s="102"/>
      <c r="G885" s="102"/>
      <c r="H885" s="94" t="str">
        <f t="shared" si="5"/>
        <v/>
      </c>
      <c r="I885" s="98"/>
      <c r="J885" s="98"/>
      <c r="K885" s="95"/>
      <c r="L885" s="98"/>
      <c r="M885" s="98"/>
      <c r="N885" s="98"/>
      <c r="O885" s="98"/>
      <c r="P885" s="98"/>
      <c r="Q885" s="98"/>
      <c r="R885" s="98"/>
      <c r="S885" s="98"/>
      <c r="T885" s="98"/>
      <c r="U885" s="98"/>
      <c r="V885" s="98"/>
      <c r="W885" s="98"/>
      <c r="X885" s="98"/>
      <c r="Y885" s="98"/>
      <c r="Z885" s="98"/>
    </row>
    <row r="886">
      <c r="A886" s="114"/>
      <c r="B886" s="122"/>
      <c r="C886" s="114"/>
      <c r="D886" s="122"/>
      <c r="E886" s="122"/>
      <c r="F886" s="88"/>
      <c r="G886" s="88"/>
      <c r="H886" s="72" t="str">
        <f t="shared" si="5"/>
        <v/>
      </c>
      <c r="I886" s="75"/>
      <c r="J886" s="75"/>
      <c r="K886" s="73"/>
      <c r="L886" s="75"/>
      <c r="M886" s="75"/>
      <c r="N886" s="75"/>
      <c r="O886" s="75"/>
      <c r="P886" s="75"/>
      <c r="Q886" s="75"/>
      <c r="R886" s="75"/>
      <c r="S886" s="75"/>
      <c r="T886" s="75"/>
      <c r="U886" s="75"/>
      <c r="V886" s="75"/>
      <c r="W886" s="75"/>
      <c r="X886" s="75"/>
      <c r="Y886" s="75"/>
      <c r="Z886" s="75"/>
    </row>
    <row r="887">
      <c r="A887" s="112"/>
      <c r="B887" s="121"/>
      <c r="C887" s="112"/>
      <c r="D887" s="121"/>
      <c r="E887" s="121"/>
      <c r="F887" s="102"/>
      <c r="G887" s="102"/>
      <c r="H887" s="94" t="str">
        <f t="shared" si="5"/>
        <v/>
      </c>
      <c r="I887" s="98"/>
      <c r="J887" s="98"/>
      <c r="K887" s="95"/>
      <c r="L887" s="98"/>
      <c r="M887" s="98"/>
      <c r="N887" s="98"/>
      <c r="O887" s="98"/>
      <c r="P887" s="98"/>
      <c r="Q887" s="98"/>
      <c r="R887" s="98"/>
      <c r="S887" s="98"/>
      <c r="T887" s="98"/>
      <c r="U887" s="98"/>
      <c r="V887" s="98"/>
      <c r="W887" s="98"/>
      <c r="X887" s="98"/>
      <c r="Y887" s="98"/>
      <c r="Z887" s="98"/>
    </row>
  </sheetData>
  <autoFilter ref="$A$1:$Z$887">
    <sortState ref="A1:Z887">
      <sortCondition ref="G1:G887"/>
      <sortCondition ref="A1:A887"/>
    </sortState>
  </autoFilter>
  <dataValidations>
    <dataValidation type="list" allowBlank="1" showErrorMessage="1" sqref="K76 K229 K535 K550 K632">
      <formula1>"CONTRATAÇÃO,REPARADO - LIBERADA,SINALIZADOR,GRAFISMO,CONTRATAÇÃO - DESCARGA,BORRACHARIA,GARANTIA"</formula1>
    </dataValidation>
    <dataValidation type="list" allowBlank="1" showErrorMessage="1" sqref="K228 K230 K258 K263:K264 K273:K281 K307:K363 K365:K414 K416:K534 K536:K549 K551:K631 K633">
      <formula1>"CONTRATAÇÃO,RESOLVIDO,SINALIZADOR,GRAFISMO,DESCARGA,BORRACHARIA,GARANTIA"</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1.5"/>
    <col customWidth="1" min="2" max="2" width="14.5"/>
    <col customWidth="1" min="3" max="3" width="14.0"/>
    <col customWidth="1" min="4" max="4" width="15.63"/>
    <col customWidth="1" min="5" max="5" width="13.25"/>
    <col customWidth="1" min="6" max="6" width="12.0"/>
    <col customWidth="1" min="7" max="7" width="13.63"/>
    <col customWidth="1" min="9" max="9" width="65.0"/>
    <col customWidth="1" min="11" max="11" width="27.88"/>
    <col hidden="1" min="12" max="29" width="12.63"/>
  </cols>
  <sheetData>
    <row r="1">
      <c r="A1" s="123" t="s">
        <v>0</v>
      </c>
      <c r="B1" s="124" t="s">
        <v>1</v>
      </c>
      <c r="C1" s="124" t="s">
        <v>2</v>
      </c>
      <c r="D1" s="124" t="s">
        <v>3</v>
      </c>
      <c r="E1" s="124" t="s">
        <v>4</v>
      </c>
      <c r="F1" s="124" t="s">
        <v>2622</v>
      </c>
      <c r="G1" s="123" t="s">
        <v>6</v>
      </c>
      <c r="H1" s="123" t="s">
        <v>7</v>
      </c>
      <c r="I1" s="125" t="s">
        <v>8</v>
      </c>
      <c r="J1" s="123" t="s">
        <v>9</v>
      </c>
      <c r="K1" s="123" t="s">
        <v>10</v>
      </c>
      <c r="L1" s="126"/>
      <c r="M1" s="126"/>
      <c r="N1" s="126"/>
      <c r="O1" s="126"/>
      <c r="P1" s="126"/>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row>
    <row r="2">
      <c r="A2" s="127">
        <v>10712.0</v>
      </c>
      <c r="B2" s="128" t="s">
        <v>2623</v>
      </c>
      <c r="C2" s="128">
        <v>2012.0</v>
      </c>
      <c r="D2" s="128" t="s">
        <v>2624</v>
      </c>
      <c r="E2" s="128" t="s">
        <v>240</v>
      </c>
      <c r="F2" s="128" t="s">
        <v>2625</v>
      </c>
      <c r="G2" s="129">
        <v>45271.0</v>
      </c>
      <c r="H2" s="127">
        <f t="shared" ref="H2:H47" si="1">IF(G2="","",IF(J2="",TODAY()-G2,J2-G2))</f>
        <v>182</v>
      </c>
      <c r="I2" s="128" t="s">
        <v>2626</v>
      </c>
      <c r="J2" s="129">
        <v>45453.0</v>
      </c>
      <c r="K2" s="128" t="s">
        <v>2627</v>
      </c>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row>
    <row r="3">
      <c r="A3" s="127">
        <v>11547.0</v>
      </c>
      <c r="B3" s="128" t="s">
        <v>2628</v>
      </c>
      <c r="C3" s="128">
        <v>2009.0</v>
      </c>
      <c r="D3" s="128" t="s">
        <v>2629</v>
      </c>
      <c r="E3" s="128" t="s">
        <v>70</v>
      </c>
      <c r="F3" s="128" t="s">
        <v>2630</v>
      </c>
      <c r="G3" s="131">
        <v>45344.0</v>
      </c>
      <c r="H3" s="127">
        <f t="shared" si="1"/>
        <v>110</v>
      </c>
      <c r="I3" s="128" t="s">
        <v>2631</v>
      </c>
      <c r="J3" s="131">
        <v>45454.0</v>
      </c>
      <c r="K3" s="128" t="s">
        <v>2627</v>
      </c>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row>
    <row r="4">
      <c r="A4" s="127">
        <v>11840.0</v>
      </c>
      <c r="B4" s="128" t="s">
        <v>2632</v>
      </c>
      <c r="C4" s="128">
        <v>2017.0</v>
      </c>
      <c r="D4" s="128" t="s">
        <v>14</v>
      </c>
      <c r="E4" s="128" t="s">
        <v>28</v>
      </c>
      <c r="F4" s="128" t="s">
        <v>2633</v>
      </c>
      <c r="G4" s="129">
        <v>45359.0</v>
      </c>
      <c r="H4" s="127">
        <f t="shared" si="1"/>
        <v>95</v>
      </c>
      <c r="I4" s="128" t="s">
        <v>2634</v>
      </c>
      <c r="J4" s="129">
        <v>45454.0</v>
      </c>
      <c r="K4" s="128" t="s">
        <v>2627</v>
      </c>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row>
    <row r="5">
      <c r="A5" s="127">
        <v>11680.0</v>
      </c>
      <c r="B5" s="128" t="s">
        <v>2635</v>
      </c>
      <c r="C5" s="128">
        <v>2014.0</v>
      </c>
      <c r="D5" s="128" t="s">
        <v>52</v>
      </c>
      <c r="E5" s="128" t="s">
        <v>47</v>
      </c>
      <c r="F5" s="128" t="s">
        <v>2636</v>
      </c>
      <c r="G5" s="129">
        <v>45352.0</v>
      </c>
      <c r="H5" s="127">
        <f t="shared" si="1"/>
        <v>104</v>
      </c>
      <c r="I5" s="128" t="s">
        <v>2637</v>
      </c>
      <c r="J5" s="129">
        <v>45456.0</v>
      </c>
      <c r="K5" s="128" t="s">
        <v>2627</v>
      </c>
      <c r="L5" s="130"/>
      <c r="M5" s="130"/>
      <c r="N5" s="130"/>
      <c r="O5" s="130"/>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row>
    <row r="6">
      <c r="A6" s="127">
        <v>11273.0</v>
      </c>
      <c r="B6" s="128" t="s">
        <v>2638</v>
      </c>
      <c r="C6" s="128">
        <v>2008.0</v>
      </c>
      <c r="D6" s="128" t="s">
        <v>1122</v>
      </c>
      <c r="E6" s="128" t="s">
        <v>630</v>
      </c>
      <c r="F6" s="128" t="s">
        <v>2639</v>
      </c>
      <c r="G6" s="129">
        <v>45321.0</v>
      </c>
      <c r="H6" s="127">
        <f t="shared" si="1"/>
        <v>136</v>
      </c>
      <c r="I6" s="128" t="s">
        <v>2640</v>
      </c>
      <c r="J6" s="129">
        <v>45457.0</v>
      </c>
      <c r="K6" s="128" t="s">
        <v>2627</v>
      </c>
      <c r="L6" s="130"/>
      <c r="M6" s="130"/>
      <c r="N6" s="130"/>
      <c r="O6" s="130"/>
      <c r="P6" s="130"/>
      <c r="Q6" s="130"/>
      <c r="R6" s="130"/>
      <c r="S6" s="130"/>
      <c r="T6" s="130"/>
      <c r="U6" s="130"/>
      <c r="V6" s="130"/>
      <c r="W6" s="130"/>
      <c r="X6" s="130"/>
      <c r="Y6" s="130"/>
      <c r="Z6" s="130"/>
      <c r="AA6" s="130"/>
      <c r="AB6" s="130"/>
      <c r="AC6" s="130"/>
      <c r="AD6" s="130"/>
      <c r="AE6" s="130"/>
      <c r="AF6" s="130"/>
      <c r="AG6" s="130"/>
      <c r="AH6" s="130"/>
      <c r="AI6" s="130"/>
      <c r="AJ6" s="130"/>
      <c r="AK6" s="130"/>
      <c r="AL6" s="130"/>
      <c r="AM6" s="130"/>
      <c r="AN6" s="130"/>
      <c r="AO6" s="130"/>
    </row>
    <row r="7">
      <c r="A7" s="127">
        <v>11908.0</v>
      </c>
      <c r="B7" s="128" t="s">
        <v>2641</v>
      </c>
      <c r="C7" s="128">
        <v>2013.0</v>
      </c>
      <c r="D7" s="128" t="s">
        <v>105</v>
      </c>
      <c r="E7" s="128" t="s">
        <v>337</v>
      </c>
      <c r="F7" s="128" t="s">
        <v>2642</v>
      </c>
      <c r="G7" s="131">
        <v>45363.0</v>
      </c>
      <c r="H7" s="127">
        <f t="shared" si="1"/>
        <v>97</v>
      </c>
      <c r="I7" s="128" t="s">
        <v>2643</v>
      </c>
      <c r="J7" s="131">
        <v>45460.0</v>
      </c>
      <c r="K7" s="128" t="s">
        <v>2627</v>
      </c>
      <c r="L7" s="130"/>
      <c r="M7" s="130"/>
      <c r="N7" s="130"/>
      <c r="O7" s="130"/>
      <c r="P7" s="130"/>
      <c r="Q7" s="130"/>
      <c r="R7" s="130"/>
      <c r="S7" s="130"/>
      <c r="T7" s="130"/>
      <c r="U7" s="130"/>
      <c r="V7" s="130"/>
      <c r="W7" s="130"/>
      <c r="X7" s="130"/>
      <c r="Y7" s="130"/>
      <c r="Z7" s="130"/>
      <c r="AA7" s="130"/>
      <c r="AB7" s="130"/>
      <c r="AC7" s="130"/>
      <c r="AD7" s="130"/>
      <c r="AE7" s="130"/>
      <c r="AF7" s="130"/>
      <c r="AG7" s="130"/>
      <c r="AH7" s="130"/>
      <c r="AI7" s="130"/>
      <c r="AJ7" s="130"/>
      <c r="AK7" s="130"/>
      <c r="AL7" s="130"/>
      <c r="AM7" s="130"/>
      <c r="AN7" s="130"/>
      <c r="AO7" s="130"/>
    </row>
    <row r="8">
      <c r="A8" s="127">
        <v>11906.0</v>
      </c>
      <c r="B8" s="128" t="s">
        <v>2644</v>
      </c>
      <c r="C8" s="128">
        <v>2017.0</v>
      </c>
      <c r="D8" s="128" t="s">
        <v>2624</v>
      </c>
      <c r="E8" s="128" t="s">
        <v>337</v>
      </c>
      <c r="F8" s="128" t="s">
        <v>2645</v>
      </c>
      <c r="G8" s="131">
        <v>45363.0</v>
      </c>
      <c r="H8" s="127">
        <f t="shared" si="1"/>
        <v>97</v>
      </c>
      <c r="I8" s="128" t="s">
        <v>2643</v>
      </c>
      <c r="J8" s="131">
        <v>45460.0</v>
      </c>
      <c r="K8" s="128" t="s">
        <v>2627</v>
      </c>
      <c r="L8" s="130"/>
      <c r="M8" s="130"/>
      <c r="N8" s="130"/>
      <c r="O8" s="130"/>
      <c r="P8" s="130"/>
      <c r="Q8" s="130"/>
      <c r="R8" s="130"/>
      <c r="S8" s="130"/>
      <c r="T8" s="130"/>
      <c r="U8" s="130"/>
      <c r="V8" s="130"/>
      <c r="W8" s="130"/>
      <c r="X8" s="130"/>
      <c r="Y8" s="130"/>
      <c r="Z8" s="130"/>
      <c r="AA8" s="130"/>
      <c r="AB8" s="130"/>
      <c r="AC8" s="130"/>
      <c r="AD8" s="130"/>
      <c r="AE8" s="130"/>
      <c r="AF8" s="130"/>
      <c r="AG8" s="130"/>
      <c r="AH8" s="130"/>
      <c r="AI8" s="130"/>
      <c r="AJ8" s="130"/>
      <c r="AK8" s="130"/>
      <c r="AL8" s="130"/>
      <c r="AM8" s="130"/>
      <c r="AN8" s="130"/>
      <c r="AO8" s="130"/>
    </row>
    <row r="9">
      <c r="A9" s="127">
        <v>11595.0</v>
      </c>
      <c r="B9" s="128" t="s">
        <v>2646</v>
      </c>
      <c r="C9" s="128">
        <v>2011.0</v>
      </c>
      <c r="D9" s="128" t="s">
        <v>2647</v>
      </c>
      <c r="E9" s="128" t="s">
        <v>70</v>
      </c>
      <c r="F9" s="128" t="s">
        <v>2648</v>
      </c>
      <c r="G9" s="131">
        <v>45348.0</v>
      </c>
      <c r="H9" s="127">
        <f t="shared" si="1"/>
        <v>113</v>
      </c>
      <c r="I9" s="128" t="s">
        <v>2649</v>
      </c>
      <c r="J9" s="131">
        <v>45461.0</v>
      </c>
      <c r="K9" s="128" t="s">
        <v>2627</v>
      </c>
      <c r="L9" s="130"/>
      <c r="M9" s="130"/>
      <c r="N9" s="130"/>
      <c r="O9" s="130"/>
      <c r="P9" s="130"/>
      <c r="Q9" s="130"/>
      <c r="R9" s="130"/>
      <c r="S9" s="130"/>
      <c r="T9" s="130"/>
      <c r="U9" s="130"/>
      <c r="V9" s="130"/>
      <c r="W9" s="130"/>
      <c r="X9" s="130"/>
      <c r="Y9" s="130"/>
      <c r="Z9" s="130"/>
      <c r="AA9" s="130"/>
      <c r="AB9" s="130"/>
      <c r="AC9" s="130"/>
      <c r="AD9" s="130"/>
      <c r="AE9" s="130"/>
      <c r="AF9" s="130"/>
      <c r="AG9" s="130"/>
      <c r="AH9" s="130"/>
      <c r="AI9" s="130"/>
      <c r="AJ9" s="130"/>
      <c r="AK9" s="130"/>
      <c r="AL9" s="130"/>
      <c r="AM9" s="130"/>
      <c r="AN9" s="130"/>
      <c r="AO9" s="130"/>
    </row>
    <row r="10">
      <c r="A10" s="127">
        <v>12999.0</v>
      </c>
      <c r="B10" s="128" t="s">
        <v>2650</v>
      </c>
      <c r="C10" s="128">
        <v>2017.0</v>
      </c>
      <c r="D10" s="128" t="s">
        <v>2624</v>
      </c>
      <c r="E10" s="128" t="s">
        <v>70</v>
      </c>
      <c r="F10" s="128" t="s">
        <v>2651</v>
      </c>
      <c r="G10" s="131">
        <v>45453.0</v>
      </c>
      <c r="H10" s="127">
        <f t="shared" si="1"/>
        <v>8</v>
      </c>
      <c r="I10" s="128" t="s">
        <v>2652</v>
      </c>
      <c r="J10" s="131">
        <v>45461.0</v>
      </c>
      <c r="K10" s="128" t="s">
        <v>2627</v>
      </c>
      <c r="L10" s="130"/>
      <c r="M10" s="130"/>
      <c r="N10" s="130"/>
      <c r="O10" s="130"/>
      <c r="P10" s="130"/>
      <c r="Q10" s="130"/>
      <c r="R10" s="130"/>
      <c r="S10" s="130"/>
      <c r="T10" s="130"/>
      <c r="U10" s="130"/>
      <c r="V10" s="130"/>
      <c r="W10" s="130"/>
      <c r="X10" s="130"/>
      <c r="Y10" s="130"/>
      <c r="Z10" s="130"/>
      <c r="AA10" s="130"/>
      <c r="AB10" s="130"/>
      <c r="AC10" s="130"/>
      <c r="AD10" s="130"/>
      <c r="AE10" s="130"/>
      <c r="AF10" s="130"/>
      <c r="AG10" s="130"/>
      <c r="AH10" s="130"/>
      <c r="AI10" s="130"/>
      <c r="AJ10" s="130"/>
      <c r="AK10" s="130"/>
      <c r="AL10" s="130"/>
      <c r="AM10" s="130"/>
      <c r="AN10" s="130"/>
      <c r="AO10" s="130"/>
    </row>
    <row r="11">
      <c r="A11" s="127">
        <v>11574.0</v>
      </c>
      <c r="B11" s="128" t="s">
        <v>2653</v>
      </c>
      <c r="C11" s="128">
        <v>2011.0</v>
      </c>
      <c r="D11" s="128" t="s">
        <v>2654</v>
      </c>
      <c r="E11" s="128" t="s">
        <v>70</v>
      </c>
      <c r="F11" s="128" t="s">
        <v>2655</v>
      </c>
      <c r="G11" s="129">
        <v>45344.0</v>
      </c>
      <c r="H11" s="132">
        <f t="shared" si="1"/>
        <v>295</v>
      </c>
      <c r="I11" s="128" t="s">
        <v>668</v>
      </c>
      <c r="J11" s="129">
        <v>45639.0</v>
      </c>
      <c r="K11" s="128" t="s">
        <v>2627</v>
      </c>
      <c r="L11" s="130"/>
      <c r="M11" s="130"/>
      <c r="N11" s="130"/>
      <c r="O11" s="130"/>
      <c r="P11" s="130"/>
      <c r="Q11" s="130"/>
      <c r="R11" s="130"/>
      <c r="S11" s="130"/>
      <c r="T11" s="130"/>
      <c r="U11" s="130"/>
      <c r="V11" s="130"/>
      <c r="W11" s="130"/>
      <c r="X11" s="130"/>
      <c r="Y11" s="130"/>
      <c r="Z11" s="130"/>
      <c r="AA11" s="130"/>
      <c r="AB11" s="130"/>
      <c r="AC11" s="130"/>
      <c r="AD11" s="130"/>
      <c r="AE11" s="130"/>
      <c r="AF11" s="130"/>
      <c r="AG11" s="130"/>
      <c r="AH11" s="130"/>
      <c r="AI11" s="130"/>
      <c r="AJ11" s="130"/>
      <c r="AK11" s="130"/>
      <c r="AL11" s="130"/>
      <c r="AM11" s="130"/>
      <c r="AN11" s="130"/>
      <c r="AO11" s="130"/>
    </row>
    <row r="12">
      <c r="A12" s="127">
        <v>12454.0</v>
      </c>
      <c r="B12" s="128" t="s">
        <v>2656</v>
      </c>
      <c r="C12" s="128">
        <v>2018.0</v>
      </c>
      <c r="D12" s="128" t="s">
        <v>14</v>
      </c>
      <c r="E12" s="128" t="s">
        <v>106</v>
      </c>
      <c r="F12" s="128" t="s">
        <v>2657</v>
      </c>
      <c r="G12" s="131">
        <v>45404.0</v>
      </c>
      <c r="H12" s="132">
        <f t="shared" si="1"/>
        <v>235</v>
      </c>
      <c r="I12" s="128" t="s">
        <v>2658</v>
      </c>
      <c r="J12" s="129">
        <v>45639.0</v>
      </c>
      <c r="K12" s="128" t="s">
        <v>2627</v>
      </c>
      <c r="L12" s="130"/>
      <c r="M12" s="130"/>
      <c r="N12" s="130"/>
      <c r="O12" s="130"/>
      <c r="P12" s="130"/>
      <c r="Q12" s="130"/>
      <c r="R12" s="130"/>
      <c r="S12" s="130"/>
      <c r="T12" s="130"/>
      <c r="U12" s="130"/>
      <c r="V12" s="130"/>
      <c r="W12" s="130"/>
      <c r="X12" s="130"/>
      <c r="Y12" s="130"/>
      <c r="Z12" s="130"/>
      <c r="AA12" s="130"/>
      <c r="AB12" s="130"/>
      <c r="AC12" s="130"/>
      <c r="AD12" s="130"/>
      <c r="AE12" s="130"/>
      <c r="AF12" s="130"/>
      <c r="AG12" s="130"/>
      <c r="AH12" s="130"/>
      <c r="AI12" s="130"/>
      <c r="AJ12" s="130"/>
      <c r="AK12" s="130"/>
      <c r="AL12" s="130"/>
      <c r="AM12" s="130"/>
      <c r="AN12" s="130"/>
      <c r="AO12" s="130"/>
    </row>
    <row r="13">
      <c r="A13" s="127">
        <v>12492.0</v>
      </c>
      <c r="B13" s="128" t="s">
        <v>2659</v>
      </c>
      <c r="C13" s="128">
        <v>2015.0</v>
      </c>
      <c r="D13" s="128" t="s">
        <v>14</v>
      </c>
      <c r="E13" s="128" t="s">
        <v>169</v>
      </c>
      <c r="F13" s="128" t="s">
        <v>2660</v>
      </c>
      <c r="G13" s="129">
        <v>45406.0</v>
      </c>
      <c r="H13" s="132">
        <f t="shared" si="1"/>
        <v>233</v>
      </c>
      <c r="I13" s="128" t="s">
        <v>2661</v>
      </c>
      <c r="J13" s="129">
        <v>45639.0</v>
      </c>
      <c r="K13" s="128" t="s">
        <v>2627</v>
      </c>
      <c r="L13" s="130"/>
      <c r="M13" s="130"/>
      <c r="N13" s="130"/>
      <c r="O13" s="130"/>
      <c r="P13" s="130"/>
      <c r="Q13" s="130"/>
      <c r="R13" s="130"/>
      <c r="S13" s="130"/>
      <c r="T13" s="130"/>
      <c r="U13" s="130"/>
      <c r="V13" s="130"/>
      <c r="W13" s="130"/>
      <c r="X13" s="130"/>
      <c r="Y13" s="130"/>
      <c r="Z13" s="130"/>
      <c r="AA13" s="130"/>
      <c r="AB13" s="130"/>
      <c r="AC13" s="130"/>
      <c r="AD13" s="130"/>
      <c r="AE13" s="130"/>
      <c r="AF13" s="130"/>
      <c r="AG13" s="130"/>
      <c r="AH13" s="130"/>
      <c r="AI13" s="130"/>
      <c r="AJ13" s="130"/>
      <c r="AK13" s="130"/>
      <c r="AL13" s="130"/>
      <c r="AM13" s="130"/>
      <c r="AN13" s="130"/>
      <c r="AO13" s="130"/>
    </row>
    <row r="14">
      <c r="A14" s="128" t="s">
        <v>2662</v>
      </c>
      <c r="B14" s="128" t="s">
        <v>2663</v>
      </c>
      <c r="C14" s="128">
        <v>2017.0</v>
      </c>
      <c r="D14" s="128" t="s">
        <v>2624</v>
      </c>
      <c r="E14" s="128" t="s">
        <v>2664</v>
      </c>
      <c r="F14" s="128" t="s">
        <v>2665</v>
      </c>
      <c r="G14" s="129">
        <v>45489.0</v>
      </c>
      <c r="H14" s="132">
        <f t="shared" si="1"/>
        <v>150</v>
      </c>
      <c r="I14" s="128" t="s">
        <v>2666</v>
      </c>
      <c r="J14" s="133">
        <v>45639.0</v>
      </c>
      <c r="K14" s="128" t="s">
        <v>2627</v>
      </c>
      <c r="L14" s="130"/>
      <c r="M14" s="130"/>
      <c r="N14" s="130"/>
      <c r="O14" s="130"/>
      <c r="P14" s="130"/>
      <c r="Q14" s="130"/>
      <c r="R14" s="130"/>
      <c r="S14" s="130"/>
      <c r="T14" s="130"/>
      <c r="U14" s="130"/>
      <c r="V14" s="130"/>
      <c r="W14" s="130"/>
      <c r="X14" s="130"/>
      <c r="Y14" s="130"/>
      <c r="Z14" s="130"/>
      <c r="AA14" s="130"/>
      <c r="AB14" s="130"/>
      <c r="AC14" s="130"/>
      <c r="AD14" s="130"/>
      <c r="AE14" s="130"/>
      <c r="AF14" s="130"/>
      <c r="AG14" s="130"/>
      <c r="AH14" s="130"/>
      <c r="AI14" s="130"/>
      <c r="AJ14" s="130"/>
      <c r="AK14" s="130"/>
      <c r="AL14" s="130"/>
      <c r="AM14" s="130"/>
      <c r="AN14" s="130"/>
      <c r="AO14" s="130"/>
    </row>
    <row r="15">
      <c r="A15" s="127">
        <v>13788.0</v>
      </c>
      <c r="B15" s="128" t="s">
        <v>2667</v>
      </c>
      <c r="C15" s="128">
        <v>2010.0</v>
      </c>
      <c r="D15" s="128" t="s">
        <v>2654</v>
      </c>
      <c r="E15" s="128" t="s">
        <v>405</v>
      </c>
      <c r="F15" s="128" t="s">
        <v>2668</v>
      </c>
      <c r="G15" s="129">
        <v>45534.0</v>
      </c>
      <c r="H15" s="132">
        <f t="shared" si="1"/>
        <v>47</v>
      </c>
      <c r="I15" s="128" t="s">
        <v>2669</v>
      </c>
      <c r="J15" s="133">
        <v>45581.0</v>
      </c>
      <c r="K15" s="128" t="s">
        <v>2627</v>
      </c>
      <c r="L15" s="130"/>
      <c r="M15" s="130"/>
      <c r="N15" s="130"/>
      <c r="O15" s="130"/>
      <c r="P15" s="130"/>
      <c r="Q15" s="130"/>
      <c r="R15" s="130"/>
      <c r="S15" s="130"/>
      <c r="T15" s="130"/>
      <c r="U15" s="130"/>
      <c r="V15" s="130"/>
      <c r="W15" s="130"/>
      <c r="X15" s="130"/>
      <c r="Y15" s="130"/>
      <c r="Z15" s="130"/>
      <c r="AA15" s="130"/>
      <c r="AB15" s="130"/>
      <c r="AC15" s="130"/>
      <c r="AD15" s="130"/>
      <c r="AE15" s="130"/>
      <c r="AF15" s="130"/>
      <c r="AG15" s="130"/>
      <c r="AH15" s="130"/>
      <c r="AI15" s="130"/>
      <c r="AJ15" s="130"/>
      <c r="AK15" s="130"/>
      <c r="AL15" s="130"/>
      <c r="AM15" s="130"/>
      <c r="AN15" s="130"/>
      <c r="AO15" s="130"/>
    </row>
    <row r="16">
      <c r="A16" s="128" t="s">
        <v>2670</v>
      </c>
      <c r="B16" s="128" t="s">
        <v>2671</v>
      </c>
      <c r="C16" s="128">
        <v>2017.0</v>
      </c>
      <c r="D16" s="128" t="s">
        <v>14</v>
      </c>
      <c r="E16" s="128" t="s">
        <v>2672</v>
      </c>
      <c r="F16" s="128" t="s">
        <v>2673</v>
      </c>
      <c r="G16" s="129">
        <v>45628.0</v>
      </c>
      <c r="H16" s="132">
        <f t="shared" si="1"/>
        <v>80</v>
      </c>
      <c r="I16" s="128" t="s">
        <v>2674</v>
      </c>
      <c r="J16" s="129">
        <v>45708.0</v>
      </c>
      <c r="K16" s="128" t="s">
        <v>2627</v>
      </c>
      <c r="L16" s="130"/>
      <c r="M16" s="130"/>
      <c r="N16" s="130"/>
      <c r="O16" s="130"/>
      <c r="P16" s="130"/>
      <c r="Q16" s="130"/>
      <c r="R16" s="130"/>
      <c r="S16" s="130"/>
      <c r="T16" s="130"/>
      <c r="U16" s="130"/>
      <c r="V16" s="130"/>
      <c r="W16" s="130"/>
      <c r="X16" s="130"/>
      <c r="Y16" s="130"/>
      <c r="Z16" s="130"/>
      <c r="AA16" s="130"/>
      <c r="AB16" s="130"/>
      <c r="AC16" s="130"/>
      <c r="AD16" s="130"/>
      <c r="AE16" s="130"/>
      <c r="AF16" s="130"/>
      <c r="AG16" s="130"/>
      <c r="AH16" s="130"/>
      <c r="AI16" s="130"/>
      <c r="AJ16" s="130"/>
      <c r="AK16" s="130"/>
      <c r="AL16" s="130"/>
      <c r="AM16" s="130"/>
      <c r="AN16" s="130"/>
      <c r="AO16" s="130"/>
    </row>
    <row r="17">
      <c r="A17" s="127">
        <v>14465.0</v>
      </c>
      <c r="B17" s="128" t="s">
        <v>2675</v>
      </c>
      <c r="C17" s="128">
        <v>2014.0</v>
      </c>
      <c r="D17" s="128" t="s">
        <v>188</v>
      </c>
      <c r="E17" s="128" t="s">
        <v>805</v>
      </c>
      <c r="F17" s="128" t="s">
        <v>2676</v>
      </c>
      <c r="G17" s="131">
        <v>45624.0</v>
      </c>
      <c r="H17" s="132">
        <f t="shared" si="1"/>
        <v>89</v>
      </c>
      <c r="I17" s="128" t="s">
        <v>2677</v>
      </c>
      <c r="J17" s="131">
        <v>45713.0</v>
      </c>
      <c r="K17" s="128" t="s">
        <v>2627</v>
      </c>
      <c r="L17" s="130"/>
      <c r="M17" s="130"/>
      <c r="N17" s="130"/>
      <c r="O17" s="130"/>
      <c r="P17" s="130"/>
      <c r="Q17" s="130"/>
      <c r="R17" s="130"/>
      <c r="S17" s="130"/>
      <c r="T17" s="130"/>
      <c r="U17" s="130"/>
      <c r="V17" s="130"/>
      <c r="W17" s="130"/>
      <c r="X17" s="130"/>
      <c r="Y17" s="130"/>
      <c r="Z17" s="130"/>
      <c r="AA17" s="130"/>
      <c r="AB17" s="130"/>
      <c r="AC17" s="130"/>
      <c r="AD17" s="130"/>
      <c r="AE17" s="130"/>
      <c r="AF17" s="130"/>
      <c r="AG17" s="130"/>
      <c r="AH17" s="130"/>
      <c r="AI17" s="130"/>
      <c r="AJ17" s="130"/>
      <c r="AK17" s="130"/>
      <c r="AL17" s="130"/>
      <c r="AM17" s="130"/>
      <c r="AN17" s="130"/>
      <c r="AO17" s="130"/>
    </row>
    <row r="18">
      <c r="A18" s="127">
        <v>14825.0</v>
      </c>
      <c r="B18" s="128" t="s">
        <v>2678</v>
      </c>
      <c r="C18" s="128">
        <v>2015.0</v>
      </c>
      <c r="D18" s="128" t="s">
        <v>14</v>
      </c>
      <c r="E18" s="128" t="s">
        <v>855</v>
      </c>
      <c r="F18" s="128" t="s">
        <v>2679</v>
      </c>
      <c r="G18" s="129">
        <v>45681.0</v>
      </c>
      <c r="H18" s="132">
        <f t="shared" si="1"/>
        <v>69</v>
      </c>
      <c r="I18" s="128" t="s">
        <v>2680</v>
      </c>
      <c r="J18" s="129">
        <v>45750.0</v>
      </c>
      <c r="K18" s="128" t="s">
        <v>2627</v>
      </c>
      <c r="L18" s="130"/>
      <c r="M18" s="130"/>
      <c r="N18" s="130"/>
      <c r="O18" s="130"/>
      <c r="P18" s="130"/>
      <c r="Q18" s="130"/>
      <c r="R18" s="130"/>
      <c r="S18" s="130"/>
      <c r="T18" s="130"/>
      <c r="U18" s="130"/>
      <c r="V18" s="130"/>
      <c r="W18" s="130"/>
      <c r="X18" s="130"/>
      <c r="Y18" s="130"/>
      <c r="Z18" s="130"/>
      <c r="AA18" s="130"/>
      <c r="AB18" s="130"/>
      <c r="AC18" s="130"/>
      <c r="AD18" s="130"/>
      <c r="AE18" s="130"/>
      <c r="AF18" s="130"/>
      <c r="AG18" s="130"/>
      <c r="AH18" s="130"/>
      <c r="AI18" s="130"/>
      <c r="AJ18" s="130"/>
      <c r="AK18" s="130"/>
      <c r="AL18" s="130"/>
      <c r="AM18" s="130"/>
      <c r="AN18" s="130"/>
      <c r="AO18" s="130"/>
    </row>
    <row r="19">
      <c r="A19" s="127">
        <v>15423.0</v>
      </c>
      <c r="B19" s="128" t="s">
        <v>2681</v>
      </c>
      <c r="C19" s="128">
        <v>2015.0</v>
      </c>
      <c r="D19" s="128" t="s">
        <v>14</v>
      </c>
      <c r="E19" s="128" t="s">
        <v>337</v>
      </c>
      <c r="F19" s="128" t="s">
        <v>2682</v>
      </c>
      <c r="G19" s="129">
        <v>45747.0</v>
      </c>
      <c r="H19" s="132">
        <f t="shared" si="1"/>
        <v>43</v>
      </c>
      <c r="I19" s="128" t="s">
        <v>668</v>
      </c>
      <c r="J19" s="129">
        <v>45790.0</v>
      </c>
      <c r="K19" s="128" t="s">
        <v>2627</v>
      </c>
      <c r="L19" s="130"/>
      <c r="M19" s="130"/>
      <c r="N19" s="130"/>
      <c r="O19" s="130"/>
      <c r="P19" s="130"/>
      <c r="Q19" s="130"/>
      <c r="R19" s="130"/>
      <c r="S19" s="130"/>
      <c r="T19" s="130"/>
      <c r="U19" s="130"/>
      <c r="V19" s="130"/>
      <c r="W19" s="130"/>
      <c r="X19" s="130"/>
      <c r="Y19" s="130"/>
      <c r="Z19" s="130"/>
      <c r="AA19" s="130"/>
      <c r="AB19" s="130"/>
      <c r="AC19" s="130"/>
      <c r="AD19" s="130"/>
      <c r="AE19" s="130"/>
      <c r="AF19" s="130"/>
      <c r="AG19" s="130"/>
      <c r="AH19" s="130"/>
      <c r="AI19" s="130"/>
      <c r="AJ19" s="130"/>
      <c r="AK19" s="130"/>
      <c r="AL19" s="130"/>
      <c r="AM19" s="130"/>
      <c r="AN19" s="130"/>
      <c r="AO19" s="130"/>
    </row>
    <row r="20">
      <c r="A20" s="127">
        <v>15464.0</v>
      </c>
      <c r="B20" s="128" t="s">
        <v>2683</v>
      </c>
      <c r="C20" s="128">
        <v>2010.0</v>
      </c>
      <c r="D20" s="128" t="s">
        <v>2654</v>
      </c>
      <c r="E20" s="128" t="s">
        <v>2684</v>
      </c>
      <c r="F20" s="128" t="s">
        <v>2685</v>
      </c>
      <c r="G20" s="129">
        <v>45750.0</v>
      </c>
      <c r="H20" s="132">
        <f t="shared" si="1"/>
        <v>53</v>
      </c>
      <c r="I20" s="128" t="s">
        <v>2686</v>
      </c>
      <c r="J20" s="129">
        <v>45803.0</v>
      </c>
      <c r="K20" s="128" t="s">
        <v>2627</v>
      </c>
      <c r="L20" s="130"/>
      <c r="M20" s="130"/>
      <c r="N20" s="130"/>
      <c r="O20" s="130"/>
      <c r="P20" s="130"/>
      <c r="Q20" s="130"/>
      <c r="R20" s="130"/>
      <c r="S20" s="130"/>
      <c r="T20" s="130"/>
      <c r="U20" s="130"/>
      <c r="V20" s="130"/>
      <c r="W20" s="130"/>
      <c r="X20" s="130"/>
      <c r="Y20" s="130"/>
      <c r="Z20" s="130"/>
      <c r="AA20" s="130"/>
      <c r="AB20" s="130"/>
      <c r="AC20" s="130"/>
      <c r="AD20" s="130"/>
      <c r="AE20" s="130"/>
      <c r="AF20" s="130"/>
      <c r="AG20" s="130"/>
      <c r="AH20" s="130"/>
      <c r="AI20" s="130"/>
      <c r="AJ20" s="130"/>
      <c r="AK20" s="130"/>
      <c r="AL20" s="130"/>
      <c r="AM20" s="130"/>
      <c r="AN20" s="130"/>
      <c r="AO20" s="130"/>
    </row>
    <row r="21">
      <c r="A21" s="127">
        <v>15744.0</v>
      </c>
      <c r="B21" s="128" t="s">
        <v>2687</v>
      </c>
      <c r="C21" s="128">
        <v>2018.0</v>
      </c>
      <c r="D21" s="128" t="s">
        <v>14</v>
      </c>
      <c r="E21" s="128" t="s">
        <v>725</v>
      </c>
      <c r="F21" s="128" t="s">
        <v>2688</v>
      </c>
      <c r="G21" s="129">
        <v>45785.0</v>
      </c>
      <c r="H21" s="132">
        <f t="shared" si="1"/>
        <v>46</v>
      </c>
      <c r="I21" s="128" t="s">
        <v>2689</v>
      </c>
      <c r="J21" s="129">
        <v>45831.0</v>
      </c>
      <c r="K21" s="128" t="s">
        <v>2627</v>
      </c>
      <c r="L21" s="130"/>
      <c r="M21" s="130"/>
      <c r="N21" s="130"/>
      <c r="O21" s="130"/>
      <c r="P21" s="130"/>
      <c r="Q21" s="130"/>
      <c r="R21" s="130"/>
      <c r="S21" s="130"/>
      <c r="T21" s="130"/>
      <c r="U21" s="130"/>
      <c r="V21" s="130"/>
      <c r="W21" s="130"/>
      <c r="X21" s="130"/>
      <c r="Y21" s="130"/>
      <c r="Z21" s="130"/>
      <c r="AA21" s="130"/>
      <c r="AB21" s="130"/>
      <c r="AC21" s="130"/>
      <c r="AD21" s="130"/>
      <c r="AE21" s="130"/>
      <c r="AF21" s="130"/>
      <c r="AG21" s="130"/>
      <c r="AH21" s="130"/>
      <c r="AI21" s="130"/>
      <c r="AJ21" s="130"/>
      <c r="AK21" s="130"/>
      <c r="AL21" s="130"/>
      <c r="AM21" s="130"/>
      <c r="AN21" s="130"/>
      <c r="AO21" s="130"/>
    </row>
    <row r="22">
      <c r="A22" s="127">
        <v>15749.0</v>
      </c>
      <c r="B22" s="128" t="s">
        <v>2690</v>
      </c>
      <c r="C22" s="128">
        <v>2010.0</v>
      </c>
      <c r="D22" s="128" t="s">
        <v>367</v>
      </c>
      <c r="E22" s="128" t="s">
        <v>143</v>
      </c>
      <c r="F22" s="128" t="s">
        <v>2691</v>
      </c>
      <c r="G22" s="129">
        <v>45785.0</v>
      </c>
      <c r="H22" s="132">
        <f t="shared" si="1"/>
        <v>46</v>
      </c>
      <c r="I22" s="128" t="s">
        <v>2692</v>
      </c>
      <c r="J22" s="134">
        <v>45831.0</v>
      </c>
      <c r="K22" s="135" t="s">
        <v>2627</v>
      </c>
      <c r="L22" s="130"/>
      <c r="M22" s="130"/>
      <c r="N22" s="130"/>
      <c r="O22" s="130"/>
      <c r="P22" s="130"/>
      <c r="Q22" s="130"/>
      <c r="R22" s="130"/>
      <c r="S22" s="130"/>
      <c r="T22" s="130"/>
      <c r="U22" s="130"/>
      <c r="V22" s="130"/>
      <c r="W22" s="130"/>
      <c r="X22" s="130"/>
      <c r="Y22" s="130"/>
      <c r="Z22" s="130"/>
      <c r="AA22" s="130"/>
      <c r="AB22" s="130"/>
      <c r="AC22" s="130"/>
      <c r="AD22" s="130"/>
      <c r="AE22" s="130"/>
      <c r="AF22" s="130"/>
      <c r="AG22" s="130"/>
      <c r="AH22" s="130"/>
      <c r="AI22" s="130"/>
      <c r="AJ22" s="130"/>
      <c r="AK22" s="130"/>
      <c r="AL22" s="130"/>
      <c r="AM22" s="130"/>
      <c r="AN22" s="130"/>
      <c r="AO22" s="130"/>
    </row>
    <row r="23">
      <c r="A23" s="136">
        <v>15762.0</v>
      </c>
      <c r="B23" s="137" t="s">
        <v>2693</v>
      </c>
      <c r="C23" s="137">
        <v>2010.0</v>
      </c>
      <c r="D23" s="137" t="s">
        <v>367</v>
      </c>
      <c r="E23" s="137" t="s">
        <v>125</v>
      </c>
      <c r="F23" s="137" t="s">
        <v>2694</v>
      </c>
      <c r="G23" s="138">
        <v>45786.0</v>
      </c>
      <c r="H23" s="139">
        <f t="shared" si="1"/>
        <v>94</v>
      </c>
      <c r="I23" s="137" t="s">
        <v>2695</v>
      </c>
      <c r="J23" s="134">
        <v>45880.0</v>
      </c>
      <c r="K23" s="135" t="s">
        <v>2627</v>
      </c>
      <c r="L23" s="130"/>
      <c r="M23" s="130"/>
      <c r="N23" s="130"/>
      <c r="O23" s="130"/>
      <c r="P23" s="130"/>
      <c r="Q23" s="130"/>
      <c r="R23" s="130"/>
      <c r="S23" s="130"/>
      <c r="T23" s="130"/>
      <c r="U23" s="130"/>
      <c r="V23" s="130"/>
      <c r="W23" s="130"/>
      <c r="X23" s="130"/>
      <c r="Y23" s="130"/>
      <c r="Z23" s="130"/>
      <c r="AA23" s="130"/>
      <c r="AB23" s="130"/>
      <c r="AC23" s="130"/>
      <c r="AD23" s="130"/>
      <c r="AE23" s="130"/>
      <c r="AF23" s="130"/>
      <c r="AG23" s="130"/>
      <c r="AH23" s="130"/>
      <c r="AI23" s="130"/>
      <c r="AJ23" s="130"/>
      <c r="AK23" s="130"/>
      <c r="AL23" s="130"/>
      <c r="AM23" s="130"/>
      <c r="AN23" s="130"/>
      <c r="AO23" s="130"/>
    </row>
    <row r="24">
      <c r="A24" s="140">
        <v>16193.0</v>
      </c>
      <c r="B24" s="135" t="s">
        <v>2696</v>
      </c>
      <c r="C24" s="135">
        <v>2002.0</v>
      </c>
      <c r="D24" s="135" t="s">
        <v>1122</v>
      </c>
      <c r="E24" s="135" t="s">
        <v>1092</v>
      </c>
      <c r="F24" s="141" t="s">
        <v>2697</v>
      </c>
      <c r="G24" s="134">
        <v>45852.0</v>
      </c>
      <c r="H24" s="132">
        <f t="shared" si="1"/>
        <v>28</v>
      </c>
      <c r="I24" s="135" t="s">
        <v>2698</v>
      </c>
      <c r="J24" s="134">
        <v>45880.0</v>
      </c>
      <c r="K24" s="135" t="s">
        <v>2627</v>
      </c>
      <c r="L24" s="130"/>
      <c r="M24" s="130"/>
      <c r="N24" s="130"/>
      <c r="O24" s="130"/>
      <c r="P24" s="130"/>
      <c r="Q24" s="130"/>
      <c r="R24" s="130"/>
      <c r="S24" s="130"/>
      <c r="T24" s="130"/>
      <c r="U24" s="130"/>
      <c r="V24" s="130"/>
      <c r="W24" s="130"/>
      <c r="X24" s="130"/>
      <c r="Y24" s="130"/>
      <c r="Z24" s="130"/>
      <c r="AA24" s="130"/>
      <c r="AB24" s="130"/>
      <c r="AC24" s="130"/>
      <c r="AD24" s="130"/>
      <c r="AE24" s="130"/>
      <c r="AF24" s="130"/>
      <c r="AG24" s="130"/>
      <c r="AH24" s="130"/>
      <c r="AI24" s="130"/>
      <c r="AJ24" s="130"/>
      <c r="AK24" s="130"/>
      <c r="AL24" s="130"/>
      <c r="AM24" s="130"/>
      <c r="AN24" s="130"/>
      <c r="AO24" s="130"/>
    </row>
    <row r="25">
      <c r="A25" s="140">
        <v>16295.0</v>
      </c>
      <c r="B25" s="135" t="s">
        <v>2699</v>
      </c>
      <c r="C25" s="135">
        <v>2010.0</v>
      </c>
      <c r="D25" s="142" t="s">
        <v>367</v>
      </c>
      <c r="E25" s="135" t="s">
        <v>2700</v>
      </c>
      <c r="F25" s="135" t="s">
        <v>2701</v>
      </c>
      <c r="G25" s="134">
        <v>45868.0</v>
      </c>
      <c r="H25" s="132">
        <f t="shared" si="1"/>
        <v>13</v>
      </c>
      <c r="I25" s="135" t="s">
        <v>1473</v>
      </c>
      <c r="J25" s="134">
        <v>45881.0</v>
      </c>
      <c r="K25" s="135" t="s">
        <v>2627</v>
      </c>
      <c r="L25" s="130"/>
      <c r="M25" s="130"/>
      <c r="N25" s="130"/>
      <c r="O25" s="130"/>
      <c r="P25" s="130"/>
      <c r="Q25" s="130"/>
      <c r="R25" s="130"/>
      <c r="S25" s="130"/>
      <c r="T25" s="130"/>
      <c r="U25" s="130"/>
      <c r="V25" s="130"/>
      <c r="W25" s="130"/>
      <c r="X25" s="130"/>
      <c r="Y25" s="130"/>
      <c r="Z25" s="130"/>
      <c r="AA25" s="130"/>
      <c r="AB25" s="130"/>
      <c r="AC25" s="130"/>
      <c r="AD25" s="130"/>
      <c r="AE25" s="130"/>
      <c r="AF25" s="130"/>
      <c r="AG25" s="130"/>
      <c r="AH25" s="130"/>
      <c r="AI25" s="130"/>
      <c r="AJ25" s="130"/>
      <c r="AK25" s="130"/>
      <c r="AL25" s="130"/>
      <c r="AM25" s="130"/>
      <c r="AN25" s="130"/>
      <c r="AO25" s="130"/>
    </row>
    <row r="26">
      <c r="A26" s="140">
        <v>16399.0</v>
      </c>
      <c r="B26" s="135" t="s">
        <v>2702</v>
      </c>
      <c r="C26" s="135">
        <v>2010.0</v>
      </c>
      <c r="D26" s="135" t="s">
        <v>367</v>
      </c>
      <c r="E26" s="135" t="s">
        <v>582</v>
      </c>
      <c r="F26" s="135" t="s">
        <v>1508</v>
      </c>
      <c r="G26" s="134">
        <v>45882.0</v>
      </c>
      <c r="H26" s="132">
        <f t="shared" si="1"/>
        <v>2</v>
      </c>
      <c r="I26" s="135" t="s">
        <v>2703</v>
      </c>
      <c r="J26" s="134">
        <v>45884.0</v>
      </c>
      <c r="K26" s="135" t="s">
        <v>2627</v>
      </c>
      <c r="L26" s="130"/>
      <c r="M26" s="130"/>
      <c r="N26" s="130"/>
      <c r="O26" s="130"/>
      <c r="P26" s="130"/>
      <c r="Q26" s="130"/>
      <c r="R26" s="130"/>
      <c r="S26" s="130"/>
      <c r="T26" s="130"/>
      <c r="U26" s="130"/>
      <c r="V26" s="130"/>
      <c r="W26" s="130"/>
      <c r="X26" s="130"/>
      <c r="Y26" s="130"/>
      <c r="Z26" s="130"/>
      <c r="AA26" s="130"/>
      <c r="AB26" s="130"/>
      <c r="AC26" s="130"/>
      <c r="AD26" s="130"/>
      <c r="AE26" s="130"/>
      <c r="AF26" s="130"/>
      <c r="AG26" s="130"/>
      <c r="AH26" s="130"/>
      <c r="AI26" s="130"/>
      <c r="AJ26" s="130"/>
      <c r="AK26" s="130"/>
      <c r="AL26" s="130"/>
      <c r="AM26" s="130"/>
      <c r="AN26" s="130"/>
      <c r="AO26" s="130"/>
    </row>
    <row r="27">
      <c r="A27" s="140">
        <v>16188.0</v>
      </c>
      <c r="B27" s="135" t="s">
        <v>2704</v>
      </c>
      <c r="C27" s="135">
        <v>2010.0</v>
      </c>
      <c r="D27" s="135" t="s">
        <v>2705</v>
      </c>
      <c r="E27" s="135" t="s">
        <v>582</v>
      </c>
      <c r="F27" s="135" t="s">
        <v>2706</v>
      </c>
      <c r="G27" s="134">
        <v>45849.0</v>
      </c>
      <c r="H27" s="132">
        <f t="shared" si="1"/>
        <v>35</v>
      </c>
      <c r="I27" s="135" t="s">
        <v>2707</v>
      </c>
      <c r="J27" s="134">
        <v>45884.0</v>
      </c>
      <c r="K27" s="135" t="s">
        <v>2627</v>
      </c>
      <c r="L27" s="130"/>
      <c r="M27" s="130"/>
      <c r="N27" s="130"/>
      <c r="O27" s="130"/>
      <c r="P27" s="130"/>
      <c r="Q27" s="130"/>
      <c r="R27" s="130"/>
      <c r="S27" s="130"/>
      <c r="T27" s="130"/>
      <c r="U27" s="130"/>
      <c r="V27" s="130"/>
      <c r="W27" s="130"/>
      <c r="X27" s="130"/>
      <c r="Y27" s="130"/>
      <c r="Z27" s="130"/>
      <c r="AA27" s="130"/>
      <c r="AB27" s="130"/>
      <c r="AC27" s="130"/>
      <c r="AD27" s="130"/>
      <c r="AE27" s="130"/>
      <c r="AF27" s="130"/>
      <c r="AG27" s="130"/>
      <c r="AH27" s="130"/>
      <c r="AI27" s="130"/>
      <c r="AJ27" s="130"/>
      <c r="AK27" s="130"/>
      <c r="AL27" s="130"/>
      <c r="AM27" s="130"/>
      <c r="AN27" s="130"/>
      <c r="AO27" s="130"/>
    </row>
    <row r="28">
      <c r="A28" s="140">
        <v>16224.0</v>
      </c>
      <c r="B28" s="135" t="s">
        <v>2708</v>
      </c>
      <c r="C28" s="135">
        <v>2010.0</v>
      </c>
      <c r="D28" s="135" t="s">
        <v>367</v>
      </c>
      <c r="E28" s="135" t="s">
        <v>183</v>
      </c>
      <c r="F28" s="135" t="s">
        <v>2709</v>
      </c>
      <c r="G28" s="134">
        <v>45855.0</v>
      </c>
      <c r="H28" s="132">
        <f t="shared" si="1"/>
        <v>29</v>
      </c>
      <c r="I28" s="135" t="s">
        <v>2710</v>
      </c>
      <c r="J28" s="134">
        <v>45884.0</v>
      </c>
      <c r="K28" s="135" t="s">
        <v>2627</v>
      </c>
      <c r="L28" s="130"/>
      <c r="M28" s="130"/>
      <c r="N28" s="130"/>
      <c r="O28" s="130"/>
      <c r="P28" s="130"/>
      <c r="Q28" s="130"/>
      <c r="R28" s="130"/>
      <c r="S28" s="130"/>
      <c r="T28" s="130"/>
      <c r="U28" s="130"/>
      <c r="V28" s="130"/>
      <c r="W28" s="130"/>
      <c r="X28" s="130"/>
      <c r="Y28" s="130"/>
      <c r="Z28" s="130"/>
      <c r="AA28" s="130"/>
      <c r="AB28" s="130"/>
      <c r="AC28" s="130"/>
      <c r="AD28" s="130"/>
      <c r="AE28" s="130"/>
      <c r="AF28" s="130"/>
      <c r="AG28" s="130"/>
      <c r="AH28" s="130"/>
      <c r="AI28" s="130"/>
      <c r="AJ28" s="130"/>
      <c r="AK28" s="130"/>
      <c r="AL28" s="130"/>
      <c r="AM28" s="130"/>
      <c r="AN28" s="130"/>
      <c r="AO28" s="130"/>
    </row>
    <row r="29">
      <c r="A29" s="140">
        <v>16286.0</v>
      </c>
      <c r="B29" s="135" t="s">
        <v>2711</v>
      </c>
      <c r="C29" s="135">
        <v>2009.0</v>
      </c>
      <c r="D29" s="135" t="s">
        <v>2629</v>
      </c>
      <c r="E29" s="135" t="s">
        <v>319</v>
      </c>
      <c r="F29" s="135" t="s">
        <v>2712</v>
      </c>
      <c r="G29" s="134">
        <v>45867.0</v>
      </c>
      <c r="H29" s="132">
        <f t="shared" si="1"/>
        <v>17</v>
      </c>
      <c r="I29" s="135" t="s">
        <v>2713</v>
      </c>
      <c r="J29" s="134">
        <v>45884.0</v>
      </c>
      <c r="K29" s="135" t="s">
        <v>2627</v>
      </c>
      <c r="L29" s="130"/>
      <c r="M29" s="130"/>
      <c r="N29" s="130"/>
      <c r="O29" s="130"/>
      <c r="P29" s="130"/>
      <c r="Q29" s="130"/>
      <c r="R29" s="130"/>
      <c r="S29" s="130"/>
      <c r="T29" s="130"/>
      <c r="U29" s="130"/>
      <c r="V29" s="130"/>
      <c r="W29" s="130"/>
      <c r="X29" s="130"/>
      <c r="Y29" s="130"/>
      <c r="Z29" s="130"/>
      <c r="AA29" s="130"/>
      <c r="AB29" s="130"/>
      <c r="AC29" s="130"/>
      <c r="AD29" s="130"/>
      <c r="AE29" s="130"/>
      <c r="AF29" s="130"/>
      <c r="AG29" s="130"/>
      <c r="AH29" s="130"/>
      <c r="AI29" s="130"/>
      <c r="AJ29" s="130"/>
      <c r="AK29" s="130"/>
      <c r="AL29" s="130"/>
      <c r="AM29" s="130"/>
      <c r="AN29" s="130"/>
      <c r="AO29" s="130"/>
    </row>
    <row r="30">
      <c r="A30" s="140">
        <v>16010.0</v>
      </c>
      <c r="B30" s="135" t="s">
        <v>2714</v>
      </c>
      <c r="C30" s="135">
        <v>2018.0</v>
      </c>
      <c r="D30" s="135" t="s">
        <v>14</v>
      </c>
      <c r="E30" s="135" t="s">
        <v>125</v>
      </c>
      <c r="F30" s="135" t="s">
        <v>2715</v>
      </c>
      <c r="G30" s="134">
        <v>45820.0</v>
      </c>
      <c r="H30" s="139">
        <f t="shared" si="1"/>
        <v>64</v>
      </c>
      <c r="I30" s="135" t="s">
        <v>2716</v>
      </c>
      <c r="J30" s="134">
        <v>45884.0</v>
      </c>
      <c r="K30" s="135" t="s">
        <v>2627</v>
      </c>
      <c r="L30" s="130"/>
      <c r="M30" s="130"/>
      <c r="N30" s="130"/>
      <c r="O30" s="130"/>
      <c r="P30" s="130"/>
      <c r="Q30" s="130"/>
      <c r="R30" s="130"/>
      <c r="S30" s="130"/>
      <c r="T30" s="130"/>
      <c r="U30" s="130"/>
      <c r="V30" s="130"/>
      <c r="W30" s="130"/>
      <c r="X30" s="130"/>
      <c r="Y30" s="130"/>
      <c r="Z30" s="130"/>
      <c r="AA30" s="130"/>
      <c r="AB30" s="130"/>
      <c r="AC30" s="130"/>
      <c r="AD30" s="130"/>
      <c r="AE30" s="130"/>
      <c r="AF30" s="130"/>
      <c r="AG30" s="130"/>
      <c r="AH30" s="130"/>
      <c r="AI30" s="130"/>
      <c r="AJ30" s="130"/>
      <c r="AK30" s="130"/>
      <c r="AL30" s="130"/>
      <c r="AM30" s="130"/>
      <c r="AN30" s="130"/>
      <c r="AO30" s="130"/>
    </row>
    <row r="31">
      <c r="A31" s="140">
        <v>16011.0</v>
      </c>
      <c r="B31" s="135" t="s">
        <v>2717</v>
      </c>
      <c r="C31" s="135">
        <v>2018.0</v>
      </c>
      <c r="D31" s="135" t="s">
        <v>14</v>
      </c>
      <c r="E31" s="135" t="s">
        <v>125</v>
      </c>
      <c r="F31" s="143">
        <v>45947.0</v>
      </c>
      <c r="G31" s="134">
        <v>45820.0</v>
      </c>
      <c r="H31" s="139">
        <f t="shared" si="1"/>
        <v>64</v>
      </c>
      <c r="I31" s="135" t="s">
        <v>2718</v>
      </c>
      <c r="J31" s="134">
        <v>45884.0</v>
      </c>
      <c r="K31" s="135" t="s">
        <v>2627</v>
      </c>
      <c r="L31" s="130"/>
      <c r="M31" s="130"/>
      <c r="N31" s="130"/>
      <c r="O31" s="130"/>
      <c r="P31" s="130"/>
      <c r="Q31" s="130"/>
      <c r="R31" s="130"/>
      <c r="S31" s="130"/>
      <c r="T31" s="130"/>
      <c r="U31" s="130"/>
      <c r="V31" s="130"/>
      <c r="W31" s="130"/>
      <c r="X31" s="130"/>
      <c r="Y31" s="130"/>
      <c r="Z31" s="130"/>
      <c r="AA31" s="130"/>
      <c r="AB31" s="130"/>
      <c r="AC31" s="130"/>
      <c r="AD31" s="130"/>
      <c r="AE31" s="130"/>
      <c r="AF31" s="130"/>
      <c r="AG31" s="130"/>
      <c r="AH31" s="130"/>
      <c r="AI31" s="130"/>
      <c r="AJ31" s="130"/>
      <c r="AK31" s="130"/>
      <c r="AL31" s="130"/>
      <c r="AM31" s="130"/>
      <c r="AN31" s="130"/>
      <c r="AO31" s="130"/>
    </row>
    <row r="32">
      <c r="A32" s="140">
        <v>16653.0</v>
      </c>
      <c r="B32" s="135" t="s">
        <v>2719</v>
      </c>
      <c r="C32" s="135">
        <v>2018.0</v>
      </c>
      <c r="D32" s="135" t="s">
        <v>2720</v>
      </c>
      <c r="E32" s="135" t="s">
        <v>125</v>
      </c>
      <c r="F32" s="135" t="s">
        <v>2721</v>
      </c>
      <c r="G32" s="134">
        <v>45923.0</v>
      </c>
      <c r="H32" s="132">
        <f t="shared" si="1"/>
        <v>57</v>
      </c>
      <c r="I32" s="135" t="s">
        <v>2722</v>
      </c>
      <c r="J32" s="144">
        <v>45980.0</v>
      </c>
      <c r="K32" s="135" t="s">
        <v>2627</v>
      </c>
      <c r="L32" s="145"/>
      <c r="M32" s="145"/>
      <c r="N32" s="145"/>
      <c r="O32" s="145"/>
      <c r="P32" s="145"/>
      <c r="Q32" s="145"/>
      <c r="R32" s="145"/>
      <c r="S32" s="145"/>
      <c r="T32" s="145"/>
      <c r="U32" s="145"/>
      <c r="V32" s="145"/>
      <c r="W32" s="145"/>
      <c r="X32" s="145"/>
      <c r="Y32" s="145"/>
      <c r="Z32" s="145"/>
      <c r="AA32" s="145"/>
      <c r="AB32" s="145"/>
      <c r="AC32" s="145"/>
      <c r="AD32" s="145"/>
      <c r="AE32" s="145"/>
      <c r="AF32" s="145"/>
      <c r="AG32" s="145"/>
      <c r="AH32" s="145"/>
      <c r="AI32" s="145"/>
      <c r="AJ32" s="145"/>
      <c r="AK32" s="145"/>
      <c r="AL32" s="145"/>
      <c r="AM32" s="145"/>
      <c r="AN32" s="145"/>
      <c r="AO32" s="145"/>
    </row>
    <row r="33">
      <c r="A33" s="140">
        <v>16812.0</v>
      </c>
      <c r="B33" s="135" t="s">
        <v>2723</v>
      </c>
      <c r="C33" s="135">
        <v>2015.0</v>
      </c>
      <c r="D33" s="135" t="s">
        <v>14</v>
      </c>
      <c r="E33" s="135" t="s">
        <v>137</v>
      </c>
      <c r="F33" s="135" t="s">
        <v>2724</v>
      </c>
      <c r="G33" s="146">
        <v>45945.0</v>
      </c>
      <c r="H33" s="132">
        <f t="shared" si="1"/>
        <v>40</v>
      </c>
      <c r="I33" s="147" t="s">
        <v>1152</v>
      </c>
      <c r="J33" s="146">
        <v>45985.0</v>
      </c>
      <c r="K33" s="135" t="s">
        <v>2627</v>
      </c>
      <c r="L33" s="130"/>
      <c r="M33" s="130"/>
      <c r="N33" s="130"/>
      <c r="O33" s="130"/>
      <c r="P33" s="130"/>
      <c r="Q33" s="130"/>
      <c r="R33" s="130"/>
      <c r="S33" s="130"/>
      <c r="T33" s="130"/>
      <c r="U33" s="130"/>
      <c r="V33" s="130"/>
      <c r="W33" s="130"/>
      <c r="X33" s="130"/>
      <c r="Y33" s="130"/>
      <c r="Z33" s="130"/>
      <c r="AA33" s="130"/>
      <c r="AB33" s="130"/>
      <c r="AC33" s="130"/>
      <c r="AD33" s="130"/>
      <c r="AE33" s="130"/>
      <c r="AF33" s="130"/>
      <c r="AG33" s="130"/>
      <c r="AH33" s="130"/>
      <c r="AI33" s="130"/>
      <c r="AJ33" s="130"/>
      <c r="AK33" s="130"/>
      <c r="AL33" s="130"/>
      <c r="AM33" s="130"/>
      <c r="AN33" s="130"/>
      <c r="AO33" s="130"/>
    </row>
    <row r="34">
      <c r="A34" s="140">
        <v>16676.0</v>
      </c>
      <c r="B34" s="135" t="s">
        <v>2725</v>
      </c>
      <c r="C34" s="135">
        <v>2015.0</v>
      </c>
      <c r="D34" s="135" t="s">
        <v>14</v>
      </c>
      <c r="E34" s="135" t="s">
        <v>47</v>
      </c>
      <c r="F34" s="135" t="s">
        <v>2726</v>
      </c>
      <c r="G34" s="134">
        <v>45925.0</v>
      </c>
      <c r="H34" s="132">
        <f t="shared" si="1"/>
        <v>60</v>
      </c>
      <c r="I34" s="135" t="s">
        <v>1152</v>
      </c>
      <c r="J34" s="144">
        <v>45985.0</v>
      </c>
      <c r="K34" s="135" t="s">
        <v>2627</v>
      </c>
      <c r="L34" s="130"/>
      <c r="M34" s="130"/>
      <c r="N34" s="130"/>
      <c r="O34" s="130"/>
      <c r="P34" s="130"/>
      <c r="Q34" s="130"/>
      <c r="R34" s="130"/>
      <c r="S34" s="130"/>
      <c r="T34" s="130"/>
      <c r="U34" s="130"/>
      <c r="V34" s="130"/>
      <c r="W34" s="130"/>
      <c r="X34" s="130"/>
      <c r="Y34" s="130"/>
      <c r="Z34" s="130"/>
      <c r="AA34" s="130"/>
      <c r="AB34" s="130"/>
      <c r="AC34" s="130"/>
      <c r="AD34" s="130"/>
      <c r="AE34" s="130"/>
      <c r="AF34" s="130"/>
      <c r="AG34" s="130"/>
      <c r="AH34" s="130"/>
      <c r="AI34" s="130"/>
      <c r="AJ34" s="130"/>
      <c r="AK34" s="130"/>
      <c r="AL34" s="130"/>
      <c r="AM34" s="130"/>
      <c r="AN34" s="130"/>
      <c r="AO34" s="130"/>
    </row>
    <row r="35">
      <c r="A35" s="140">
        <v>16667.0</v>
      </c>
      <c r="B35" s="135" t="s">
        <v>2727</v>
      </c>
      <c r="C35" s="135">
        <v>2010.0</v>
      </c>
      <c r="D35" s="135" t="s">
        <v>2647</v>
      </c>
      <c r="E35" s="135" t="s">
        <v>225</v>
      </c>
      <c r="F35" s="135" t="s">
        <v>2728</v>
      </c>
      <c r="G35" s="134">
        <v>45925.0</v>
      </c>
      <c r="H35" s="132">
        <f t="shared" si="1"/>
        <v>300</v>
      </c>
      <c r="I35" s="135" t="s">
        <v>2729</v>
      </c>
      <c r="J35" s="148"/>
      <c r="K35" s="135" t="s">
        <v>2627</v>
      </c>
      <c r="L35" s="145"/>
      <c r="M35" s="145"/>
      <c r="N35" s="145"/>
      <c r="O35" s="145"/>
      <c r="P35" s="145"/>
      <c r="Q35" s="145"/>
      <c r="R35" s="145"/>
      <c r="S35" s="145"/>
      <c r="T35" s="145"/>
      <c r="U35" s="145"/>
      <c r="V35" s="145"/>
      <c r="W35" s="145"/>
      <c r="X35" s="145"/>
      <c r="Y35" s="145"/>
      <c r="Z35" s="145"/>
      <c r="AA35" s="145"/>
      <c r="AB35" s="145"/>
      <c r="AC35" s="145"/>
      <c r="AD35" s="145"/>
      <c r="AE35" s="145"/>
      <c r="AF35" s="145"/>
      <c r="AG35" s="145"/>
      <c r="AH35" s="145"/>
      <c r="AI35" s="145"/>
      <c r="AJ35" s="145"/>
      <c r="AK35" s="145"/>
      <c r="AL35" s="145"/>
      <c r="AM35" s="145"/>
      <c r="AN35" s="145"/>
      <c r="AO35" s="145"/>
    </row>
    <row r="36">
      <c r="A36" s="140">
        <v>16676.0</v>
      </c>
      <c r="B36" s="135" t="s">
        <v>2725</v>
      </c>
      <c r="C36" s="135">
        <v>2015.0</v>
      </c>
      <c r="D36" s="135" t="s">
        <v>14</v>
      </c>
      <c r="E36" s="135" t="s">
        <v>47</v>
      </c>
      <c r="F36" s="135" t="s">
        <v>2726</v>
      </c>
      <c r="G36" s="134">
        <v>45925.0</v>
      </c>
      <c r="H36" s="132">
        <f t="shared" si="1"/>
        <v>300</v>
      </c>
      <c r="I36" s="147" t="s">
        <v>2730</v>
      </c>
      <c r="J36" s="148"/>
      <c r="K36" s="135" t="s">
        <v>2627</v>
      </c>
      <c r="L36" s="145"/>
      <c r="M36" s="145"/>
      <c r="N36" s="145"/>
      <c r="O36" s="145"/>
      <c r="P36" s="145"/>
      <c r="Q36" s="145"/>
      <c r="R36" s="145"/>
      <c r="S36" s="145"/>
      <c r="T36" s="145"/>
      <c r="U36" s="145"/>
      <c r="V36" s="145"/>
      <c r="W36" s="145"/>
      <c r="X36" s="145"/>
      <c r="Y36" s="145"/>
      <c r="Z36" s="145"/>
      <c r="AA36" s="145"/>
      <c r="AB36" s="145"/>
      <c r="AC36" s="145"/>
      <c r="AD36" s="145"/>
      <c r="AE36" s="145"/>
      <c r="AF36" s="145"/>
      <c r="AG36" s="145"/>
      <c r="AH36" s="145"/>
      <c r="AI36" s="145"/>
      <c r="AJ36" s="145"/>
      <c r="AK36" s="145"/>
      <c r="AL36" s="145"/>
      <c r="AM36" s="145"/>
      <c r="AN36" s="145"/>
      <c r="AO36" s="145"/>
    </row>
    <row r="37">
      <c r="A37" s="140">
        <v>16784.0</v>
      </c>
      <c r="B37" s="135" t="s">
        <v>1215</v>
      </c>
      <c r="C37" s="135">
        <v>2015.0</v>
      </c>
      <c r="D37" s="135" t="s">
        <v>14</v>
      </c>
      <c r="E37" s="135" t="s">
        <v>70</v>
      </c>
      <c r="F37" s="135" t="s">
        <v>2731</v>
      </c>
      <c r="G37" s="144">
        <v>45940.0</v>
      </c>
      <c r="H37" s="132">
        <f t="shared" si="1"/>
        <v>285</v>
      </c>
      <c r="I37" s="135" t="s">
        <v>2732</v>
      </c>
      <c r="J37" s="148"/>
      <c r="K37" s="135" t="s">
        <v>2627</v>
      </c>
      <c r="L37" s="145"/>
      <c r="M37" s="145"/>
      <c r="N37" s="145"/>
      <c r="O37" s="145"/>
      <c r="P37" s="145"/>
      <c r="Q37" s="145"/>
      <c r="R37" s="145"/>
      <c r="S37" s="145"/>
      <c r="T37" s="145"/>
      <c r="U37" s="145"/>
      <c r="V37" s="145"/>
      <c r="W37" s="145"/>
      <c r="X37" s="145"/>
      <c r="Y37" s="145"/>
      <c r="Z37" s="145"/>
      <c r="AA37" s="145"/>
      <c r="AB37" s="145"/>
      <c r="AC37" s="145"/>
      <c r="AD37" s="145"/>
      <c r="AE37" s="145"/>
      <c r="AF37" s="145"/>
      <c r="AG37" s="145"/>
      <c r="AH37" s="145"/>
      <c r="AI37" s="145"/>
      <c r="AJ37" s="145"/>
      <c r="AK37" s="145"/>
      <c r="AL37" s="145"/>
      <c r="AM37" s="145"/>
      <c r="AN37" s="145"/>
      <c r="AO37" s="145"/>
    </row>
    <row r="38">
      <c r="A38" s="140">
        <v>16812.0</v>
      </c>
      <c r="B38" s="135" t="s">
        <v>2723</v>
      </c>
      <c r="C38" s="135">
        <v>2015.0</v>
      </c>
      <c r="D38" s="135" t="s">
        <v>14</v>
      </c>
      <c r="E38" s="135" t="s">
        <v>137</v>
      </c>
      <c r="F38" s="135" t="s">
        <v>2724</v>
      </c>
      <c r="G38" s="144">
        <v>45945.0</v>
      </c>
      <c r="H38" s="132">
        <f t="shared" si="1"/>
        <v>280</v>
      </c>
      <c r="I38" s="135" t="s">
        <v>2733</v>
      </c>
      <c r="J38" s="148"/>
      <c r="K38" s="135" t="s">
        <v>2627</v>
      </c>
      <c r="L38" s="130"/>
      <c r="M38" s="130"/>
      <c r="N38" s="130"/>
      <c r="O38" s="130"/>
      <c r="P38" s="130"/>
      <c r="Q38" s="130"/>
      <c r="R38" s="130"/>
      <c r="S38" s="130"/>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row>
    <row r="39">
      <c r="A39" s="140">
        <v>16787.0</v>
      </c>
      <c r="B39" s="135" t="s">
        <v>2734</v>
      </c>
      <c r="C39" s="135">
        <v>2014.0</v>
      </c>
      <c r="D39" s="135" t="s">
        <v>130</v>
      </c>
      <c r="E39" s="135" t="s">
        <v>125</v>
      </c>
      <c r="F39" s="135" t="s">
        <v>2735</v>
      </c>
      <c r="G39" s="144">
        <v>45943.0</v>
      </c>
      <c r="H39" s="132">
        <f t="shared" si="1"/>
        <v>282</v>
      </c>
      <c r="I39" s="135" t="s">
        <v>2736</v>
      </c>
      <c r="J39" s="148"/>
      <c r="K39" s="135" t="s">
        <v>2627</v>
      </c>
      <c r="L39" s="145"/>
      <c r="M39" s="145"/>
      <c r="N39" s="145"/>
      <c r="O39" s="145"/>
      <c r="P39" s="145"/>
      <c r="Q39" s="145"/>
      <c r="R39" s="145"/>
      <c r="S39" s="145"/>
      <c r="T39" s="145"/>
      <c r="U39" s="145"/>
      <c r="V39" s="145"/>
      <c r="W39" s="145"/>
      <c r="X39" s="145"/>
      <c r="Y39" s="145"/>
      <c r="Z39" s="145"/>
      <c r="AA39" s="145"/>
      <c r="AB39" s="145"/>
      <c r="AC39" s="145"/>
      <c r="AD39" s="145"/>
      <c r="AE39" s="145"/>
      <c r="AF39" s="145"/>
      <c r="AG39" s="145"/>
      <c r="AH39" s="145"/>
      <c r="AI39" s="145"/>
      <c r="AJ39" s="145"/>
      <c r="AK39" s="145"/>
      <c r="AL39" s="145"/>
      <c r="AM39" s="145"/>
      <c r="AN39" s="145"/>
      <c r="AO39" s="145"/>
    </row>
    <row r="40">
      <c r="A40" s="140">
        <v>16790.0</v>
      </c>
      <c r="B40" s="135" t="s">
        <v>2737</v>
      </c>
      <c r="C40" s="135">
        <v>2011.0</v>
      </c>
      <c r="D40" s="135" t="s">
        <v>2647</v>
      </c>
      <c r="E40" s="135" t="s">
        <v>47</v>
      </c>
      <c r="F40" s="135" t="s">
        <v>2738</v>
      </c>
      <c r="G40" s="144">
        <v>45943.0</v>
      </c>
      <c r="H40" s="132">
        <f t="shared" si="1"/>
        <v>282</v>
      </c>
      <c r="I40" s="135" t="s">
        <v>668</v>
      </c>
      <c r="J40" s="148"/>
      <c r="K40" s="135" t="s">
        <v>2627</v>
      </c>
      <c r="L40" s="145"/>
      <c r="M40" s="145"/>
      <c r="N40" s="145"/>
      <c r="O40" s="145"/>
      <c r="P40" s="145"/>
      <c r="Q40" s="145"/>
      <c r="R40" s="145"/>
      <c r="S40" s="145"/>
      <c r="T40" s="145"/>
      <c r="U40" s="145"/>
      <c r="V40" s="145"/>
      <c r="W40" s="145"/>
      <c r="X40" s="145"/>
      <c r="Y40" s="145"/>
      <c r="Z40" s="145"/>
      <c r="AA40" s="145"/>
      <c r="AB40" s="145"/>
      <c r="AC40" s="145"/>
      <c r="AD40" s="145"/>
      <c r="AE40" s="145"/>
      <c r="AF40" s="145"/>
      <c r="AG40" s="145"/>
      <c r="AH40" s="145"/>
      <c r="AI40" s="145"/>
      <c r="AJ40" s="145"/>
      <c r="AK40" s="145"/>
      <c r="AL40" s="145"/>
      <c r="AM40" s="145"/>
      <c r="AN40" s="145"/>
      <c r="AO40" s="145"/>
    </row>
    <row r="41">
      <c r="A41" s="140">
        <v>16812.0</v>
      </c>
      <c r="B41" s="135" t="s">
        <v>2723</v>
      </c>
      <c r="C41" s="135">
        <v>2015.0</v>
      </c>
      <c r="D41" s="135" t="s">
        <v>14</v>
      </c>
      <c r="E41" s="135" t="s">
        <v>137</v>
      </c>
      <c r="F41" s="135" t="s">
        <v>2724</v>
      </c>
      <c r="G41" s="144">
        <v>45945.0</v>
      </c>
      <c r="H41" s="132">
        <f t="shared" si="1"/>
        <v>280</v>
      </c>
      <c r="I41" s="135" t="s">
        <v>2739</v>
      </c>
      <c r="J41" s="148"/>
      <c r="K41" s="135" t="s">
        <v>2627</v>
      </c>
      <c r="L41" s="145"/>
      <c r="M41" s="145"/>
      <c r="N41" s="145"/>
      <c r="O41" s="145"/>
      <c r="P41" s="145"/>
      <c r="Q41" s="145"/>
      <c r="R41" s="145"/>
      <c r="S41" s="145"/>
      <c r="T41" s="145"/>
      <c r="U41" s="145"/>
      <c r="V41" s="145"/>
      <c r="W41" s="145"/>
      <c r="X41" s="145"/>
      <c r="Y41" s="145"/>
      <c r="Z41" s="145"/>
      <c r="AA41" s="145"/>
      <c r="AB41" s="145"/>
      <c r="AC41" s="145"/>
      <c r="AD41" s="145"/>
      <c r="AE41" s="145"/>
      <c r="AF41" s="145"/>
      <c r="AG41" s="145"/>
      <c r="AH41" s="145"/>
      <c r="AI41" s="145"/>
      <c r="AJ41" s="145"/>
      <c r="AK41" s="145"/>
      <c r="AL41" s="145"/>
      <c r="AM41" s="145"/>
      <c r="AN41" s="145"/>
      <c r="AO41" s="145"/>
    </row>
    <row r="42">
      <c r="A42" s="140">
        <v>16892.0</v>
      </c>
      <c r="B42" s="135" t="s">
        <v>1167</v>
      </c>
      <c r="C42" s="135">
        <v>2015.0</v>
      </c>
      <c r="D42" s="135" t="s">
        <v>14</v>
      </c>
      <c r="E42" s="135" t="s">
        <v>725</v>
      </c>
      <c r="F42" s="135" t="s">
        <v>1168</v>
      </c>
      <c r="G42" s="144">
        <v>45958.0</v>
      </c>
      <c r="H42" s="132">
        <f t="shared" si="1"/>
        <v>267</v>
      </c>
      <c r="I42" s="135" t="s">
        <v>2740</v>
      </c>
      <c r="J42" s="148"/>
      <c r="K42" s="135" t="s">
        <v>2627</v>
      </c>
      <c r="L42" s="130"/>
      <c r="M42" s="130"/>
      <c r="N42" s="130"/>
      <c r="O42" s="130"/>
      <c r="P42" s="130"/>
      <c r="Q42" s="130"/>
      <c r="R42" s="130"/>
      <c r="S42" s="130"/>
      <c r="T42" s="130"/>
      <c r="U42" s="130"/>
      <c r="V42" s="130"/>
      <c r="W42" s="130"/>
      <c r="X42" s="130"/>
      <c r="Y42" s="130"/>
      <c r="Z42" s="130"/>
      <c r="AA42" s="130"/>
      <c r="AB42" s="130"/>
      <c r="AC42" s="130"/>
      <c r="AD42" s="130"/>
      <c r="AE42" s="130"/>
      <c r="AF42" s="130"/>
      <c r="AG42" s="130"/>
      <c r="AH42" s="130"/>
      <c r="AI42" s="130"/>
      <c r="AJ42" s="130"/>
      <c r="AK42" s="130"/>
      <c r="AL42" s="130"/>
      <c r="AM42" s="130"/>
      <c r="AN42" s="130"/>
      <c r="AO42" s="130"/>
    </row>
    <row r="43">
      <c r="A43" s="140">
        <v>16981.0</v>
      </c>
      <c r="B43" s="135" t="s">
        <v>1335</v>
      </c>
      <c r="C43" s="135">
        <v>2015.0</v>
      </c>
      <c r="D43" s="135" t="s">
        <v>14</v>
      </c>
      <c r="E43" s="135" t="s">
        <v>725</v>
      </c>
      <c r="F43" s="135" t="s">
        <v>1336</v>
      </c>
      <c r="G43" s="144">
        <v>45978.0</v>
      </c>
      <c r="H43" s="132">
        <f t="shared" si="1"/>
        <v>247</v>
      </c>
      <c r="I43" s="135" t="s">
        <v>2741</v>
      </c>
      <c r="J43" s="148"/>
      <c r="K43" s="135" t="s">
        <v>2627</v>
      </c>
      <c r="L43" s="145"/>
      <c r="M43" s="145"/>
      <c r="N43" s="145"/>
      <c r="O43" s="145"/>
      <c r="P43" s="145"/>
      <c r="Q43" s="145"/>
      <c r="R43" s="145"/>
      <c r="S43" s="145"/>
      <c r="T43" s="145"/>
      <c r="U43" s="145"/>
      <c r="V43" s="145"/>
      <c r="W43" s="145"/>
      <c r="X43" s="145"/>
      <c r="Y43" s="145"/>
      <c r="Z43" s="145"/>
      <c r="AA43" s="145"/>
      <c r="AB43" s="145"/>
      <c r="AC43" s="145"/>
      <c r="AD43" s="145"/>
      <c r="AE43" s="145"/>
      <c r="AF43" s="145"/>
      <c r="AG43" s="145"/>
      <c r="AH43" s="145"/>
      <c r="AI43" s="145"/>
      <c r="AJ43" s="145"/>
      <c r="AK43" s="145"/>
      <c r="AL43" s="145"/>
      <c r="AM43" s="145"/>
      <c r="AN43" s="145"/>
      <c r="AO43" s="145"/>
    </row>
    <row r="44">
      <c r="A44" s="149">
        <v>17099.0</v>
      </c>
      <c r="B44" s="135" t="s">
        <v>2742</v>
      </c>
      <c r="C44" s="149">
        <v>2014.0</v>
      </c>
      <c r="D44" s="135" t="s">
        <v>324</v>
      </c>
      <c r="E44" s="135" t="s">
        <v>82</v>
      </c>
      <c r="F44" s="150" t="s">
        <v>2743</v>
      </c>
      <c r="G44" s="151">
        <v>46000.0</v>
      </c>
      <c r="H44" s="132">
        <f t="shared" si="1"/>
        <v>225</v>
      </c>
      <c r="I44" s="152" t="s">
        <v>2744</v>
      </c>
      <c r="J44" s="153"/>
      <c r="K44" s="135" t="s">
        <v>2627</v>
      </c>
      <c r="L44" s="126"/>
      <c r="M44" s="126"/>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row>
    <row r="45">
      <c r="A45" s="154">
        <v>17097.0</v>
      </c>
      <c r="B45" s="135" t="s">
        <v>2745</v>
      </c>
      <c r="C45" s="149">
        <v>2011.0</v>
      </c>
      <c r="D45" s="135" t="s">
        <v>367</v>
      </c>
      <c r="E45" s="135" t="s">
        <v>2746</v>
      </c>
      <c r="F45" s="150" t="s">
        <v>2747</v>
      </c>
      <c r="G45" s="151">
        <v>46000.0</v>
      </c>
      <c r="H45" s="132">
        <f t="shared" si="1"/>
        <v>225</v>
      </c>
      <c r="I45" s="152" t="s">
        <v>2748</v>
      </c>
      <c r="J45" s="153"/>
      <c r="K45" s="135" t="s">
        <v>2627</v>
      </c>
      <c r="L45" s="126"/>
      <c r="M45" s="126"/>
      <c r="N45" s="126"/>
      <c r="O45" s="126"/>
      <c r="P45" s="126"/>
      <c r="Q45" s="126"/>
      <c r="R45" s="126"/>
      <c r="S45" s="126"/>
      <c r="T45" s="126"/>
      <c r="U45" s="126"/>
      <c r="V45" s="126"/>
      <c r="W45" s="126"/>
      <c r="X45" s="126"/>
      <c r="Y45" s="126"/>
      <c r="Z45" s="126"/>
      <c r="AA45" s="126"/>
      <c r="AB45" s="126"/>
      <c r="AC45" s="126"/>
      <c r="AD45" s="126"/>
      <c r="AE45" s="126"/>
      <c r="AF45" s="126"/>
      <c r="AG45" s="126"/>
      <c r="AH45" s="126"/>
      <c r="AI45" s="126"/>
      <c r="AJ45" s="126"/>
      <c r="AK45" s="126"/>
      <c r="AL45" s="126"/>
      <c r="AM45" s="126"/>
      <c r="AN45" s="126"/>
      <c r="AO45" s="126"/>
    </row>
    <row r="46">
      <c r="A46" s="154">
        <v>17061.0</v>
      </c>
      <c r="B46" s="135" t="s">
        <v>2749</v>
      </c>
      <c r="C46" s="149">
        <v>2010.0</v>
      </c>
      <c r="D46" s="135" t="s">
        <v>367</v>
      </c>
      <c r="E46" s="135" t="s">
        <v>2750</v>
      </c>
      <c r="F46" s="150" t="s">
        <v>2751</v>
      </c>
      <c r="G46" s="151">
        <v>45994.0</v>
      </c>
      <c r="H46" s="132">
        <f t="shared" si="1"/>
        <v>231</v>
      </c>
      <c r="I46" s="135" t="s">
        <v>1152</v>
      </c>
      <c r="J46" s="153"/>
      <c r="K46" s="135" t="s">
        <v>2627</v>
      </c>
      <c r="L46" s="126"/>
      <c r="M46" s="126"/>
      <c r="N46" s="126"/>
      <c r="O46" s="126"/>
      <c r="P46" s="126"/>
      <c r="Q46" s="126"/>
      <c r="R46" s="126"/>
      <c r="S46" s="126"/>
      <c r="T46" s="126"/>
      <c r="U46" s="126"/>
      <c r="V46" s="126"/>
      <c r="W46" s="126"/>
      <c r="X46" s="126"/>
      <c r="Y46" s="126"/>
      <c r="Z46" s="126"/>
      <c r="AA46" s="126"/>
      <c r="AB46" s="126"/>
      <c r="AC46" s="126"/>
      <c r="AD46" s="126"/>
      <c r="AE46" s="126"/>
      <c r="AF46" s="126"/>
      <c r="AG46" s="126"/>
      <c r="AH46" s="126"/>
      <c r="AI46" s="126"/>
      <c r="AJ46" s="126"/>
      <c r="AK46" s="126"/>
      <c r="AL46" s="126"/>
      <c r="AM46" s="126"/>
      <c r="AN46" s="126"/>
      <c r="AO46" s="126"/>
    </row>
    <row r="47">
      <c r="A47" s="154">
        <v>17302.0</v>
      </c>
      <c r="B47" s="152" t="s">
        <v>392</v>
      </c>
      <c r="C47" s="149">
        <v>2010.0</v>
      </c>
      <c r="D47" s="135" t="s">
        <v>367</v>
      </c>
      <c r="E47" s="135" t="s">
        <v>805</v>
      </c>
      <c r="F47" s="150" t="s">
        <v>393</v>
      </c>
      <c r="G47" s="155">
        <v>46044.0</v>
      </c>
      <c r="H47" s="156">
        <f t="shared" si="1"/>
        <v>181</v>
      </c>
      <c r="I47" s="157" t="s">
        <v>2752</v>
      </c>
      <c r="J47" s="153"/>
      <c r="K47" s="135" t="s">
        <v>2627</v>
      </c>
      <c r="L47" s="126"/>
      <c r="M47" s="126"/>
      <c r="N47" s="126"/>
      <c r="O47" s="126"/>
      <c r="P47" s="126"/>
      <c r="Q47" s="126"/>
      <c r="R47" s="126"/>
      <c r="S47" s="126"/>
      <c r="T47" s="126"/>
      <c r="U47" s="126"/>
      <c r="V47" s="126"/>
      <c r="W47" s="126"/>
      <c r="X47" s="126"/>
      <c r="Y47" s="126"/>
      <c r="Z47" s="126"/>
      <c r="AA47" s="126"/>
      <c r="AB47" s="126"/>
      <c r="AC47" s="126"/>
      <c r="AD47" s="126"/>
      <c r="AE47" s="126"/>
      <c r="AF47" s="126"/>
      <c r="AG47" s="126"/>
      <c r="AH47" s="126"/>
      <c r="AI47" s="126"/>
      <c r="AJ47" s="126"/>
      <c r="AK47" s="126"/>
      <c r="AL47" s="126"/>
      <c r="AM47" s="126"/>
      <c r="AN47" s="126"/>
      <c r="AO47" s="126"/>
    </row>
    <row r="48">
      <c r="A48" s="153"/>
      <c r="B48" s="153"/>
      <c r="C48" s="153"/>
      <c r="D48" s="153"/>
      <c r="E48" s="153"/>
      <c r="F48" s="153"/>
      <c r="G48" s="153"/>
      <c r="H48" s="153"/>
      <c r="I48" s="148"/>
      <c r="J48" s="153"/>
      <c r="K48" s="153"/>
      <c r="L48" s="126"/>
      <c r="M48" s="126"/>
      <c r="N48" s="126"/>
      <c r="O48" s="126"/>
      <c r="P48" s="126"/>
      <c r="Q48" s="126"/>
      <c r="R48" s="126"/>
      <c r="S48" s="126"/>
      <c r="T48" s="126"/>
      <c r="U48" s="126"/>
      <c r="V48" s="126"/>
      <c r="W48" s="126"/>
      <c r="X48" s="126"/>
      <c r="Y48" s="126"/>
      <c r="Z48" s="126"/>
      <c r="AA48" s="126"/>
      <c r="AB48" s="126"/>
      <c r="AC48" s="126"/>
      <c r="AD48" s="126"/>
      <c r="AE48" s="126"/>
      <c r="AF48" s="126"/>
      <c r="AG48" s="126"/>
      <c r="AH48" s="126"/>
      <c r="AI48" s="126"/>
      <c r="AJ48" s="126"/>
      <c r="AK48" s="126"/>
      <c r="AL48" s="126"/>
      <c r="AM48" s="126"/>
      <c r="AN48" s="126"/>
      <c r="AO48" s="126"/>
    </row>
    <row r="49">
      <c r="A49" s="153"/>
      <c r="B49" s="153"/>
      <c r="C49" s="153"/>
      <c r="D49" s="153"/>
      <c r="E49" s="153"/>
      <c r="F49" s="153"/>
      <c r="G49" s="153"/>
      <c r="H49" s="153"/>
      <c r="I49" s="148"/>
      <c r="J49" s="153"/>
      <c r="K49" s="153"/>
      <c r="L49" s="126"/>
      <c r="M49" s="126"/>
      <c r="N49" s="126"/>
      <c r="O49" s="126"/>
      <c r="P49" s="126"/>
      <c r="Q49" s="126"/>
      <c r="R49" s="126"/>
      <c r="S49" s="126"/>
      <c r="T49" s="126"/>
      <c r="U49" s="126"/>
      <c r="V49" s="126"/>
      <c r="W49" s="126"/>
      <c r="X49" s="126"/>
      <c r="Y49" s="126"/>
      <c r="Z49" s="126"/>
      <c r="AA49" s="126"/>
      <c r="AB49" s="126"/>
      <c r="AC49" s="126"/>
      <c r="AD49" s="126"/>
      <c r="AE49" s="126"/>
      <c r="AF49" s="126"/>
      <c r="AG49" s="126"/>
      <c r="AH49" s="126"/>
      <c r="AI49" s="126"/>
      <c r="AJ49" s="126"/>
      <c r="AK49" s="126"/>
      <c r="AL49" s="126"/>
      <c r="AM49" s="126"/>
      <c r="AN49" s="126"/>
      <c r="AO49" s="126"/>
    </row>
    <row r="50">
      <c r="A50" s="153"/>
      <c r="B50" s="153"/>
      <c r="C50" s="153"/>
      <c r="D50" s="153"/>
      <c r="E50" s="153"/>
      <c r="F50" s="153"/>
      <c r="G50" s="153"/>
      <c r="H50" s="153"/>
      <c r="I50" s="148"/>
      <c r="J50" s="153"/>
      <c r="K50" s="153"/>
      <c r="L50" s="126"/>
      <c r="M50" s="126"/>
      <c r="N50" s="126"/>
      <c r="O50" s="126"/>
      <c r="P50" s="126"/>
      <c r="Q50" s="126"/>
      <c r="R50" s="126"/>
      <c r="S50" s="126"/>
      <c r="T50" s="126"/>
      <c r="U50" s="126"/>
      <c r="V50" s="126"/>
      <c r="W50" s="126"/>
      <c r="X50" s="126"/>
      <c r="Y50" s="126"/>
      <c r="Z50" s="126"/>
      <c r="AA50" s="126"/>
      <c r="AB50" s="126"/>
      <c r="AC50" s="126"/>
      <c r="AD50" s="126"/>
      <c r="AE50" s="126"/>
      <c r="AF50" s="126"/>
      <c r="AG50" s="126"/>
      <c r="AH50" s="126"/>
      <c r="AI50" s="126"/>
      <c r="AJ50" s="126"/>
      <c r="AK50" s="126"/>
      <c r="AL50" s="126"/>
      <c r="AM50" s="126"/>
      <c r="AN50" s="126"/>
      <c r="AO50" s="126"/>
    </row>
    <row r="51">
      <c r="A51" s="153"/>
      <c r="B51" s="153"/>
      <c r="C51" s="153"/>
      <c r="D51" s="153"/>
      <c r="E51" s="153"/>
      <c r="F51" s="153"/>
      <c r="G51" s="153"/>
      <c r="H51" s="153"/>
      <c r="I51" s="148"/>
      <c r="J51" s="153"/>
      <c r="K51" s="153"/>
      <c r="L51" s="126"/>
      <c r="M51" s="126"/>
      <c r="N51" s="126"/>
      <c r="O51" s="126"/>
      <c r="P51" s="126"/>
      <c r="Q51" s="126"/>
      <c r="R51" s="126"/>
      <c r="S51" s="126"/>
      <c r="T51" s="126"/>
      <c r="U51" s="126"/>
      <c r="V51" s="126"/>
      <c r="W51" s="126"/>
      <c r="X51" s="126"/>
      <c r="Y51" s="126"/>
      <c r="Z51" s="126"/>
      <c r="AA51" s="126"/>
      <c r="AB51" s="126"/>
      <c r="AC51" s="126"/>
      <c r="AD51" s="126"/>
      <c r="AE51" s="126"/>
      <c r="AF51" s="126"/>
      <c r="AG51" s="126"/>
      <c r="AH51" s="126"/>
      <c r="AI51" s="126"/>
      <c r="AJ51" s="126"/>
      <c r="AK51" s="126"/>
      <c r="AL51" s="126"/>
      <c r="AM51" s="126"/>
      <c r="AN51" s="126"/>
      <c r="AO51" s="126"/>
    </row>
    <row r="52">
      <c r="A52" s="153"/>
      <c r="B52" s="153"/>
      <c r="C52" s="153"/>
      <c r="D52" s="153"/>
      <c r="E52" s="153"/>
      <c r="F52" s="153"/>
      <c r="G52" s="153"/>
      <c r="H52" s="153"/>
      <c r="I52" s="148"/>
      <c r="J52" s="153"/>
      <c r="K52" s="153"/>
      <c r="L52" s="126"/>
      <c r="M52" s="126"/>
      <c r="N52" s="126"/>
      <c r="O52" s="126"/>
      <c r="P52" s="126"/>
      <c r="Q52" s="126"/>
      <c r="R52" s="126"/>
      <c r="S52" s="126"/>
      <c r="T52" s="126"/>
      <c r="U52" s="126"/>
      <c r="V52" s="126"/>
      <c r="W52" s="126"/>
      <c r="X52" s="126"/>
      <c r="Y52" s="126"/>
      <c r="Z52" s="126"/>
      <c r="AA52" s="126"/>
      <c r="AB52" s="126"/>
      <c r="AC52" s="126"/>
      <c r="AD52" s="126"/>
      <c r="AE52" s="126"/>
      <c r="AF52" s="126"/>
      <c r="AG52" s="126"/>
      <c r="AH52" s="126"/>
      <c r="AI52" s="126"/>
      <c r="AJ52" s="126"/>
      <c r="AK52" s="126"/>
      <c r="AL52" s="126"/>
      <c r="AM52" s="126"/>
      <c r="AN52" s="126"/>
      <c r="AO52" s="126"/>
    </row>
    <row r="53">
      <c r="A53" s="153"/>
      <c r="B53" s="153"/>
      <c r="C53" s="153"/>
      <c r="D53" s="153"/>
      <c r="E53" s="153"/>
      <c r="F53" s="153"/>
      <c r="G53" s="153"/>
      <c r="H53" s="153"/>
      <c r="I53" s="148"/>
      <c r="J53" s="153"/>
      <c r="K53" s="153"/>
      <c r="L53" s="126"/>
      <c r="M53" s="126"/>
      <c r="N53" s="126"/>
      <c r="O53" s="126"/>
      <c r="P53" s="126"/>
      <c r="Q53" s="126"/>
      <c r="R53" s="126"/>
      <c r="S53" s="126"/>
      <c r="T53" s="126"/>
      <c r="U53" s="126"/>
      <c r="V53" s="126"/>
      <c r="W53" s="126"/>
      <c r="X53" s="126"/>
      <c r="Y53" s="126"/>
      <c r="Z53" s="126"/>
      <c r="AA53" s="126"/>
      <c r="AB53" s="126"/>
      <c r="AC53" s="126"/>
      <c r="AD53" s="126"/>
      <c r="AE53" s="126"/>
      <c r="AF53" s="126"/>
      <c r="AG53" s="126"/>
      <c r="AH53" s="126"/>
      <c r="AI53" s="126"/>
      <c r="AJ53" s="126"/>
      <c r="AK53" s="126"/>
      <c r="AL53" s="126"/>
      <c r="AM53" s="126"/>
      <c r="AN53" s="126"/>
      <c r="AO53" s="126"/>
    </row>
    <row r="54">
      <c r="A54" s="153"/>
      <c r="B54" s="153"/>
      <c r="C54" s="153"/>
      <c r="D54" s="153"/>
      <c r="E54" s="153"/>
      <c r="F54" s="153"/>
      <c r="G54" s="153"/>
      <c r="H54" s="153"/>
      <c r="I54" s="148"/>
      <c r="J54" s="153"/>
      <c r="K54" s="153"/>
      <c r="L54" s="126"/>
      <c r="M54" s="126"/>
      <c r="N54" s="126"/>
      <c r="O54" s="126"/>
      <c r="P54" s="126"/>
      <c r="Q54" s="126"/>
      <c r="R54" s="126"/>
      <c r="S54" s="126"/>
      <c r="T54" s="126"/>
      <c r="U54" s="126"/>
      <c r="V54" s="126"/>
      <c r="W54" s="126"/>
      <c r="X54" s="126"/>
      <c r="Y54" s="126"/>
      <c r="Z54" s="126"/>
      <c r="AA54" s="126"/>
      <c r="AB54" s="126"/>
      <c r="AC54" s="126"/>
      <c r="AD54" s="126"/>
      <c r="AE54" s="126"/>
      <c r="AF54" s="126"/>
      <c r="AG54" s="126"/>
      <c r="AH54" s="126"/>
      <c r="AI54" s="126"/>
      <c r="AJ54" s="126"/>
      <c r="AK54" s="126"/>
      <c r="AL54" s="126"/>
      <c r="AM54" s="126"/>
      <c r="AN54" s="126"/>
      <c r="AO54" s="126"/>
    </row>
    <row r="55">
      <c r="A55" s="153"/>
      <c r="B55" s="153"/>
      <c r="C55" s="153"/>
      <c r="D55" s="153"/>
      <c r="E55" s="153"/>
      <c r="F55" s="153"/>
      <c r="G55" s="153"/>
      <c r="H55" s="153"/>
      <c r="I55" s="148"/>
      <c r="J55" s="153"/>
      <c r="K55" s="153"/>
      <c r="L55" s="126"/>
      <c r="M55" s="126"/>
      <c r="N55" s="126"/>
      <c r="O55" s="126"/>
      <c r="P55" s="126"/>
      <c r="Q55" s="126"/>
      <c r="R55" s="126"/>
      <c r="S55" s="126"/>
      <c r="T55" s="126"/>
      <c r="U55" s="126"/>
      <c r="V55" s="126"/>
      <c r="W55" s="126"/>
      <c r="X55" s="126"/>
      <c r="Y55" s="126"/>
      <c r="Z55" s="126"/>
      <c r="AA55" s="126"/>
      <c r="AB55" s="126"/>
      <c r="AC55" s="126"/>
      <c r="AD55" s="126"/>
      <c r="AE55" s="126"/>
      <c r="AF55" s="126"/>
      <c r="AG55" s="126"/>
      <c r="AH55" s="126"/>
      <c r="AI55" s="126"/>
      <c r="AJ55" s="126"/>
      <c r="AK55" s="126"/>
      <c r="AL55" s="126"/>
      <c r="AM55" s="126"/>
      <c r="AN55" s="126"/>
      <c r="AO55" s="126"/>
    </row>
    <row r="56">
      <c r="A56" s="153"/>
      <c r="B56" s="153"/>
      <c r="C56" s="153"/>
      <c r="D56" s="153"/>
      <c r="E56" s="153"/>
      <c r="F56" s="153"/>
      <c r="G56" s="153"/>
      <c r="H56" s="153"/>
      <c r="I56" s="148"/>
      <c r="J56" s="153"/>
      <c r="K56" s="153"/>
      <c r="L56" s="126"/>
      <c r="M56" s="126"/>
      <c r="N56" s="126"/>
      <c r="O56" s="126"/>
      <c r="P56" s="126"/>
      <c r="Q56" s="126"/>
      <c r="R56" s="126"/>
      <c r="S56" s="126"/>
      <c r="T56" s="126"/>
      <c r="U56" s="126"/>
      <c r="V56" s="126"/>
      <c r="W56" s="126"/>
      <c r="X56" s="126"/>
      <c r="Y56" s="126"/>
      <c r="Z56" s="126"/>
      <c r="AA56" s="126"/>
      <c r="AB56" s="126"/>
      <c r="AC56" s="126"/>
      <c r="AD56" s="126"/>
      <c r="AE56" s="126"/>
      <c r="AF56" s="126"/>
      <c r="AG56" s="126"/>
      <c r="AH56" s="126"/>
      <c r="AI56" s="126"/>
      <c r="AJ56" s="126"/>
      <c r="AK56" s="126"/>
      <c r="AL56" s="126"/>
      <c r="AM56" s="126"/>
      <c r="AN56" s="126"/>
      <c r="AO56" s="126"/>
    </row>
    <row r="57">
      <c r="A57" s="153"/>
      <c r="B57" s="153"/>
      <c r="C57" s="153"/>
      <c r="D57" s="153"/>
      <c r="E57" s="153"/>
      <c r="F57" s="153"/>
      <c r="G57" s="153"/>
      <c r="H57" s="153"/>
      <c r="I57" s="148"/>
      <c r="J57" s="153"/>
      <c r="K57" s="153"/>
      <c r="L57" s="126"/>
      <c r="M57" s="126"/>
      <c r="N57" s="126"/>
      <c r="O57" s="126"/>
      <c r="P57" s="126"/>
      <c r="Q57" s="126"/>
      <c r="R57" s="126"/>
      <c r="S57" s="126"/>
      <c r="T57" s="126"/>
      <c r="U57" s="126"/>
      <c r="V57" s="126"/>
      <c r="W57" s="126"/>
      <c r="X57" s="126"/>
      <c r="Y57" s="126"/>
      <c r="Z57" s="126"/>
      <c r="AA57" s="126"/>
      <c r="AB57" s="126"/>
      <c r="AC57" s="126"/>
      <c r="AD57" s="126"/>
      <c r="AE57" s="126"/>
      <c r="AF57" s="126"/>
      <c r="AG57" s="126"/>
      <c r="AH57" s="126"/>
      <c r="AI57" s="126"/>
      <c r="AJ57" s="126"/>
      <c r="AK57" s="126"/>
      <c r="AL57" s="126"/>
      <c r="AM57" s="126"/>
      <c r="AN57" s="126"/>
      <c r="AO57" s="126"/>
    </row>
    <row r="58">
      <c r="A58" s="153"/>
      <c r="B58" s="153"/>
      <c r="C58" s="153"/>
      <c r="D58" s="153"/>
      <c r="E58" s="153"/>
      <c r="F58" s="153"/>
      <c r="G58" s="153"/>
      <c r="H58" s="153"/>
      <c r="I58" s="148"/>
      <c r="J58" s="153"/>
      <c r="K58" s="153"/>
      <c r="L58" s="126"/>
      <c r="M58" s="126"/>
      <c r="N58" s="126"/>
      <c r="O58" s="126"/>
      <c r="P58" s="126"/>
      <c r="Q58" s="126"/>
      <c r="R58" s="126"/>
      <c r="S58" s="126"/>
      <c r="T58" s="126"/>
      <c r="U58" s="126"/>
      <c r="V58" s="126"/>
      <c r="W58" s="126"/>
      <c r="X58" s="126"/>
      <c r="Y58" s="126"/>
      <c r="Z58" s="126"/>
      <c r="AA58" s="126"/>
      <c r="AB58" s="126"/>
      <c r="AC58" s="126"/>
      <c r="AD58" s="126"/>
      <c r="AE58" s="126"/>
      <c r="AF58" s="126"/>
      <c r="AG58" s="126"/>
      <c r="AH58" s="126"/>
      <c r="AI58" s="126"/>
      <c r="AJ58" s="126"/>
      <c r="AK58" s="126"/>
      <c r="AL58" s="126"/>
      <c r="AM58" s="126"/>
      <c r="AN58" s="126"/>
      <c r="AO58" s="126"/>
    </row>
    <row r="59">
      <c r="A59" s="153"/>
      <c r="B59" s="153"/>
      <c r="C59" s="153"/>
      <c r="D59" s="153"/>
      <c r="E59" s="153"/>
      <c r="F59" s="153"/>
      <c r="G59" s="153"/>
      <c r="H59" s="153"/>
      <c r="I59" s="148"/>
      <c r="J59" s="153"/>
      <c r="K59" s="153"/>
      <c r="L59" s="126"/>
      <c r="M59" s="126"/>
      <c r="N59" s="126"/>
      <c r="O59" s="126"/>
      <c r="P59" s="126"/>
      <c r="Q59" s="126"/>
      <c r="R59" s="126"/>
      <c r="S59" s="126"/>
      <c r="T59" s="126"/>
      <c r="U59" s="126"/>
      <c r="V59" s="126"/>
      <c r="W59" s="126"/>
      <c r="X59" s="126"/>
      <c r="Y59" s="126"/>
      <c r="Z59" s="126"/>
      <c r="AA59" s="126"/>
      <c r="AB59" s="126"/>
      <c r="AC59" s="126"/>
      <c r="AD59" s="126"/>
      <c r="AE59" s="126"/>
      <c r="AF59" s="126"/>
      <c r="AG59" s="126"/>
      <c r="AH59" s="126"/>
      <c r="AI59" s="126"/>
      <c r="AJ59" s="126"/>
      <c r="AK59" s="126"/>
      <c r="AL59" s="126"/>
      <c r="AM59" s="126"/>
      <c r="AN59" s="126"/>
      <c r="AO59" s="126"/>
    </row>
    <row r="60">
      <c r="A60" s="153"/>
      <c r="B60" s="153"/>
      <c r="C60" s="153"/>
      <c r="D60" s="153"/>
      <c r="E60" s="153"/>
      <c r="F60" s="153"/>
      <c r="G60" s="153"/>
      <c r="H60" s="153"/>
      <c r="I60" s="148"/>
      <c r="J60" s="153"/>
      <c r="K60" s="153"/>
      <c r="L60" s="126"/>
      <c r="M60" s="126"/>
      <c r="N60" s="126"/>
      <c r="O60" s="126"/>
      <c r="P60" s="126"/>
      <c r="Q60" s="126"/>
      <c r="R60" s="126"/>
      <c r="S60" s="126"/>
      <c r="T60" s="126"/>
      <c r="U60" s="126"/>
      <c r="V60" s="126"/>
      <c r="W60" s="126"/>
      <c r="X60" s="126"/>
      <c r="Y60" s="126"/>
      <c r="Z60" s="126"/>
      <c r="AA60" s="126"/>
      <c r="AB60" s="126"/>
      <c r="AC60" s="126"/>
      <c r="AD60" s="126"/>
      <c r="AE60" s="126"/>
      <c r="AF60" s="126"/>
      <c r="AG60" s="126"/>
      <c r="AH60" s="126"/>
      <c r="AI60" s="126"/>
      <c r="AJ60" s="126"/>
      <c r="AK60" s="126"/>
      <c r="AL60" s="126"/>
      <c r="AM60" s="126"/>
      <c r="AN60" s="126"/>
      <c r="AO60" s="126"/>
    </row>
    <row r="61">
      <c r="A61" s="153"/>
      <c r="B61" s="153"/>
      <c r="C61" s="153"/>
      <c r="D61" s="153"/>
      <c r="E61" s="153"/>
      <c r="F61" s="153"/>
      <c r="G61" s="153"/>
      <c r="H61" s="153"/>
      <c r="I61" s="148"/>
      <c r="J61" s="153"/>
      <c r="K61" s="153"/>
      <c r="L61" s="126"/>
      <c r="M61" s="126"/>
      <c r="N61" s="126"/>
      <c r="O61" s="126"/>
      <c r="P61" s="126"/>
      <c r="Q61" s="126"/>
      <c r="R61" s="126"/>
      <c r="S61" s="126"/>
      <c r="T61" s="126"/>
      <c r="U61" s="126"/>
      <c r="V61" s="126"/>
      <c r="W61" s="126"/>
      <c r="X61" s="126"/>
      <c r="Y61" s="126"/>
      <c r="Z61" s="126"/>
      <c r="AA61" s="126"/>
      <c r="AB61" s="126"/>
      <c r="AC61" s="126"/>
      <c r="AD61" s="126"/>
      <c r="AE61" s="126"/>
      <c r="AF61" s="126"/>
      <c r="AG61" s="126"/>
      <c r="AH61" s="126"/>
      <c r="AI61" s="126"/>
      <c r="AJ61" s="126"/>
      <c r="AK61" s="126"/>
      <c r="AL61" s="126"/>
      <c r="AM61" s="126"/>
      <c r="AN61" s="126"/>
      <c r="AO61" s="126"/>
    </row>
    <row r="62">
      <c r="A62" s="153"/>
      <c r="B62" s="153"/>
      <c r="C62" s="153"/>
      <c r="D62" s="153"/>
      <c r="E62" s="153"/>
      <c r="F62" s="153"/>
      <c r="G62" s="153"/>
      <c r="H62" s="153"/>
      <c r="I62" s="148"/>
      <c r="J62" s="153"/>
      <c r="K62" s="153"/>
      <c r="L62" s="126"/>
      <c r="M62" s="126"/>
      <c r="N62" s="126"/>
      <c r="O62" s="126"/>
      <c r="P62" s="126"/>
      <c r="Q62" s="126"/>
      <c r="R62" s="126"/>
      <c r="S62" s="126"/>
      <c r="T62" s="126"/>
      <c r="U62" s="126"/>
      <c r="V62" s="126"/>
      <c r="W62" s="126"/>
      <c r="X62" s="126"/>
      <c r="Y62" s="126"/>
      <c r="Z62" s="126"/>
      <c r="AA62" s="126"/>
      <c r="AB62" s="126"/>
      <c r="AC62" s="126"/>
      <c r="AD62" s="126"/>
      <c r="AE62" s="126"/>
      <c r="AF62" s="126"/>
      <c r="AG62" s="126"/>
      <c r="AH62" s="126"/>
      <c r="AI62" s="126"/>
      <c r="AJ62" s="126"/>
      <c r="AK62" s="126"/>
      <c r="AL62" s="126"/>
      <c r="AM62" s="126"/>
      <c r="AN62" s="126"/>
      <c r="AO62" s="126"/>
    </row>
    <row r="63">
      <c r="A63" s="153"/>
      <c r="B63" s="153"/>
      <c r="C63" s="153"/>
      <c r="D63" s="153"/>
      <c r="E63" s="153"/>
      <c r="F63" s="153"/>
      <c r="G63" s="153"/>
      <c r="H63" s="153"/>
      <c r="I63" s="148"/>
      <c r="J63" s="153"/>
      <c r="K63" s="153"/>
      <c r="L63" s="126"/>
      <c r="M63" s="126"/>
      <c r="N63" s="126"/>
      <c r="O63" s="126"/>
      <c r="P63" s="126"/>
      <c r="Q63" s="126"/>
      <c r="R63" s="126"/>
      <c r="S63" s="126"/>
      <c r="T63" s="126"/>
      <c r="U63" s="126"/>
      <c r="V63" s="126"/>
      <c r="W63" s="126"/>
      <c r="X63" s="126"/>
      <c r="Y63" s="126"/>
      <c r="Z63" s="126"/>
      <c r="AA63" s="126"/>
      <c r="AB63" s="126"/>
      <c r="AC63" s="126"/>
      <c r="AD63" s="126"/>
      <c r="AE63" s="126"/>
      <c r="AF63" s="126"/>
      <c r="AG63" s="126"/>
      <c r="AH63" s="126"/>
      <c r="AI63" s="126"/>
      <c r="AJ63" s="126"/>
      <c r="AK63" s="126"/>
      <c r="AL63" s="126"/>
      <c r="AM63" s="126"/>
      <c r="AN63" s="126"/>
      <c r="AO63" s="126"/>
    </row>
    <row r="64">
      <c r="A64" s="153"/>
      <c r="B64" s="153"/>
      <c r="C64" s="153"/>
      <c r="D64" s="153"/>
      <c r="E64" s="153"/>
      <c r="F64" s="153"/>
      <c r="G64" s="153"/>
      <c r="H64" s="153"/>
      <c r="I64" s="148"/>
      <c r="J64" s="153"/>
      <c r="K64" s="153"/>
      <c r="L64" s="126"/>
      <c r="M64" s="126"/>
      <c r="N64" s="126"/>
      <c r="O64" s="126"/>
      <c r="P64" s="126"/>
      <c r="Q64" s="126"/>
      <c r="R64" s="126"/>
      <c r="S64" s="126"/>
      <c r="T64" s="126"/>
      <c r="U64" s="126"/>
      <c r="V64" s="126"/>
      <c r="W64" s="126"/>
      <c r="X64" s="126"/>
      <c r="Y64" s="126"/>
      <c r="Z64" s="126"/>
      <c r="AA64" s="126"/>
      <c r="AB64" s="126"/>
      <c r="AC64" s="126"/>
      <c r="AD64" s="126"/>
      <c r="AE64" s="126"/>
      <c r="AF64" s="126"/>
      <c r="AG64" s="126"/>
      <c r="AH64" s="126"/>
      <c r="AI64" s="126"/>
      <c r="AJ64" s="126"/>
      <c r="AK64" s="126"/>
      <c r="AL64" s="126"/>
      <c r="AM64" s="126"/>
      <c r="AN64" s="126"/>
      <c r="AO64" s="126"/>
    </row>
    <row r="65">
      <c r="A65" s="153"/>
      <c r="B65" s="153"/>
      <c r="C65" s="153"/>
      <c r="D65" s="153"/>
      <c r="E65" s="153"/>
      <c r="F65" s="153"/>
      <c r="G65" s="153"/>
      <c r="H65" s="153"/>
      <c r="I65" s="148"/>
      <c r="J65" s="153"/>
      <c r="K65" s="153"/>
      <c r="L65" s="126"/>
      <c r="M65" s="126"/>
      <c r="N65" s="126"/>
      <c r="O65" s="126"/>
      <c r="P65" s="126"/>
      <c r="Q65" s="126"/>
      <c r="R65" s="126"/>
      <c r="S65" s="126"/>
      <c r="T65" s="126"/>
      <c r="U65" s="126"/>
      <c r="V65" s="126"/>
      <c r="W65" s="126"/>
      <c r="X65" s="126"/>
      <c r="Y65" s="126"/>
      <c r="Z65" s="126"/>
      <c r="AA65" s="126"/>
      <c r="AB65" s="126"/>
      <c r="AC65" s="126"/>
      <c r="AD65" s="126"/>
      <c r="AE65" s="126"/>
      <c r="AF65" s="126"/>
      <c r="AG65" s="126"/>
      <c r="AH65" s="126"/>
      <c r="AI65" s="126"/>
      <c r="AJ65" s="126"/>
      <c r="AK65" s="126"/>
      <c r="AL65" s="126"/>
      <c r="AM65" s="126"/>
      <c r="AN65" s="126"/>
      <c r="AO65" s="126"/>
    </row>
    <row r="66">
      <c r="A66" s="153"/>
      <c r="B66" s="153"/>
      <c r="C66" s="153"/>
      <c r="D66" s="153"/>
      <c r="E66" s="153"/>
      <c r="F66" s="153"/>
      <c r="G66" s="153"/>
      <c r="H66" s="153"/>
      <c r="I66" s="148"/>
      <c r="J66" s="153"/>
      <c r="K66" s="153"/>
      <c r="L66" s="126"/>
      <c r="M66" s="126"/>
      <c r="N66" s="126"/>
      <c r="O66" s="126"/>
      <c r="P66" s="126"/>
      <c r="Q66" s="126"/>
      <c r="R66" s="126"/>
      <c r="S66" s="126"/>
      <c r="T66" s="126"/>
      <c r="U66" s="126"/>
      <c r="V66" s="126"/>
      <c r="W66" s="126"/>
      <c r="X66" s="126"/>
      <c r="Y66" s="126"/>
      <c r="Z66" s="126"/>
      <c r="AA66" s="126"/>
      <c r="AB66" s="126"/>
      <c r="AC66" s="126"/>
      <c r="AD66" s="126"/>
      <c r="AE66" s="126"/>
      <c r="AF66" s="126"/>
      <c r="AG66" s="126"/>
      <c r="AH66" s="126"/>
      <c r="AI66" s="126"/>
      <c r="AJ66" s="126"/>
      <c r="AK66" s="126"/>
      <c r="AL66" s="126"/>
      <c r="AM66" s="126"/>
      <c r="AN66" s="126"/>
      <c r="AO66" s="126"/>
    </row>
    <row r="67">
      <c r="A67" s="153"/>
      <c r="B67" s="153"/>
      <c r="C67" s="153"/>
      <c r="D67" s="153"/>
      <c r="E67" s="153"/>
      <c r="F67" s="153"/>
      <c r="G67" s="153"/>
      <c r="H67" s="153"/>
      <c r="I67" s="148"/>
      <c r="J67" s="153"/>
      <c r="K67" s="153"/>
      <c r="L67" s="126"/>
      <c r="M67" s="126"/>
      <c r="N67" s="126"/>
      <c r="O67" s="126"/>
      <c r="P67" s="126"/>
      <c r="Q67" s="126"/>
      <c r="R67" s="126"/>
      <c r="S67" s="126"/>
      <c r="T67" s="126"/>
      <c r="U67" s="126"/>
      <c r="V67" s="126"/>
      <c r="W67" s="126"/>
      <c r="X67" s="126"/>
      <c r="Y67" s="126"/>
      <c r="Z67" s="126"/>
      <c r="AA67" s="126"/>
      <c r="AB67" s="126"/>
      <c r="AC67" s="126"/>
      <c r="AD67" s="126"/>
      <c r="AE67" s="126"/>
      <c r="AF67" s="126"/>
      <c r="AG67" s="126"/>
      <c r="AH67" s="126"/>
      <c r="AI67" s="126"/>
      <c r="AJ67" s="126"/>
      <c r="AK67" s="126"/>
      <c r="AL67" s="126"/>
      <c r="AM67" s="126"/>
      <c r="AN67" s="126"/>
      <c r="AO67" s="126"/>
    </row>
    <row r="68">
      <c r="A68" s="153"/>
      <c r="B68" s="153"/>
      <c r="C68" s="153"/>
      <c r="D68" s="153"/>
      <c r="E68" s="153"/>
      <c r="F68" s="153"/>
      <c r="G68" s="153"/>
      <c r="H68" s="153"/>
      <c r="I68" s="148"/>
      <c r="J68" s="153"/>
      <c r="K68" s="153"/>
      <c r="L68" s="126"/>
      <c r="M68" s="126"/>
      <c r="N68" s="126"/>
      <c r="O68" s="126"/>
      <c r="P68" s="126"/>
      <c r="Q68" s="126"/>
      <c r="R68" s="126"/>
      <c r="S68" s="126"/>
      <c r="T68" s="126"/>
      <c r="U68" s="126"/>
      <c r="V68" s="126"/>
      <c r="W68" s="126"/>
      <c r="X68" s="126"/>
      <c r="Y68" s="126"/>
      <c r="Z68" s="126"/>
      <c r="AA68" s="126"/>
      <c r="AB68" s="126"/>
      <c r="AC68" s="126"/>
      <c r="AD68" s="126"/>
      <c r="AE68" s="126"/>
      <c r="AF68" s="126"/>
      <c r="AG68" s="126"/>
      <c r="AH68" s="126"/>
      <c r="AI68" s="126"/>
      <c r="AJ68" s="126"/>
      <c r="AK68" s="126"/>
      <c r="AL68" s="126"/>
      <c r="AM68" s="126"/>
      <c r="AN68" s="126"/>
      <c r="AO68" s="126"/>
    </row>
    <row r="69">
      <c r="A69" s="153"/>
      <c r="B69" s="153"/>
      <c r="C69" s="153"/>
      <c r="D69" s="153"/>
      <c r="E69" s="153"/>
      <c r="F69" s="153"/>
      <c r="G69" s="153"/>
      <c r="H69" s="153"/>
      <c r="I69" s="148"/>
      <c r="J69" s="153"/>
      <c r="K69" s="153"/>
      <c r="L69" s="126"/>
      <c r="M69" s="126"/>
      <c r="N69" s="126"/>
      <c r="O69" s="126"/>
      <c r="P69" s="126"/>
      <c r="Q69" s="126"/>
      <c r="R69" s="126"/>
      <c r="S69" s="126"/>
      <c r="T69" s="126"/>
      <c r="U69" s="126"/>
      <c r="V69" s="126"/>
      <c r="W69" s="126"/>
      <c r="X69" s="126"/>
      <c r="Y69" s="126"/>
      <c r="Z69" s="126"/>
      <c r="AA69" s="126"/>
      <c r="AB69" s="126"/>
      <c r="AC69" s="126"/>
      <c r="AD69" s="126"/>
      <c r="AE69" s="126"/>
      <c r="AF69" s="126"/>
      <c r="AG69" s="126"/>
      <c r="AH69" s="126"/>
      <c r="AI69" s="126"/>
      <c r="AJ69" s="126"/>
      <c r="AK69" s="126"/>
      <c r="AL69" s="126"/>
      <c r="AM69" s="126"/>
      <c r="AN69" s="126"/>
      <c r="AO69" s="126"/>
    </row>
    <row r="70">
      <c r="A70" s="153"/>
      <c r="B70" s="153"/>
      <c r="C70" s="153"/>
      <c r="D70" s="153"/>
      <c r="E70" s="153"/>
      <c r="F70" s="153"/>
      <c r="G70" s="153"/>
      <c r="H70" s="153"/>
      <c r="I70" s="148"/>
      <c r="J70" s="153"/>
      <c r="K70" s="153"/>
      <c r="L70" s="126"/>
      <c r="M70" s="126"/>
      <c r="N70" s="126"/>
      <c r="O70" s="126"/>
      <c r="P70" s="126"/>
      <c r="Q70" s="126"/>
      <c r="R70" s="126"/>
      <c r="S70" s="126"/>
      <c r="T70" s="126"/>
      <c r="U70" s="126"/>
      <c r="V70" s="126"/>
      <c r="W70" s="126"/>
      <c r="X70" s="126"/>
      <c r="Y70" s="126"/>
      <c r="Z70" s="126"/>
      <c r="AA70" s="126"/>
      <c r="AB70" s="126"/>
      <c r="AC70" s="126"/>
      <c r="AD70" s="126"/>
      <c r="AE70" s="126"/>
      <c r="AF70" s="126"/>
      <c r="AG70" s="126"/>
      <c r="AH70" s="126"/>
      <c r="AI70" s="126"/>
      <c r="AJ70" s="126"/>
      <c r="AK70" s="126"/>
      <c r="AL70" s="126"/>
      <c r="AM70" s="126"/>
      <c r="AN70" s="126"/>
      <c r="AO70" s="126"/>
    </row>
    <row r="71">
      <c r="A71" s="153"/>
      <c r="B71" s="153"/>
      <c r="C71" s="153"/>
      <c r="D71" s="153"/>
      <c r="E71" s="153"/>
      <c r="F71" s="153"/>
      <c r="G71" s="153"/>
      <c r="H71" s="153"/>
      <c r="I71" s="148"/>
      <c r="J71" s="153"/>
      <c r="K71" s="153"/>
      <c r="L71" s="126"/>
      <c r="M71" s="126"/>
      <c r="N71" s="126"/>
      <c r="O71" s="126"/>
      <c r="P71" s="126"/>
      <c r="Q71" s="126"/>
      <c r="R71" s="126"/>
      <c r="S71" s="126"/>
      <c r="T71" s="126"/>
      <c r="U71" s="126"/>
      <c r="V71" s="126"/>
      <c r="W71" s="126"/>
      <c r="X71" s="126"/>
      <c r="Y71" s="126"/>
      <c r="Z71" s="126"/>
      <c r="AA71" s="126"/>
      <c r="AB71" s="126"/>
      <c r="AC71" s="126"/>
      <c r="AD71" s="126"/>
      <c r="AE71" s="126"/>
      <c r="AF71" s="126"/>
      <c r="AG71" s="126"/>
      <c r="AH71" s="126"/>
      <c r="AI71" s="126"/>
      <c r="AJ71" s="126"/>
      <c r="AK71" s="126"/>
      <c r="AL71" s="126"/>
      <c r="AM71" s="126"/>
      <c r="AN71" s="126"/>
      <c r="AO71" s="126"/>
    </row>
    <row r="72">
      <c r="A72" s="153"/>
      <c r="B72" s="153"/>
      <c r="C72" s="153"/>
      <c r="D72" s="153"/>
      <c r="E72" s="153"/>
      <c r="F72" s="153"/>
      <c r="G72" s="153"/>
      <c r="H72" s="153"/>
      <c r="I72" s="148"/>
      <c r="J72" s="153"/>
      <c r="K72" s="153"/>
      <c r="L72" s="126"/>
      <c r="M72" s="126"/>
      <c r="N72" s="126"/>
      <c r="O72" s="126"/>
      <c r="P72" s="126"/>
      <c r="Q72" s="126"/>
      <c r="R72" s="126"/>
      <c r="S72" s="126"/>
      <c r="T72" s="126"/>
      <c r="U72" s="126"/>
      <c r="V72" s="126"/>
      <c r="W72" s="126"/>
      <c r="X72" s="126"/>
      <c r="Y72" s="126"/>
      <c r="Z72" s="126"/>
      <c r="AA72" s="126"/>
      <c r="AB72" s="126"/>
      <c r="AC72" s="126"/>
      <c r="AD72" s="126"/>
      <c r="AE72" s="126"/>
      <c r="AF72" s="126"/>
      <c r="AG72" s="126"/>
      <c r="AH72" s="126"/>
      <c r="AI72" s="126"/>
      <c r="AJ72" s="126"/>
      <c r="AK72" s="126"/>
      <c r="AL72" s="126"/>
      <c r="AM72" s="126"/>
      <c r="AN72" s="126"/>
      <c r="AO72" s="126"/>
    </row>
    <row r="73">
      <c r="A73" s="153"/>
      <c r="B73" s="153"/>
      <c r="C73" s="153"/>
      <c r="D73" s="153"/>
      <c r="E73" s="153"/>
      <c r="F73" s="153"/>
      <c r="G73" s="153"/>
      <c r="H73" s="153"/>
      <c r="I73" s="148"/>
      <c r="J73" s="153"/>
      <c r="K73" s="153"/>
      <c r="L73" s="126"/>
      <c r="M73" s="126"/>
      <c r="N73" s="126"/>
      <c r="O73" s="126"/>
      <c r="P73" s="126"/>
      <c r="Q73" s="126"/>
      <c r="R73" s="126"/>
      <c r="S73" s="126"/>
      <c r="T73" s="126"/>
      <c r="U73" s="126"/>
      <c r="V73" s="126"/>
      <c r="W73" s="126"/>
      <c r="X73" s="126"/>
      <c r="Y73" s="126"/>
      <c r="Z73" s="126"/>
      <c r="AA73" s="126"/>
      <c r="AB73" s="126"/>
      <c r="AC73" s="126"/>
      <c r="AD73" s="126"/>
      <c r="AE73" s="126"/>
      <c r="AF73" s="126"/>
      <c r="AG73" s="126"/>
      <c r="AH73" s="126"/>
      <c r="AI73" s="126"/>
      <c r="AJ73" s="126"/>
      <c r="AK73" s="126"/>
      <c r="AL73" s="126"/>
      <c r="AM73" s="126"/>
      <c r="AN73" s="126"/>
      <c r="AO73" s="126"/>
    </row>
    <row r="74">
      <c r="A74" s="153"/>
      <c r="B74" s="153"/>
      <c r="C74" s="153"/>
      <c r="D74" s="153"/>
      <c r="E74" s="153"/>
      <c r="F74" s="153"/>
      <c r="G74" s="153"/>
      <c r="H74" s="153"/>
      <c r="I74" s="148"/>
      <c r="J74" s="153"/>
      <c r="K74" s="153"/>
      <c r="L74" s="126"/>
      <c r="M74" s="126"/>
      <c r="N74" s="126"/>
      <c r="O74" s="126"/>
      <c r="P74" s="126"/>
      <c r="Q74" s="126"/>
      <c r="R74" s="126"/>
      <c r="S74" s="126"/>
      <c r="T74" s="126"/>
      <c r="U74" s="126"/>
      <c r="V74" s="126"/>
      <c r="W74" s="126"/>
      <c r="X74" s="126"/>
      <c r="Y74" s="126"/>
      <c r="Z74" s="126"/>
      <c r="AA74" s="126"/>
      <c r="AB74" s="126"/>
      <c r="AC74" s="126"/>
      <c r="AD74" s="126"/>
      <c r="AE74" s="126"/>
      <c r="AF74" s="126"/>
      <c r="AG74" s="126"/>
      <c r="AH74" s="126"/>
      <c r="AI74" s="126"/>
      <c r="AJ74" s="126"/>
      <c r="AK74" s="126"/>
      <c r="AL74" s="126"/>
      <c r="AM74" s="126"/>
      <c r="AN74" s="126"/>
      <c r="AO74" s="126"/>
    </row>
    <row r="75">
      <c r="A75" s="153"/>
      <c r="B75" s="153"/>
      <c r="C75" s="153"/>
      <c r="D75" s="153"/>
      <c r="E75" s="153"/>
      <c r="F75" s="153"/>
      <c r="G75" s="153"/>
      <c r="H75" s="153"/>
      <c r="I75" s="148"/>
      <c r="J75" s="153"/>
      <c r="K75" s="153"/>
      <c r="L75" s="126"/>
      <c r="M75" s="126"/>
      <c r="N75" s="126"/>
      <c r="O75" s="126"/>
      <c r="P75" s="126"/>
      <c r="Q75" s="126"/>
      <c r="R75" s="126"/>
      <c r="S75" s="126"/>
      <c r="T75" s="126"/>
      <c r="U75" s="126"/>
      <c r="V75" s="126"/>
      <c r="W75" s="126"/>
      <c r="X75" s="126"/>
      <c r="Y75" s="126"/>
      <c r="Z75" s="126"/>
      <c r="AA75" s="126"/>
      <c r="AB75" s="126"/>
      <c r="AC75" s="126"/>
      <c r="AD75" s="126"/>
      <c r="AE75" s="126"/>
      <c r="AF75" s="126"/>
      <c r="AG75" s="126"/>
      <c r="AH75" s="126"/>
      <c r="AI75" s="126"/>
      <c r="AJ75" s="126"/>
      <c r="AK75" s="126"/>
      <c r="AL75" s="126"/>
      <c r="AM75" s="126"/>
      <c r="AN75" s="126"/>
      <c r="AO75" s="126"/>
    </row>
    <row r="76">
      <c r="A76" s="153"/>
      <c r="B76" s="153"/>
      <c r="C76" s="153"/>
      <c r="D76" s="153"/>
      <c r="E76" s="153"/>
      <c r="F76" s="153"/>
      <c r="G76" s="153"/>
      <c r="H76" s="153"/>
      <c r="I76" s="148"/>
      <c r="J76" s="153"/>
      <c r="K76" s="153"/>
      <c r="L76" s="126"/>
      <c r="M76" s="126"/>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K76" s="126"/>
      <c r="AL76" s="126"/>
      <c r="AM76" s="126"/>
      <c r="AN76" s="126"/>
      <c r="AO76" s="126"/>
    </row>
    <row r="77">
      <c r="A77" s="153"/>
      <c r="B77" s="153"/>
      <c r="C77" s="153"/>
      <c r="D77" s="153"/>
      <c r="E77" s="153"/>
      <c r="F77" s="153"/>
      <c r="G77" s="153"/>
      <c r="H77" s="153"/>
      <c r="I77" s="148"/>
      <c r="J77" s="153"/>
      <c r="K77" s="153"/>
      <c r="L77" s="126"/>
      <c r="M77" s="126"/>
      <c r="N77" s="126"/>
      <c r="O77" s="126"/>
      <c r="P77" s="126"/>
      <c r="Q77" s="126"/>
      <c r="R77" s="126"/>
      <c r="S77" s="126"/>
      <c r="T77" s="126"/>
      <c r="U77" s="126"/>
      <c r="V77" s="126"/>
      <c r="W77" s="126"/>
      <c r="X77" s="126"/>
      <c r="Y77" s="126"/>
      <c r="Z77" s="126"/>
      <c r="AA77" s="126"/>
      <c r="AB77" s="126"/>
      <c r="AC77" s="126"/>
      <c r="AD77" s="126"/>
      <c r="AE77" s="126"/>
      <c r="AF77" s="126"/>
      <c r="AG77" s="126"/>
      <c r="AH77" s="126"/>
      <c r="AI77" s="126"/>
      <c r="AJ77" s="126"/>
      <c r="AK77" s="126"/>
      <c r="AL77" s="126"/>
      <c r="AM77" s="126"/>
      <c r="AN77" s="126"/>
      <c r="AO77" s="126"/>
    </row>
    <row r="78">
      <c r="A78" s="153"/>
      <c r="B78" s="153"/>
      <c r="C78" s="153"/>
      <c r="D78" s="153"/>
      <c r="E78" s="153"/>
      <c r="F78" s="153"/>
      <c r="G78" s="153"/>
      <c r="H78" s="153"/>
      <c r="I78" s="148"/>
      <c r="J78" s="153"/>
      <c r="K78" s="153"/>
      <c r="L78" s="126"/>
      <c r="M78" s="126"/>
      <c r="N78" s="126"/>
      <c r="O78" s="126"/>
      <c r="P78" s="126"/>
      <c r="Q78" s="126"/>
      <c r="R78" s="126"/>
      <c r="S78" s="126"/>
      <c r="T78" s="126"/>
      <c r="U78" s="126"/>
      <c r="V78" s="126"/>
      <c r="W78" s="126"/>
      <c r="X78" s="126"/>
      <c r="Y78" s="126"/>
      <c r="Z78" s="126"/>
      <c r="AA78" s="126"/>
      <c r="AB78" s="126"/>
      <c r="AC78" s="126"/>
      <c r="AD78" s="126"/>
      <c r="AE78" s="126"/>
      <c r="AF78" s="126"/>
      <c r="AG78" s="126"/>
      <c r="AH78" s="126"/>
      <c r="AI78" s="126"/>
      <c r="AJ78" s="126"/>
      <c r="AK78" s="126"/>
      <c r="AL78" s="126"/>
      <c r="AM78" s="126"/>
      <c r="AN78" s="126"/>
      <c r="AO78" s="126"/>
    </row>
    <row r="79">
      <c r="A79" s="153"/>
      <c r="B79" s="153"/>
      <c r="C79" s="153"/>
      <c r="D79" s="153"/>
      <c r="E79" s="153"/>
      <c r="F79" s="153"/>
      <c r="G79" s="153"/>
      <c r="H79" s="153"/>
      <c r="I79" s="148"/>
      <c r="J79" s="153"/>
      <c r="K79" s="153"/>
      <c r="L79" s="126"/>
      <c r="M79" s="126"/>
      <c r="N79" s="126"/>
      <c r="O79" s="126"/>
      <c r="P79" s="126"/>
      <c r="Q79" s="126"/>
      <c r="R79" s="126"/>
      <c r="S79" s="126"/>
      <c r="T79" s="126"/>
      <c r="U79" s="126"/>
      <c r="V79" s="126"/>
      <c r="W79" s="126"/>
      <c r="X79" s="126"/>
      <c r="Y79" s="126"/>
      <c r="Z79" s="126"/>
      <c r="AA79" s="126"/>
      <c r="AB79" s="126"/>
      <c r="AC79" s="126"/>
      <c r="AD79" s="126"/>
      <c r="AE79" s="126"/>
      <c r="AF79" s="126"/>
      <c r="AG79" s="126"/>
      <c r="AH79" s="126"/>
      <c r="AI79" s="126"/>
      <c r="AJ79" s="126"/>
      <c r="AK79" s="126"/>
      <c r="AL79" s="126"/>
      <c r="AM79" s="126"/>
      <c r="AN79" s="126"/>
      <c r="AO79" s="126"/>
    </row>
    <row r="80">
      <c r="A80" s="153"/>
      <c r="B80" s="153"/>
      <c r="C80" s="153"/>
      <c r="D80" s="153"/>
      <c r="E80" s="153"/>
      <c r="F80" s="153"/>
      <c r="G80" s="153"/>
      <c r="H80" s="153"/>
      <c r="I80" s="148"/>
      <c r="J80" s="153"/>
      <c r="K80" s="153"/>
      <c r="L80" s="126"/>
      <c r="M80" s="126"/>
      <c r="N80" s="126"/>
      <c r="O80" s="126"/>
      <c r="P80" s="126"/>
      <c r="Q80" s="126"/>
      <c r="R80" s="126"/>
      <c r="S80" s="126"/>
      <c r="T80" s="126"/>
      <c r="U80" s="126"/>
      <c r="V80" s="126"/>
      <c r="W80" s="126"/>
      <c r="X80" s="126"/>
      <c r="Y80" s="126"/>
      <c r="Z80" s="126"/>
      <c r="AA80" s="126"/>
      <c r="AB80" s="126"/>
      <c r="AC80" s="126"/>
      <c r="AD80" s="126"/>
      <c r="AE80" s="126"/>
      <c r="AF80" s="126"/>
      <c r="AG80" s="126"/>
      <c r="AH80" s="126"/>
      <c r="AI80" s="126"/>
      <c r="AJ80" s="126"/>
      <c r="AK80" s="126"/>
      <c r="AL80" s="126"/>
      <c r="AM80" s="126"/>
      <c r="AN80" s="126"/>
      <c r="AO80" s="126"/>
    </row>
    <row r="81">
      <c r="A81" s="153"/>
      <c r="B81" s="153"/>
      <c r="C81" s="153"/>
      <c r="D81" s="153"/>
      <c r="E81" s="153"/>
      <c r="F81" s="153"/>
      <c r="G81" s="153"/>
      <c r="H81" s="153"/>
      <c r="I81" s="148"/>
      <c r="J81" s="153"/>
      <c r="K81" s="153"/>
      <c r="L81" s="126"/>
      <c r="M81" s="126"/>
      <c r="N81" s="126"/>
      <c r="O81" s="126"/>
      <c r="P81" s="126"/>
      <c r="Q81" s="126"/>
      <c r="R81" s="126"/>
      <c r="S81" s="126"/>
      <c r="T81" s="126"/>
      <c r="U81" s="126"/>
      <c r="V81" s="126"/>
      <c r="W81" s="126"/>
      <c r="X81" s="126"/>
      <c r="Y81" s="126"/>
      <c r="Z81" s="126"/>
      <c r="AA81" s="126"/>
      <c r="AB81" s="126"/>
      <c r="AC81" s="126"/>
      <c r="AD81" s="126"/>
      <c r="AE81" s="126"/>
      <c r="AF81" s="126"/>
      <c r="AG81" s="126"/>
      <c r="AH81" s="126"/>
      <c r="AI81" s="126"/>
      <c r="AJ81" s="126"/>
      <c r="AK81" s="126"/>
      <c r="AL81" s="126"/>
      <c r="AM81" s="126"/>
      <c r="AN81" s="126"/>
      <c r="AO81" s="126"/>
    </row>
    <row r="82">
      <c r="A82" s="153"/>
      <c r="B82" s="153"/>
      <c r="C82" s="153"/>
      <c r="D82" s="153"/>
      <c r="E82" s="153"/>
      <c r="F82" s="153"/>
      <c r="G82" s="153"/>
      <c r="H82" s="153"/>
      <c r="I82" s="148"/>
      <c r="J82" s="153"/>
      <c r="K82" s="153"/>
      <c r="L82" s="126"/>
      <c r="M82" s="126"/>
      <c r="N82" s="126"/>
      <c r="O82" s="126"/>
      <c r="P82" s="126"/>
      <c r="Q82" s="126"/>
      <c r="R82" s="126"/>
      <c r="S82" s="126"/>
      <c r="T82" s="126"/>
      <c r="U82" s="126"/>
      <c r="V82" s="126"/>
      <c r="W82" s="126"/>
      <c r="X82" s="126"/>
      <c r="Y82" s="126"/>
      <c r="Z82" s="126"/>
      <c r="AA82" s="126"/>
      <c r="AB82" s="126"/>
      <c r="AC82" s="126"/>
      <c r="AD82" s="126"/>
      <c r="AE82" s="126"/>
      <c r="AF82" s="126"/>
      <c r="AG82" s="126"/>
      <c r="AH82" s="126"/>
      <c r="AI82" s="126"/>
      <c r="AJ82" s="126"/>
      <c r="AK82" s="126"/>
      <c r="AL82" s="126"/>
      <c r="AM82" s="126"/>
      <c r="AN82" s="126"/>
      <c r="AO82" s="126"/>
    </row>
    <row r="83">
      <c r="A83" s="153"/>
      <c r="B83" s="153"/>
      <c r="C83" s="153"/>
      <c r="D83" s="153"/>
      <c r="E83" s="153"/>
      <c r="F83" s="153"/>
      <c r="G83" s="153"/>
      <c r="H83" s="153"/>
      <c r="I83" s="148"/>
      <c r="J83" s="153"/>
      <c r="K83" s="153"/>
      <c r="L83" s="126"/>
      <c r="M83" s="126"/>
      <c r="N83" s="126"/>
      <c r="O83" s="126"/>
      <c r="P83" s="126"/>
      <c r="Q83" s="126"/>
      <c r="R83" s="126"/>
      <c r="S83" s="126"/>
      <c r="T83" s="126"/>
      <c r="U83" s="126"/>
      <c r="V83" s="126"/>
      <c r="W83" s="126"/>
      <c r="X83" s="126"/>
      <c r="Y83" s="126"/>
      <c r="Z83" s="126"/>
      <c r="AA83" s="126"/>
      <c r="AB83" s="126"/>
      <c r="AC83" s="126"/>
      <c r="AD83" s="126"/>
      <c r="AE83" s="126"/>
      <c r="AF83" s="126"/>
      <c r="AG83" s="126"/>
      <c r="AH83" s="126"/>
      <c r="AI83" s="126"/>
      <c r="AJ83" s="126"/>
      <c r="AK83" s="126"/>
      <c r="AL83" s="126"/>
      <c r="AM83" s="126"/>
      <c r="AN83" s="126"/>
      <c r="AO83" s="126"/>
    </row>
    <row r="84">
      <c r="A84" s="153"/>
      <c r="B84" s="153"/>
      <c r="C84" s="153"/>
      <c r="D84" s="153"/>
      <c r="E84" s="153"/>
      <c r="F84" s="153"/>
      <c r="G84" s="153"/>
      <c r="H84" s="153"/>
      <c r="I84" s="148"/>
      <c r="J84" s="153"/>
      <c r="K84" s="153"/>
      <c r="L84" s="126"/>
      <c r="M84" s="126"/>
      <c r="N84" s="126"/>
      <c r="O84" s="126"/>
      <c r="P84" s="126"/>
      <c r="Q84" s="126"/>
      <c r="R84" s="126"/>
      <c r="S84" s="126"/>
      <c r="T84" s="126"/>
      <c r="U84" s="126"/>
      <c r="V84" s="126"/>
      <c r="W84" s="126"/>
      <c r="X84" s="126"/>
      <c r="Y84" s="126"/>
      <c r="Z84" s="126"/>
      <c r="AA84" s="126"/>
      <c r="AB84" s="126"/>
      <c r="AC84" s="126"/>
      <c r="AD84" s="126"/>
      <c r="AE84" s="126"/>
      <c r="AF84" s="126"/>
      <c r="AG84" s="126"/>
      <c r="AH84" s="126"/>
      <c r="AI84" s="126"/>
      <c r="AJ84" s="126"/>
      <c r="AK84" s="126"/>
      <c r="AL84" s="126"/>
      <c r="AM84" s="126"/>
      <c r="AN84" s="126"/>
      <c r="AO84" s="126"/>
    </row>
    <row r="85">
      <c r="A85" s="153"/>
      <c r="B85" s="153"/>
      <c r="C85" s="153"/>
      <c r="D85" s="153"/>
      <c r="E85" s="153"/>
      <c r="F85" s="153"/>
      <c r="G85" s="153"/>
      <c r="H85" s="153"/>
      <c r="I85" s="148"/>
      <c r="J85" s="153"/>
      <c r="K85" s="153"/>
      <c r="L85" s="126"/>
      <c r="M85" s="126"/>
      <c r="N85" s="126"/>
      <c r="O85" s="126"/>
      <c r="P85" s="126"/>
      <c r="Q85" s="126"/>
      <c r="R85" s="126"/>
      <c r="S85" s="126"/>
      <c r="T85" s="126"/>
      <c r="U85" s="126"/>
      <c r="V85" s="126"/>
      <c r="W85" s="126"/>
      <c r="X85" s="126"/>
      <c r="Y85" s="126"/>
      <c r="Z85" s="126"/>
      <c r="AA85" s="126"/>
      <c r="AB85" s="126"/>
      <c r="AC85" s="126"/>
      <c r="AD85" s="126"/>
      <c r="AE85" s="126"/>
      <c r="AF85" s="126"/>
      <c r="AG85" s="126"/>
      <c r="AH85" s="126"/>
      <c r="AI85" s="126"/>
      <c r="AJ85" s="126"/>
      <c r="AK85" s="126"/>
      <c r="AL85" s="126"/>
      <c r="AM85" s="126"/>
      <c r="AN85" s="126"/>
      <c r="AO85" s="126"/>
    </row>
    <row r="86">
      <c r="A86" s="153"/>
      <c r="B86" s="153"/>
      <c r="C86" s="153"/>
      <c r="D86" s="153"/>
      <c r="E86" s="153"/>
      <c r="F86" s="153"/>
      <c r="G86" s="153"/>
      <c r="H86" s="153"/>
      <c r="I86" s="148"/>
      <c r="J86" s="153"/>
      <c r="K86" s="153"/>
      <c r="L86" s="126"/>
      <c r="M86" s="126"/>
      <c r="N86" s="126"/>
      <c r="O86" s="126"/>
      <c r="P86" s="126"/>
      <c r="Q86" s="126"/>
      <c r="R86" s="126"/>
      <c r="S86" s="126"/>
      <c r="T86" s="126"/>
      <c r="U86" s="126"/>
      <c r="V86" s="126"/>
      <c r="W86" s="126"/>
      <c r="X86" s="126"/>
      <c r="Y86" s="126"/>
      <c r="Z86" s="126"/>
      <c r="AA86" s="126"/>
      <c r="AB86" s="126"/>
      <c r="AC86" s="126"/>
      <c r="AD86" s="126"/>
      <c r="AE86" s="126"/>
      <c r="AF86" s="126"/>
      <c r="AG86" s="126"/>
      <c r="AH86" s="126"/>
      <c r="AI86" s="126"/>
      <c r="AJ86" s="126"/>
      <c r="AK86" s="126"/>
      <c r="AL86" s="126"/>
      <c r="AM86" s="126"/>
      <c r="AN86" s="126"/>
      <c r="AO86" s="126"/>
    </row>
    <row r="87">
      <c r="A87" s="153"/>
      <c r="B87" s="153"/>
      <c r="C87" s="153"/>
      <c r="D87" s="153"/>
      <c r="E87" s="153"/>
      <c r="F87" s="153"/>
      <c r="G87" s="153"/>
      <c r="H87" s="153"/>
      <c r="I87" s="148"/>
      <c r="J87" s="153"/>
      <c r="K87" s="153"/>
      <c r="L87" s="126"/>
      <c r="M87" s="126"/>
      <c r="N87" s="126"/>
      <c r="O87" s="126"/>
      <c r="P87" s="126"/>
      <c r="Q87" s="126"/>
      <c r="R87" s="126"/>
      <c r="S87" s="126"/>
      <c r="T87" s="126"/>
      <c r="U87" s="126"/>
      <c r="V87" s="126"/>
      <c r="W87" s="126"/>
      <c r="X87" s="126"/>
      <c r="Y87" s="126"/>
      <c r="Z87" s="126"/>
      <c r="AA87" s="126"/>
      <c r="AB87" s="126"/>
      <c r="AC87" s="126"/>
      <c r="AD87" s="126"/>
      <c r="AE87" s="126"/>
      <c r="AF87" s="126"/>
      <c r="AG87" s="126"/>
      <c r="AH87" s="126"/>
      <c r="AI87" s="126"/>
      <c r="AJ87" s="126"/>
      <c r="AK87" s="126"/>
      <c r="AL87" s="126"/>
      <c r="AM87" s="126"/>
      <c r="AN87" s="126"/>
      <c r="AO87" s="126"/>
    </row>
    <row r="88">
      <c r="A88" s="153"/>
      <c r="B88" s="153"/>
      <c r="C88" s="153"/>
      <c r="D88" s="153"/>
      <c r="E88" s="153"/>
      <c r="F88" s="153"/>
      <c r="G88" s="153"/>
      <c r="H88" s="153"/>
      <c r="I88" s="148"/>
      <c r="J88" s="153"/>
      <c r="K88" s="153"/>
      <c r="L88" s="126"/>
      <c r="M88" s="126"/>
      <c r="N88" s="126"/>
      <c r="O88" s="126"/>
      <c r="P88" s="126"/>
      <c r="Q88" s="126"/>
      <c r="R88" s="126"/>
      <c r="S88" s="126"/>
      <c r="T88" s="126"/>
      <c r="U88" s="126"/>
      <c r="V88" s="126"/>
      <c r="W88" s="126"/>
      <c r="X88" s="126"/>
      <c r="Y88" s="126"/>
      <c r="Z88" s="126"/>
      <c r="AA88" s="126"/>
      <c r="AB88" s="126"/>
      <c r="AC88" s="126"/>
      <c r="AD88" s="126"/>
      <c r="AE88" s="126"/>
      <c r="AF88" s="126"/>
      <c r="AG88" s="126"/>
      <c r="AH88" s="126"/>
      <c r="AI88" s="126"/>
      <c r="AJ88" s="126"/>
      <c r="AK88" s="126"/>
      <c r="AL88" s="126"/>
      <c r="AM88" s="126"/>
      <c r="AN88" s="126"/>
      <c r="AO88" s="126"/>
    </row>
    <row r="89">
      <c r="A89" s="153"/>
      <c r="B89" s="153"/>
      <c r="C89" s="153"/>
      <c r="D89" s="153"/>
      <c r="E89" s="153"/>
      <c r="F89" s="153"/>
      <c r="G89" s="153"/>
      <c r="H89" s="153"/>
      <c r="I89" s="148"/>
      <c r="J89" s="153"/>
      <c r="K89" s="153"/>
      <c r="L89" s="126"/>
      <c r="M89" s="126"/>
      <c r="N89" s="126"/>
      <c r="O89" s="126"/>
      <c r="P89" s="126"/>
      <c r="Q89" s="126"/>
      <c r="R89" s="126"/>
      <c r="S89" s="126"/>
      <c r="T89" s="126"/>
      <c r="U89" s="126"/>
      <c r="V89" s="126"/>
      <c r="W89" s="126"/>
      <c r="X89" s="126"/>
      <c r="Y89" s="126"/>
      <c r="Z89" s="126"/>
      <c r="AA89" s="126"/>
      <c r="AB89" s="126"/>
      <c r="AC89" s="126"/>
      <c r="AD89" s="126"/>
      <c r="AE89" s="126"/>
      <c r="AF89" s="126"/>
      <c r="AG89" s="126"/>
      <c r="AH89" s="126"/>
      <c r="AI89" s="126"/>
      <c r="AJ89" s="126"/>
      <c r="AK89" s="126"/>
      <c r="AL89" s="126"/>
      <c r="AM89" s="126"/>
      <c r="AN89" s="126"/>
      <c r="AO89" s="126"/>
    </row>
    <row r="90">
      <c r="A90" s="153"/>
      <c r="B90" s="153"/>
      <c r="C90" s="153"/>
      <c r="D90" s="153"/>
      <c r="E90" s="153"/>
      <c r="F90" s="153"/>
      <c r="G90" s="153"/>
      <c r="H90" s="153"/>
      <c r="I90" s="148"/>
      <c r="J90" s="153"/>
      <c r="K90" s="153"/>
      <c r="L90" s="126"/>
      <c r="M90" s="126"/>
      <c r="N90" s="126"/>
      <c r="O90" s="126"/>
      <c r="P90" s="126"/>
      <c r="Q90" s="126"/>
      <c r="R90" s="126"/>
      <c r="S90" s="126"/>
      <c r="T90" s="126"/>
      <c r="U90" s="126"/>
      <c r="V90" s="126"/>
      <c r="W90" s="126"/>
      <c r="X90" s="126"/>
      <c r="Y90" s="126"/>
      <c r="Z90" s="126"/>
      <c r="AA90" s="126"/>
      <c r="AB90" s="126"/>
      <c r="AC90" s="126"/>
      <c r="AD90" s="126"/>
      <c r="AE90" s="126"/>
      <c r="AF90" s="126"/>
      <c r="AG90" s="126"/>
      <c r="AH90" s="126"/>
      <c r="AI90" s="126"/>
      <c r="AJ90" s="126"/>
      <c r="AK90" s="126"/>
      <c r="AL90" s="126"/>
      <c r="AM90" s="126"/>
      <c r="AN90" s="126"/>
      <c r="AO90" s="126"/>
    </row>
    <row r="91">
      <c r="A91" s="153"/>
      <c r="B91" s="153"/>
      <c r="C91" s="153"/>
      <c r="D91" s="153"/>
      <c r="E91" s="153"/>
      <c r="F91" s="153"/>
      <c r="G91" s="153"/>
      <c r="H91" s="153"/>
      <c r="I91" s="148"/>
      <c r="J91" s="153"/>
      <c r="K91" s="153"/>
      <c r="L91" s="126"/>
      <c r="M91" s="126"/>
      <c r="N91" s="126"/>
      <c r="O91" s="126"/>
      <c r="P91" s="126"/>
      <c r="Q91" s="126"/>
      <c r="R91" s="126"/>
      <c r="S91" s="126"/>
      <c r="T91" s="126"/>
      <c r="U91" s="126"/>
      <c r="V91" s="126"/>
      <c r="W91" s="126"/>
      <c r="X91" s="126"/>
      <c r="Y91" s="126"/>
      <c r="Z91" s="126"/>
      <c r="AA91" s="126"/>
      <c r="AB91" s="126"/>
      <c r="AC91" s="126"/>
      <c r="AD91" s="126"/>
      <c r="AE91" s="126"/>
      <c r="AF91" s="126"/>
      <c r="AG91" s="126"/>
      <c r="AH91" s="126"/>
      <c r="AI91" s="126"/>
      <c r="AJ91" s="126"/>
      <c r="AK91" s="126"/>
      <c r="AL91" s="126"/>
      <c r="AM91" s="126"/>
      <c r="AN91" s="126"/>
      <c r="AO91" s="126"/>
    </row>
    <row r="92">
      <c r="A92" s="153"/>
      <c r="B92" s="153"/>
      <c r="C92" s="153"/>
      <c r="D92" s="153"/>
      <c r="E92" s="153"/>
      <c r="F92" s="153"/>
      <c r="G92" s="153"/>
      <c r="H92" s="153"/>
      <c r="I92" s="148"/>
      <c r="J92" s="153"/>
      <c r="K92" s="153"/>
      <c r="L92" s="126"/>
      <c r="M92" s="126"/>
      <c r="N92" s="126"/>
      <c r="O92" s="126"/>
      <c r="P92" s="126"/>
      <c r="Q92" s="126"/>
      <c r="R92" s="126"/>
      <c r="S92" s="126"/>
      <c r="T92" s="126"/>
      <c r="U92" s="126"/>
      <c r="V92" s="126"/>
      <c r="W92" s="126"/>
      <c r="X92" s="126"/>
      <c r="Y92" s="126"/>
      <c r="Z92" s="126"/>
      <c r="AA92" s="126"/>
      <c r="AB92" s="126"/>
      <c r="AC92" s="126"/>
      <c r="AD92" s="126"/>
      <c r="AE92" s="126"/>
      <c r="AF92" s="126"/>
      <c r="AG92" s="126"/>
      <c r="AH92" s="126"/>
      <c r="AI92" s="126"/>
      <c r="AJ92" s="126"/>
      <c r="AK92" s="126"/>
      <c r="AL92" s="126"/>
      <c r="AM92" s="126"/>
      <c r="AN92" s="126"/>
      <c r="AO92" s="126"/>
    </row>
    <row r="93">
      <c r="A93" s="158"/>
      <c r="B93" s="158"/>
      <c r="C93" s="158"/>
      <c r="D93" s="158"/>
      <c r="E93" s="158"/>
      <c r="F93" s="158"/>
      <c r="G93" s="158"/>
      <c r="H93" s="158"/>
      <c r="I93" s="145"/>
      <c r="J93" s="158"/>
      <c r="K93" s="158"/>
      <c r="L93" s="126"/>
      <c r="M93" s="126"/>
      <c r="N93" s="126"/>
      <c r="O93" s="126"/>
      <c r="P93" s="126"/>
      <c r="Q93" s="126"/>
      <c r="R93" s="126"/>
      <c r="S93" s="126"/>
      <c r="T93" s="126"/>
      <c r="U93" s="126"/>
      <c r="V93" s="126"/>
      <c r="W93" s="126"/>
      <c r="X93" s="126"/>
      <c r="Y93" s="126"/>
      <c r="Z93" s="126"/>
      <c r="AA93" s="126"/>
      <c r="AB93" s="126"/>
      <c r="AC93" s="126"/>
      <c r="AD93" s="126"/>
      <c r="AE93" s="126"/>
      <c r="AF93" s="126"/>
      <c r="AG93" s="126"/>
      <c r="AH93" s="126"/>
      <c r="AI93" s="126"/>
      <c r="AJ93" s="126"/>
      <c r="AK93" s="126"/>
      <c r="AL93" s="126"/>
      <c r="AM93" s="126"/>
      <c r="AN93" s="126"/>
      <c r="AO93" s="126"/>
    </row>
    <row r="94">
      <c r="A94" s="158"/>
      <c r="B94" s="158"/>
      <c r="C94" s="158"/>
      <c r="D94" s="158"/>
      <c r="E94" s="158"/>
      <c r="F94" s="158"/>
      <c r="G94" s="158"/>
      <c r="H94" s="158"/>
      <c r="I94" s="145"/>
      <c r="J94" s="158"/>
      <c r="K94" s="158"/>
      <c r="L94" s="126"/>
      <c r="M94" s="126"/>
      <c r="N94" s="126"/>
      <c r="O94" s="126"/>
      <c r="P94" s="126"/>
      <c r="Q94" s="126"/>
      <c r="R94" s="126"/>
      <c r="S94" s="126"/>
      <c r="T94" s="126"/>
      <c r="U94" s="126"/>
      <c r="V94" s="126"/>
      <c r="W94" s="126"/>
      <c r="X94" s="126"/>
      <c r="Y94" s="126"/>
      <c r="Z94" s="126"/>
      <c r="AA94" s="126"/>
      <c r="AB94" s="126"/>
      <c r="AC94" s="126"/>
      <c r="AD94" s="126"/>
      <c r="AE94" s="126"/>
      <c r="AF94" s="126"/>
      <c r="AG94" s="126"/>
      <c r="AH94" s="126"/>
      <c r="AI94" s="126"/>
      <c r="AJ94" s="126"/>
      <c r="AK94" s="126"/>
      <c r="AL94" s="126"/>
      <c r="AM94" s="126"/>
      <c r="AN94" s="126"/>
      <c r="AO94" s="126"/>
    </row>
    <row r="95">
      <c r="A95" s="158"/>
      <c r="B95" s="158"/>
      <c r="C95" s="158"/>
      <c r="D95" s="158"/>
      <c r="E95" s="158"/>
      <c r="F95" s="158"/>
      <c r="G95" s="158"/>
      <c r="H95" s="158"/>
      <c r="I95" s="145"/>
      <c r="J95" s="158"/>
      <c r="K95" s="158"/>
      <c r="L95" s="126"/>
      <c r="M95" s="126"/>
      <c r="N95" s="126"/>
      <c r="O95" s="126"/>
      <c r="P95" s="126"/>
      <c r="Q95" s="126"/>
      <c r="R95" s="126"/>
      <c r="S95" s="126"/>
      <c r="T95" s="126"/>
      <c r="U95" s="126"/>
      <c r="V95" s="126"/>
      <c r="W95" s="126"/>
      <c r="X95" s="126"/>
      <c r="Y95" s="126"/>
      <c r="Z95" s="126"/>
      <c r="AA95" s="126"/>
      <c r="AB95" s="126"/>
      <c r="AC95" s="126"/>
      <c r="AD95" s="126"/>
      <c r="AE95" s="126"/>
      <c r="AF95" s="126"/>
      <c r="AG95" s="126"/>
      <c r="AH95" s="126"/>
      <c r="AI95" s="126"/>
      <c r="AJ95" s="126"/>
      <c r="AK95" s="126"/>
      <c r="AL95" s="126"/>
      <c r="AM95" s="126"/>
      <c r="AN95" s="126"/>
      <c r="AO95" s="126"/>
    </row>
    <row r="96">
      <c r="A96" s="158"/>
      <c r="B96" s="158"/>
      <c r="C96" s="158"/>
      <c r="D96" s="158"/>
      <c r="E96" s="158"/>
      <c r="F96" s="158"/>
      <c r="G96" s="158"/>
      <c r="H96" s="158"/>
      <c r="I96" s="145"/>
      <c r="J96" s="158"/>
      <c r="K96" s="158"/>
      <c r="L96" s="126"/>
      <c r="M96" s="126"/>
      <c r="N96" s="126"/>
      <c r="O96" s="126"/>
      <c r="P96" s="126"/>
      <c r="Q96" s="126"/>
      <c r="R96" s="126"/>
      <c r="S96" s="126"/>
      <c r="T96" s="126"/>
      <c r="U96" s="126"/>
      <c r="V96" s="126"/>
      <c r="W96" s="126"/>
      <c r="X96" s="126"/>
      <c r="Y96" s="126"/>
      <c r="Z96" s="126"/>
      <c r="AA96" s="126"/>
      <c r="AB96" s="126"/>
      <c r="AC96" s="126"/>
      <c r="AD96" s="126"/>
      <c r="AE96" s="126"/>
      <c r="AF96" s="126"/>
      <c r="AG96" s="126"/>
      <c r="AH96" s="126"/>
      <c r="AI96" s="126"/>
      <c r="AJ96" s="126"/>
      <c r="AK96" s="126"/>
      <c r="AL96" s="126"/>
      <c r="AM96" s="126"/>
      <c r="AN96" s="126"/>
      <c r="AO96" s="126"/>
    </row>
    <row r="97">
      <c r="A97" s="158"/>
      <c r="B97" s="158"/>
      <c r="C97" s="158"/>
      <c r="D97" s="158"/>
      <c r="E97" s="158"/>
      <c r="F97" s="158"/>
      <c r="G97" s="158"/>
      <c r="H97" s="158"/>
      <c r="I97" s="145"/>
      <c r="J97" s="158"/>
      <c r="K97" s="158"/>
      <c r="L97" s="126"/>
      <c r="M97" s="126"/>
      <c r="N97" s="126"/>
      <c r="O97" s="126"/>
      <c r="P97" s="126"/>
      <c r="Q97" s="126"/>
      <c r="R97" s="126"/>
      <c r="S97" s="126"/>
      <c r="T97" s="126"/>
      <c r="U97" s="126"/>
      <c r="V97" s="126"/>
      <c r="W97" s="126"/>
      <c r="X97" s="126"/>
      <c r="Y97" s="126"/>
      <c r="Z97" s="126"/>
      <c r="AA97" s="126"/>
      <c r="AB97" s="126"/>
      <c r="AC97" s="126"/>
      <c r="AD97" s="126"/>
      <c r="AE97" s="126"/>
      <c r="AF97" s="126"/>
      <c r="AG97" s="126"/>
      <c r="AH97" s="126"/>
      <c r="AI97" s="126"/>
      <c r="AJ97" s="126"/>
      <c r="AK97" s="126"/>
      <c r="AL97" s="126"/>
      <c r="AM97" s="126"/>
      <c r="AN97" s="126"/>
      <c r="AO97" s="126"/>
    </row>
    <row r="98">
      <c r="A98" s="158"/>
      <c r="B98" s="158"/>
      <c r="C98" s="158"/>
      <c r="D98" s="158"/>
      <c r="E98" s="158"/>
      <c r="F98" s="158"/>
      <c r="G98" s="158"/>
      <c r="H98" s="158"/>
      <c r="I98" s="145"/>
      <c r="J98" s="158"/>
      <c r="K98" s="158"/>
      <c r="L98" s="126"/>
      <c r="M98" s="126"/>
      <c r="N98" s="126"/>
      <c r="O98" s="126"/>
      <c r="P98" s="126"/>
      <c r="Q98" s="126"/>
      <c r="R98" s="126"/>
      <c r="S98" s="126"/>
      <c r="T98" s="126"/>
      <c r="U98" s="126"/>
      <c r="V98" s="126"/>
      <c r="W98" s="126"/>
      <c r="X98" s="126"/>
      <c r="Y98" s="126"/>
      <c r="Z98" s="126"/>
      <c r="AA98" s="126"/>
      <c r="AB98" s="126"/>
      <c r="AC98" s="126"/>
      <c r="AD98" s="126"/>
      <c r="AE98" s="126"/>
      <c r="AF98" s="126"/>
      <c r="AG98" s="126"/>
      <c r="AH98" s="126"/>
      <c r="AI98" s="126"/>
      <c r="AJ98" s="126"/>
      <c r="AK98" s="126"/>
      <c r="AL98" s="126"/>
      <c r="AM98" s="126"/>
      <c r="AN98" s="126"/>
      <c r="AO98" s="126"/>
    </row>
    <row r="99">
      <c r="A99" s="158"/>
      <c r="B99" s="158"/>
      <c r="C99" s="158"/>
      <c r="D99" s="158"/>
      <c r="E99" s="158"/>
      <c r="F99" s="158"/>
      <c r="G99" s="158"/>
      <c r="H99" s="158"/>
      <c r="I99" s="145"/>
      <c r="J99" s="158"/>
      <c r="K99" s="158"/>
      <c r="L99" s="126"/>
      <c r="M99" s="126"/>
      <c r="N99" s="126"/>
      <c r="O99" s="126"/>
      <c r="P99" s="126"/>
      <c r="Q99" s="126"/>
      <c r="R99" s="126"/>
      <c r="S99" s="126"/>
      <c r="T99" s="126"/>
      <c r="U99" s="126"/>
      <c r="V99" s="126"/>
      <c r="W99" s="126"/>
      <c r="X99" s="126"/>
      <c r="Y99" s="126"/>
      <c r="Z99" s="126"/>
      <c r="AA99" s="126"/>
      <c r="AB99" s="126"/>
      <c r="AC99" s="126"/>
      <c r="AD99" s="126"/>
      <c r="AE99" s="126"/>
      <c r="AF99" s="126"/>
      <c r="AG99" s="126"/>
      <c r="AH99" s="126"/>
      <c r="AI99" s="126"/>
      <c r="AJ99" s="126"/>
      <c r="AK99" s="126"/>
      <c r="AL99" s="126"/>
      <c r="AM99" s="126"/>
      <c r="AN99" s="126"/>
      <c r="AO99" s="126"/>
    </row>
    <row r="100">
      <c r="A100" s="158"/>
      <c r="B100" s="158"/>
      <c r="C100" s="158"/>
      <c r="D100" s="158"/>
      <c r="E100" s="158"/>
      <c r="F100" s="158"/>
      <c r="G100" s="158"/>
      <c r="H100" s="158"/>
      <c r="I100" s="145"/>
      <c r="J100" s="158"/>
      <c r="K100" s="158"/>
      <c r="L100" s="126"/>
      <c r="M100" s="126"/>
      <c r="N100" s="126"/>
      <c r="O100" s="126"/>
      <c r="P100" s="126"/>
      <c r="Q100" s="126"/>
      <c r="R100" s="126"/>
      <c r="S100" s="126"/>
      <c r="T100" s="126"/>
      <c r="U100" s="126"/>
      <c r="V100" s="126"/>
      <c r="W100" s="126"/>
      <c r="X100" s="126"/>
      <c r="Y100" s="126"/>
      <c r="Z100" s="126"/>
      <c r="AA100" s="126"/>
      <c r="AB100" s="126"/>
      <c r="AC100" s="126"/>
      <c r="AD100" s="126"/>
      <c r="AE100" s="126"/>
      <c r="AF100" s="126"/>
      <c r="AG100" s="126"/>
      <c r="AH100" s="126"/>
      <c r="AI100" s="126"/>
      <c r="AJ100" s="126"/>
      <c r="AK100" s="126"/>
      <c r="AL100" s="126"/>
      <c r="AM100" s="126"/>
      <c r="AN100" s="126"/>
      <c r="AO100" s="126"/>
    </row>
    <row r="101">
      <c r="A101" s="158"/>
      <c r="B101" s="158"/>
      <c r="C101" s="158"/>
      <c r="D101" s="158"/>
      <c r="E101" s="158"/>
      <c r="F101" s="158"/>
      <c r="G101" s="158"/>
      <c r="H101" s="158"/>
      <c r="I101" s="145"/>
      <c r="J101" s="158"/>
      <c r="K101" s="158"/>
      <c r="L101" s="126"/>
      <c r="M101" s="126"/>
      <c r="N101" s="126"/>
      <c r="O101" s="126"/>
      <c r="P101" s="126"/>
      <c r="Q101" s="126"/>
      <c r="R101" s="126"/>
      <c r="S101" s="126"/>
      <c r="T101" s="126"/>
      <c r="U101" s="126"/>
      <c r="V101" s="126"/>
      <c r="W101" s="126"/>
      <c r="X101" s="126"/>
      <c r="Y101" s="126"/>
      <c r="Z101" s="126"/>
      <c r="AA101" s="126"/>
      <c r="AB101" s="126"/>
      <c r="AC101" s="126"/>
      <c r="AD101" s="126"/>
      <c r="AE101" s="126"/>
      <c r="AF101" s="126"/>
      <c r="AG101" s="126"/>
      <c r="AH101" s="126"/>
      <c r="AI101" s="126"/>
      <c r="AJ101" s="126"/>
      <c r="AK101" s="126"/>
      <c r="AL101" s="126"/>
      <c r="AM101" s="126"/>
      <c r="AN101" s="126"/>
      <c r="AO101" s="126"/>
    </row>
    <row r="102">
      <c r="A102" s="158"/>
      <c r="B102" s="158"/>
      <c r="C102" s="158"/>
      <c r="D102" s="158"/>
      <c r="E102" s="158"/>
      <c r="F102" s="158"/>
      <c r="G102" s="158"/>
      <c r="H102" s="158"/>
      <c r="I102" s="145"/>
      <c r="J102" s="158"/>
      <c r="K102" s="158"/>
      <c r="L102" s="126"/>
      <c r="M102" s="126"/>
      <c r="N102" s="126"/>
      <c r="O102" s="126"/>
      <c r="P102" s="126"/>
      <c r="Q102" s="126"/>
      <c r="R102" s="126"/>
      <c r="S102" s="126"/>
      <c r="T102" s="126"/>
      <c r="U102" s="126"/>
      <c r="V102" s="126"/>
      <c r="W102" s="126"/>
      <c r="X102" s="126"/>
      <c r="Y102" s="126"/>
      <c r="Z102" s="126"/>
      <c r="AA102" s="126"/>
      <c r="AB102" s="126"/>
      <c r="AC102" s="126"/>
      <c r="AD102" s="126"/>
      <c r="AE102" s="126"/>
      <c r="AF102" s="126"/>
      <c r="AG102" s="126"/>
      <c r="AH102" s="126"/>
      <c r="AI102" s="126"/>
      <c r="AJ102" s="126"/>
      <c r="AK102" s="126"/>
      <c r="AL102" s="126"/>
      <c r="AM102" s="126"/>
      <c r="AN102" s="126"/>
      <c r="AO102" s="126"/>
    </row>
    <row r="103">
      <c r="A103" s="158"/>
      <c r="B103" s="158"/>
      <c r="C103" s="158"/>
      <c r="D103" s="158"/>
      <c r="E103" s="158"/>
      <c r="F103" s="158"/>
      <c r="G103" s="158"/>
      <c r="H103" s="158"/>
      <c r="I103" s="145"/>
      <c r="J103" s="158"/>
      <c r="K103" s="158"/>
      <c r="L103" s="126"/>
      <c r="M103" s="126"/>
      <c r="N103" s="126"/>
      <c r="O103" s="126"/>
      <c r="P103" s="126"/>
      <c r="Q103" s="126"/>
      <c r="R103" s="126"/>
      <c r="S103" s="126"/>
      <c r="T103" s="126"/>
      <c r="U103" s="126"/>
      <c r="V103" s="126"/>
      <c r="W103" s="126"/>
      <c r="X103" s="126"/>
      <c r="Y103" s="126"/>
      <c r="Z103" s="126"/>
      <c r="AA103" s="126"/>
      <c r="AB103" s="126"/>
      <c r="AC103" s="126"/>
      <c r="AD103" s="126"/>
      <c r="AE103" s="126"/>
      <c r="AF103" s="126"/>
      <c r="AG103" s="126"/>
      <c r="AH103" s="126"/>
      <c r="AI103" s="126"/>
      <c r="AJ103" s="126"/>
      <c r="AK103" s="126"/>
      <c r="AL103" s="126"/>
      <c r="AM103" s="126"/>
      <c r="AN103" s="126"/>
      <c r="AO103" s="126"/>
    </row>
    <row r="104">
      <c r="A104" s="158"/>
      <c r="B104" s="158"/>
      <c r="C104" s="158"/>
      <c r="D104" s="158"/>
      <c r="E104" s="158"/>
      <c r="F104" s="158"/>
      <c r="G104" s="158"/>
      <c r="H104" s="158"/>
      <c r="I104" s="145"/>
      <c r="J104" s="158"/>
      <c r="K104" s="158"/>
      <c r="L104" s="126"/>
      <c r="M104" s="126"/>
      <c r="N104" s="126"/>
      <c r="O104" s="126"/>
      <c r="P104" s="126"/>
      <c r="Q104" s="126"/>
      <c r="R104" s="126"/>
      <c r="S104" s="126"/>
      <c r="T104" s="126"/>
      <c r="U104" s="126"/>
      <c r="V104" s="126"/>
      <c r="W104" s="126"/>
      <c r="X104" s="126"/>
      <c r="Y104" s="126"/>
      <c r="Z104" s="126"/>
      <c r="AA104" s="126"/>
      <c r="AB104" s="126"/>
      <c r="AC104" s="126"/>
      <c r="AD104" s="126"/>
      <c r="AE104" s="126"/>
      <c r="AF104" s="126"/>
      <c r="AG104" s="126"/>
      <c r="AH104" s="126"/>
      <c r="AI104" s="126"/>
      <c r="AJ104" s="126"/>
      <c r="AK104" s="126"/>
      <c r="AL104" s="126"/>
      <c r="AM104" s="126"/>
      <c r="AN104" s="126"/>
      <c r="AO104" s="126"/>
    </row>
    <row r="105">
      <c r="A105" s="158"/>
      <c r="B105" s="158"/>
      <c r="C105" s="158"/>
      <c r="D105" s="158"/>
      <c r="E105" s="158"/>
      <c r="F105" s="158"/>
      <c r="G105" s="158"/>
      <c r="H105" s="158"/>
      <c r="I105" s="145"/>
      <c r="J105" s="158"/>
      <c r="K105" s="158"/>
      <c r="L105" s="126"/>
      <c r="M105" s="126"/>
      <c r="N105" s="126"/>
      <c r="O105" s="126"/>
      <c r="P105" s="126"/>
      <c r="Q105" s="126"/>
      <c r="R105" s="126"/>
      <c r="S105" s="126"/>
      <c r="T105" s="126"/>
      <c r="U105" s="126"/>
      <c r="V105" s="126"/>
      <c r="W105" s="126"/>
      <c r="X105" s="126"/>
      <c r="Y105" s="126"/>
      <c r="Z105" s="126"/>
      <c r="AA105" s="126"/>
      <c r="AB105" s="126"/>
      <c r="AC105" s="126"/>
      <c r="AD105" s="126"/>
      <c r="AE105" s="126"/>
      <c r="AF105" s="126"/>
      <c r="AG105" s="126"/>
      <c r="AH105" s="126"/>
      <c r="AI105" s="126"/>
      <c r="AJ105" s="126"/>
      <c r="AK105" s="126"/>
      <c r="AL105" s="126"/>
      <c r="AM105" s="126"/>
      <c r="AN105" s="126"/>
      <c r="AO105" s="126"/>
    </row>
    <row r="106">
      <c r="A106" s="158"/>
      <c r="B106" s="158"/>
      <c r="C106" s="158"/>
      <c r="D106" s="158"/>
      <c r="E106" s="158"/>
      <c r="F106" s="158"/>
      <c r="G106" s="158"/>
      <c r="H106" s="158"/>
      <c r="I106" s="145"/>
      <c r="J106" s="158"/>
      <c r="K106" s="158"/>
      <c r="L106" s="126"/>
      <c r="M106" s="126"/>
      <c r="N106" s="126"/>
      <c r="O106" s="126"/>
      <c r="P106" s="126"/>
      <c r="Q106" s="126"/>
      <c r="R106" s="126"/>
      <c r="S106" s="126"/>
      <c r="T106" s="126"/>
      <c r="U106" s="126"/>
      <c r="V106" s="126"/>
      <c r="W106" s="126"/>
      <c r="X106" s="126"/>
      <c r="Y106" s="126"/>
      <c r="Z106" s="126"/>
      <c r="AA106" s="126"/>
      <c r="AB106" s="126"/>
      <c r="AC106" s="126"/>
      <c r="AD106" s="126"/>
      <c r="AE106" s="126"/>
      <c r="AF106" s="126"/>
      <c r="AG106" s="126"/>
      <c r="AH106" s="126"/>
      <c r="AI106" s="126"/>
      <c r="AJ106" s="126"/>
      <c r="AK106" s="126"/>
      <c r="AL106" s="126"/>
      <c r="AM106" s="126"/>
      <c r="AN106" s="126"/>
      <c r="AO106" s="126"/>
    </row>
    <row r="107">
      <c r="A107" s="158"/>
      <c r="B107" s="158"/>
      <c r="C107" s="158"/>
      <c r="D107" s="158"/>
      <c r="E107" s="158"/>
      <c r="F107" s="158"/>
      <c r="G107" s="158"/>
      <c r="H107" s="158"/>
      <c r="I107" s="145"/>
      <c r="J107" s="158"/>
      <c r="K107" s="158"/>
      <c r="L107" s="126"/>
      <c r="M107" s="126"/>
      <c r="N107" s="126"/>
      <c r="O107" s="126"/>
      <c r="P107" s="126"/>
      <c r="Q107" s="126"/>
      <c r="R107" s="126"/>
      <c r="S107" s="126"/>
      <c r="T107" s="126"/>
      <c r="U107" s="126"/>
      <c r="V107" s="126"/>
      <c r="W107" s="126"/>
      <c r="X107" s="126"/>
      <c r="Y107" s="126"/>
      <c r="Z107" s="126"/>
      <c r="AA107" s="126"/>
      <c r="AB107" s="126"/>
      <c r="AC107" s="126"/>
      <c r="AD107" s="126"/>
      <c r="AE107" s="126"/>
      <c r="AF107" s="126"/>
      <c r="AG107" s="126"/>
      <c r="AH107" s="126"/>
      <c r="AI107" s="126"/>
      <c r="AJ107" s="126"/>
      <c r="AK107" s="126"/>
      <c r="AL107" s="126"/>
      <c r="AM107" s="126"/>
      <c r="AN107" s="126"/>
      <c r="AO107" s="126"/>
    </row>
    <row r="108">
      <c r="A108" s="158"/>
      <c r="B108" s="158"/>
      <c r="C108" s="158"/>
      <c r="D108" s="158"/>
      <c r="E108" s="158"/>
      <c r="F108" s="158"/>
      <c r="G108" s="158"/>
      <c r="H108" s="158"/>
      <c r="I108" s="145"/>
      <c r="J108" s="158"/>
      <c r="K108" s="158"/>
      <c r="L108" s="126"/>
      <c r="M108" s="126"/>
      <c r="N108" s="126"/>
      <c r="O108" s="126"/>
      <c r="P108" s="126"/>
      <c r="Q108" s="126"/>
      <c r="R108" s="126"/>
      <c r="S108" s="126"/>
      <c r="T108" s="126"/>
      <c r="U108" s="126"/>
      <c r="V108" s="126"/>
      <c r="W108" s="126"/>
      <c r="X108" s="126"/>
      <c r="Y108" s="126"/>
      <c r="Z108" s="126"/>
      <c r="AA108" s="126"/>
      <c r="AB108" s="126"/>
      <c r="AC108" s="126"/>
      <c r="AD108" s="126"/>
      <c r="AE108" s="126"/>
      <c r="AF108" s="126"/>
      <c r="AG108" s="126"/>
      <c r="AH108" s="126"/>
      <c r="AI108" s="126"/>
      <c r="AJ108" s="126"/>
      <c r="AK108" s="126"/>
      <c r="AL108" s="126"/>
      <c r="AM108" s="126"/>
      <c r="AN108" s="126"/>
      <c r="AO108" s="126"/>
    </row>
    <row r="109">
      <c r="A109" s="158"/>
      <c r="B109" s="158"/>
      <c r="C109" s="158"/>
      <c r="D109" s="158"/>
      <c r="E109" s="158"/>
      <c r="F109" s="158"/>
      <c r="G109" s="158"/>
      <c r="H109" s="158"/>
      <c r="I109" s="145"/>
      <c r="J109" s="158"/>
      <c r="K109" s="158"/>
      <c r="L109" s="126"/>
      <c r="M109" s="126"/>
      <c r="N109" s="126"/>
      <c r="O109" s="126"/>
      <c r="P109" s="126"/>
      <c r="Q109" s="126"/>
      <c r="R109" s="126"/>
      <c r="S109" s="126"/>
      <c r="T109" s="126"/>
      <c r="U109" s="126"/>
      <c r="V109" s="126"/>
      <c r="W109" s="126"/>
      <c r="X109" s="126"/>
      <c r="Y109" s="126"/>
      <c r="Z109" s="126"/>
      <c r="AA109" s="126"/>
      <c r="AB109" s="126"/>
      <c r="AC109" s="126"/>
      <c r="AD109" s="126"/>
      <c r="AE109" s="126"/>
      <c r="AF109" s="126"/>
      <c r="AG109" s="126"/>
      <c r="AH109" s="126"/>
      <c r="AI109" s="126"/>
      <c r="AJ109" s="126"/>
      <c r="AK109" s="126"/>
      <c r="AL109" s="126"/>
      <c r="AM109" s="126"/>
      <c r="AN109" s="126"/>
      <c r="AO109" s="126"/>
    </row>
    <row r="110">
      <c r="A110" s="158"/>
      <c r="B110" s="158"/>
      <c r="C110" s="158"/>
      <c r="D110" s="158"/>
      <c r="E110" s="158"/>
      <c r="F110" s="158"/>
      <c r="G110" s="158"/>
      <c r="H110" s="158"/>
      <c r="I110" s="145"/>
      <c r="J110" s="158"/>
      <c r="K110" s="158"/>
      <c r="L110" s="126"/>
      <c r="M110" s="126"/>
      <c r="N110" s="126"/>
      <c r="O110" s="126"/>
      <c r="P110" s="126"/>
      <c r="Q110" s="126"/>
      <c r="R110" s="126"/>
      <c r="S110" s="126"/>
      <c r="T110" s="126"/>
      <c r="U110" s="126"/>
      <c r="V110" s="126"/>
      <c r="W110" s="126"/>
      <c r="X110" s="126"/>
      <c r="Y110" s="126"/>
      <c r="Z110" s="126"/>
      <c r="AA110" s="126"/>
      <c r="AB110" s="126"/>
      <c r="AC110" s="126"/>
      <c r="AD110" s="126"/>
      <c r="AE110" s="126"/>
      <c r="AF110" s="126"/>
      <c r="AG110" s="126"/>
      <c r="AH110" s="126"/>
      <c r="AI110" s="126"/>
      <c r="AJ110" s="126"/>
      <c r="AK110" s="126"/>
      <c r="AL110" s="126"/>
      <c r="AM110" s="126"/>
      <c r="AN110" s="126"/>
      <c r="AO110" s="126"/>
    </row>
    <row r="111">
      <c r="A111" s="158"/>
      <c r="B111" s="158"/>
      <c r="C111" s="158"/>
      <c r="D111" s="158"/>
      <c r="E111" s="158"/>
      <c r="F111" s="158"/>
      <c r="G111" s="158"/>
      <c r="H111" s="158"/>
      <c r="I111" s="145"/>
      <c r="J111" s="158"/>
      <c r="K111" s="158"/>
      <c r="L111" s="126"/>
      <c r="M111" s="126"/>
      <c r="N111" s="126"/>
      <c r="O111" s="126"/>
      <c r="P111" s="126"/>
      <c r="Q111" s="126"/>
      <c r="R111" s="126"/>
      <c r="S111" s="126"/>
      <c r="T111" s="126"/>
      <c r="U111" s="126"/>
      <c r="V111" s="126"/>
      <c r="W111" s="126"/>
      <c r="X111" s="126"/>
      <c r="Y111" s="126"/>
      <c r="Z111" s="126"/>
      <c r="AA111" s="126"/>
      <c r="AB111" s="126"/>
      <c r="AC111" s="126"/>
      <c r="AD111" s="126"/>
      <c r="AE111" s="126"/>
      <c r="AF111" s="126"/>
      <c r="AG111" s="126"/>
      <c r="AH111" s="126"/>
      <c r="AI111" s="126"/>
      <c r="AJ111" s="126"/>
      <c r="AK111" s="126"/>
      <c r="AL111" s="126"/>
      <c r="AM111" s="126"/>
      <c r="AN111" s="126"/>
      <c r="AO111" s="126"/>
    </row>
    <row r="112">
      <c r="A112" s="158"/>
      <c r="B112" s="158"/>
      <c r="C112" s="158"/>
      <c r="D112" s="158"/>
      <c r="E112" s="158"/>
      <c r="F112" s="158"/>
      <c r="G112" s="158"/>
      <c r="H112" s="158"/>
      <c r="I112" s="145"/>
      <c r="J112" s="158"/>
      <c r="K112" s="158"/>
      <c r="L112" s="126"/>
      <c r="M112" s="126"/>
      <c r="N112" s="126"/>
      <c r="O112" s="126"/>
      <c r="P112" s="126"/>
      <c r="Q112" s="126"/>
      <c r="R112" s="126"/>
      <c r="S112" s="126"/>
      <c r="T112" s="126"/>
      <c r="U112" s="126"/>
      <c r="V112" s="126"/>
      <c r="W112" s="126"/>
      <c r="X112" s="126"/>
      <c r="Y112" s="126"/>
      <c r="Z112" s="126"/>
      <c r="AA112" s="126"/>
      <c r="AB112" s="126"/>
      <c r="AC112" s="126"/>
      <c r="AD112" s="126"/>
      <c r="AE112" s="126"/>
      <c r="AF112" s="126"/>
      <c r="AG112" s="126"/>
      <c r="AH112" s="126"/>
      <c r="AI112" s="126"/>
      <c r="AJ112" s="126"/>
      <c r="AK112" s="126"/>
      <c r="AL112" s="126"/>
      <c r="AM112" s="126"/>
      <c r="AN112" s="126"/>
      <c r="AO112" s="126"/>
    </row>
    <row r="113">
      <c r="A113" s="158"/>
      <c r="B113" s="158"/>
      <c r="C113" s="158"/>
      <c r="D113" s="158"/>
      <c r="E113" s="158"/>
      <c r="F113" s="158"/>
      <c r="G113" s="158"/>
      <c r="H113" s="158"/>
      <c r="I113" s="145"/>
      <c r="J113" s="158"/>
      <c r="K113" s="158"/>
      <c r="L113" s="126"/>
      <c r="M113" s="126"/>
      <c r="N113" s="126"/>
      <c r="O113" s="126"/>
      <c r="P113" s="126"/>
      <c r="Q113" s="126"/>
      <c r="R113" s="126"/>
      <c r="S113" s="126"/>
      <c r="T113" s="126"/>
      <c r="U113" s="126"/>
      <c r="V113" s="126"/>
      <c r="W113" s="126"/>
      <c r="X113" s="126"/>
      <c r="Y113" s="126"/>
      <c r="Z113" s="126"/>
      <c r="AA113" s="126"/>
      <c r="AB113" s="126"/>
      <c r="AC113" s="126"/>
      <c r="AD113" s="126"/>
      <c r="AE113" s="126"/>
      <c r="AF113" s="126"/>
      <c r="AG113" s="126"/>
      <c r="AH113" s="126"/>
      <c r="AI113" s="126"/>
      <c r="AJ113" s="126"/>
      <c r="AK113" s="126"/>
      <c r="AL113" s="126"/>
      <c r="AM113" s="126"/>
      <c r="AN113" s="126"/>
      <c r="AO113" s="126"/>
    </row>
    <row r="114">
      <c r="A114" s="158"/>
      <c r="B114" s="158"/>
      <c r="C114" s="158"/>
      <c r="D114" s="158"/>
      <c r="E114" s="158"/>
      <c r="F114" s="158"/>
      <c r="G114" s="158"/>
      <c r="H114" s="158"/>
      <c r="I114" s="145"/>
      <c r="J114" s="158"/>
      <c r="K114" s="158"/>
      <c r="L114" s="126"/>
      <c r="M114" s="126"/>
      <c r="N114" s="126"/>
      <c r="O114" s="126"/>
      <c r="P114" s="126"/>
      <c r="Q114" s="126"/>
      <c r="R114" s="126"/>
      <c r="S114" s="126"/>
      <c r="T114" s="126"/>
      <c r="U114" s="126"/>
      <c r="V114" s="126"/>
      <c r="W114" s="126"/>
      <c r="X114" s="126"/>
      <c r="Y114" s="126"/>
      <c r="Z114" s="126"/>
      <c r="AA114" s="126"/>
      <c r="AB114" s="126"/>
      <c r="AC114" s="126"/>
      <c r="AD114" s="126"/>
      <c r="AE114" s="126"/>
      <c r="AF114" s="126"/>
      <c r="AG114" s="126"/>
      <c r="AH114" s="126"/>
      <c r="AI114" s="126"/>
      <c r="AJ114" s="126"/>
      <c r="AK114" s="126"/>
      <c r="AL114" s="126"/>
      <c r="AM114" s="126"/>
      <c r="AN114" s="126"/>
      <c r="AO114" s="126"/>
    </row>
    <row r="115">
      <c r="A115" s="158"/>
      <c r="B115" s="158"/>
      <c r="C115" s="158"/>
      <c r="D115" s="158"/>
      <c r="E115" s="158"/>
      <c r="F115" s="158"/>
      <c r="G115" s="158"/>
      <c r="H115" s="158"/>
      <c r="I115" s="145"/>
      <c r="J115" s="158"/>
      <c r="K115" s="158"/>
      <c r="L115" s="126"/>
      <c r="M115" s="126"/>
      <c r="N115" s="126"/>
      <c r="O115" s="126"/>
      <c r="P115" s="126"/>
      <c r="Q115" s="126"/>
      <c r="R115" s="126"/>
      <c r="S115" s="126"/>
      <c r="T115" s="126"/>
      <c r="U115" s="126"/>
      <c r="V115" s="126"/>
      <c r="W115" s="126"/>
      <c r="X115" s="126"/>
      <c r="Y115" s="126"/>
      <c r="Z115" s="126"/>
      <c r="AA115" s="126"/>
      <c r="AB115" s="126"/>
      <c r="AC115" s="126"/>
      <c r="AD115" s="126"/>
      <c r="AE115" s="126"/>
      <c r="AF115" s="126"/>
      <c r="AG115" s="126"/>
      <c r="AH115" s="126"/>
      <c r="AI115" s="126"/>
      <c r="AJ115" s="126"/>
      <c r="AK115" s="126"/>
      <c r="AL115" s="126"/>
      <c r="AM115" s="126"/>
      <c r="AN115" s="126"/>
      <c r="AO115" s="126"/>
    </row>
    <row r="116">
      <c r="A116" s="158"/>
      <c r="B116" s="158"/>
      <c r="C116" s="158"/>
      <c r="D116" s="158"/>
      <c r="E116" s="158"/>
      <c r="F116" s="158"/>
      <c r="G116" s="158"/>
      <c r="H116" s="158"/>
      <c r="I116" s="145"/>
      <c r="J116" s="158"/>
      <c r="K116" s="158"/>
      <c r="L116" s="126"/>
      <c r="M116" s="126"/>
      <c r="N116" s="126"/>
      <c r="O116" s="126"/>
      <c r="P116" s="126"/>
      <c r="Q116" s="126"/>
      <c r="R116" s="126"/>
      <c r="S116" s="126"/>
      <c r="T116" s="126"/>
      <c r="U116" s="126"/>
      <c r="V116" s="126"/>
      <c r="W116" s="126"/>
      <c r="X116" s="126"/>
      <c r="Y116" s="126"/>
      <c r="Z116" s="126"/>
      <c r="AA116" s="126"/>
      <c r="AB116" s="126"/>
      <c r="AC116" s="126"/>
      <c r="AD116" s="126"/>
      <c r="AE116" s="126"/>
      <c r="AF116" s="126"/>
      <c r="AG116" s="126"/>
      <c r="AH116" s="126"/>
      <c r="AI116" s="126"/>
      <c r="AJ116" s="126"/>
      <c r="AK116" s="126"/>
      <c r="AL116" s="126"/>
      <c r="AM116" s="126"/>
      <c r="AN116" s="126"/>
      <c r="AO116" s="126"/>
    </row>
    <row r="117">
      <c r="A117" s="158"/>
      <c r="B117" s="158"/>
      <c r="C117" s="158"/>
      <c r="D117" s="158"/>
      <c r="E117" s="158"/>
      <c r="F117" s="158"/>
      <c r="G117" s="158"/>
      <c r="H117" s="158"/>
      <c r="I117" s="145"/>
      <c r="J117" s="158"/>
      <c r="K117" s="158"/>
      <c r="L117" s="126"/>
      <c r="M117" s="126"/>
      <c r="N117" s="126"/>
      <c r="O117" s="126"/>
      <c r="P117" s="126"/>
      <c r="Q117" s="126"/>
      <c r="R117" s="126"/>
      <c r="S117" s="126"/>
      <c r="T117" s="126"/>
      <c r="U117" s="126"/>
      <c r="V117" s="126"/>
      <c r="W117" s="126"/>
      <c r="X117" s="126"/>
      <c r="Y117" s="126"/>
      <c r="Z117" s="126"/>
      <c r="AA117" s="126"/>
      <c r="AB117" s="126"/>
      <c r="AC117" s="126"/>
      <c r="AD117" s="126"/>
      <c r="AE117" s="126"/>
      <c r="AF117" s="126"/>
      <c r="AG117" s="126"/>
      <c r="AH117" s="126"/>
      <c r="AI117" s="126"/>
      <c r="AJ117" s="126"/>
      <c r="AK117" s="126"/>
      <c r="AL117" s="126"/>
      <c r="AM117" s="126"/>
      <c r="AN117" s="126"/>
      <c r="AO117" s="126"/>
    </row>
    <row r="118">
      <c r="A118" s="158"/>
      <c r="B118" s="158"/>
      <c r="C118" s="158"/>
      <c r="D118" s="158"/>
      <c r="E118" s="158"/>
      <c r="F118" s="158"/>
      <c r="G118" s="158"/>
      <c r="H118" s="158"/>
      <c r="I118" s="145"/>
      <c r="J118" s="158"/>
      <c r="K118" s="158"/>
      <c r="L118" s="126"/>
      <c r="M118" s="126"/>
      <c r="N118" s="126"/>
      <c r="O118" s="126"/>
      <c r="P118" s="126"/>
      <c r="Q118" s="126"/>
      <c r="R118" s="126"/>
      <c r="S118" s="126"/>
      <c r="T118" s="126"/>
      <c r="U118" s="126"/>
      <c r="V118" s="126"/>
      <c r="W118" s="126"/>
      <c r="X118" s="126"/>
      <c r="Y118" s="126"/>
      <c r="Z118" s="126"/>
      <c r="AA118" s="126"/>
      <c r="AB118" s="126"/>
      <c r="AC118" s="126"/>
      <c r="AD118" s="126"/>
      <c r="AE118" s="126"/>
      <c r="AF118" s="126"/>
      <c r="AG118" s="126"/>
      <c r="AH118" s="126"/>
      <c r="AI118" s="126"/>
      <c r="AJ118" s="126"/>
      <c r="AK118" s="126"/>
      <c r="AL118" s="126"/>
      <c r="AM118" s="126"/>
      <c r="AN118" s="126"/>
      <c r="AO118" s="126"/>
    </row>
    <row r="119">
      <c r="A119" s="158"/>
      <c r="B119" s="158"/>
      <c r="C119" s="158"/>
      <c r="D119" s="158"/>
      <c r="E119" s="158"/>
      <c r="F119" s="158"/>
      <c r="G119" s="158"/>
      <c r="H119" s="158"/>
      <c r="I119" s="145"/>
      <c r="J119" s="158"/>
      <c r="K119" s="158"/>
      <c r="L119" s="126"/>
      <c r="M119" s="126"/>
      <c r="N119" s="126"/>
      <c r="O119" s="126"/>
      <c r="P119" s="126"/>
      <c r="Q119" s="126"/>
      <c r="R119" s="126"/>
      <c r="S119" s="126"/>
      <c r="T119" s="126"/>
      <c r="U119" s="126"/>
      <c r="V119" s="126"/>
      <c r="W119" s="126"/>
      <c r="X119" s="126"/>
      <c r="Y119" s="126"/>
      <c r="Z119" s="126"/>
      <c r="AA119" s="126"/>
      <c r="AB119" s="126"/>
      <c r="AC119" s="126"/>
      <c r="AD119" s="126"/>
      <c r="AE119" s="126"/>
      <c r="AF119" s="126"/>
      <c r="AG119" s="126"/>
      <c r="AH119" s="126"/>
      <c r="AI119" s="126"/>
      <c r="AJ119" s="126"/>
      <c r="AK119" s="126"/>
      <c r="AL119" s="126"/>
      <c r="AM119" s="126"/>
      <c r="AN119" s="126"/>
      <c r="AO119" s="126"/>
    </row>
    <row r="120">
      <c r="A120" s="158"/>
      <c r="B120" s="158"/>
      <c r="C120" s="158"/>
      <c r="D120" s="158"/>
      <c r="E120" s="158"/>
      <c r="F120" s="158"/>
      <c r="G120" s="158"/>
      <c r="H120" s="158"/>
      <c r="I120" s="145"/>
      <c r="J120" s="158"/>
      <c r="K120" s="158"/>
      <c r="L120" s="126"/>
      <c r="M120" s="126"/>
      <c r="N120" s="126"/>
      <c r="O120" s="126"/>
      <c r="P120" s="126"/>
      <c r="Q120" s="126"/>
      <c r="R120" s="126"/>
      <c r="S120" s="126"/>
      <c r="T120" s="126"/>
      <c r="U120" s="126"/>
      <c r="V120" s="126"/>
      <c r="W120" s="126"/>
      <c r="X120" s="126"/>
      <c r="Y120" s="126"/>
      <c r="Z120" s="126"/>
      <c r="AA120" s="126"/>
      <c r="AB120" s="126"/>
      <c r="AC120" s="126"/>
      <c r="AD120" s="126"/>
      <c r="AE120" s="126"/>
      <c r="AF120" s="126"/>
      <c r="AG120" s="126"/>
      <c r="AH120" s="126"/>
      <c r="AI120" s="126"/>
      <c r="AJ120" s="126"/>
      <c r="AK120" s="126"/>
      <c r="AL120" s="126"/>
      <c r="AM120" s="126"/>
      <c r="AN120" s="126"/>
      <c r="AO120" s="126"/>
    </row>
    <row r="121">
      <c r="A121" s="158"/>
      <c r="B121" s="158"/>
      <c r="C121" s="158"/>
      <c r="D121" s="158"/>
      <c r="E121" s="158"/>
      <c r="F121" s="158"/>
      <c r="G121" s="158"/>
      <c r="H121" s="158"/>
      <c r="I121" s="145"/>
      <c r="J121" s="158"/>
      <c r="K121" s="158"/>
      <c r="L121" s="126"/>
      <c r="M121" s="126"/>
      <c r="N121" s="126"/>
      <c r="O121" s="126"/>
      <c r="P121" s="126"/>
      <c r="Q121" s="126"/>
      <c r="R121" s="126"/>
      <c r="S121" s="126"/>
      <c r="T121" s="126"/>
      <c r="U121" s="126"/>
      <c r="V121" s="126"/>
      <c r="W121" s="126"/>
      <c r="X121" s="126"/>
      <c r="Y121" s="126"/>
      <c r="Z121" s="126"/>
      <c r="AA121" s="126"/>
      <c r="AB121" s="126"/>
      <c r="AC121" s="126"/>
      <c r="AD121" s="126"/>
      <c r="AE121" s="126"/>
      <c r="AF121" s="126"/>
      <c r="AG121" s="126"/>
      <c r="AH121" s="126"/>
      <c r="AI121" s="126"/>
      <c r="AJ121" s="126"/>
      <c r="AK121" s="126"/>
      <c r="AL121" s="126"/>
      <c r="AM121" s="126"/>
      <c r="AN121" s="126"/>
      <c r="AO121" s="126"/>
    </row>
    <row r="122">
      <c r="A122" s="158"/>
      <c r="B122" s="158"/>
      <c r="C122" s="158"/>
      <c r="D122" s="158"/>
      <c r="E122" s="158"/>
      <c r="F122" s="158"/>
      <c r="G122" s="158"/>
      <c r="H122" s="158"/>
      <c r="I122" s="145"/>
      <c r="J122" s="158"/>
      <c r="K122" s="158"/>
      <c r="L122" s="126"/>
      <c r="M122" s="126"/>
      <c r="N122" s="126"/>
      <c r="O122" s="126"/>
      <c r="P122" s="126"/>
      <c r="Q122" s="126"/>
      <c r="R122" s="126"/>
      <c r="S122" s="126"/>
      <c r="T122" s="126"/>
      <c r="U122" s="126"/>
      <c r="V122" s="126"/>
      <c r="W122" s="126"/>
      <c r="X122" s="126"/>
      <c r="Y122" s="126"/>
      <c r="Z122" s="126"/>
      <c r="AA122" s="126"/>
      <c r="AB122" s="126"/>
      <c r="AC122" s="126"/>
      <c r="AD122" s="126"/>
      <c r="AE122" s="126"/>
      <c r="AF122" s="126"/>
      <c r="AG122" s="126"/>
      <c r="AH122" s="126"/>
      <c r="AI122" s="126"/>
      <c r="AJ122" s="126"/>
      <c r="AK122" s="126"/>
      <c r="AL122" s="126"/>
      <c r="AM122" s="126"/>
      <c r="AN122" s="126"/>
      <c r="AO122" s="126"/>
    </row>
    <row r="123">
      <c r="A123" s="158"/>
      <c r="B123" s="158"/>
      <c r="C123" s="158"/>
      <c r="D123" s="158"/>
      <c r="E123" s="158"/>
      <c r="F123" s="158"/>
      <c r="G123" s="158"/>
      <c r="H123" s="158"/>
      <c r="I123" s="145"/>
      <c r="J123" s="158"/>
      <c r="K123" s="158"/>
      <c r="L123" s="126"/>
      <c r="M123" s="126"/>
      <c r="N123" s="126"/>
      <c r="O123" s="126"/>
      <c r="P123" s="126"/>
      <c r="Q123" s="126"/>
      <c r="R123" s="126"/>
      <c r="S123" s="126"/>
      <c r="T123" s="126"/>
      <c r="U123" s="126"/>
      <c r="V123" s="126"/>
      <c r="W123" s="126"/>
      <c r="X123" s="126"/>
      <c r="Y123" s="126"/>
      <c r="Z123" s="126"/>
      <c r="AA123" s="126"/>
      <c r="AB123" s="126"/>
      <c r="AC123" s="126"/>
      <c r="AD123" s="126"/>
      <c r="AE123" s="126"/>
      <c r="AF123" s="126"/>
      <c r="AG123" s="126"/>
      <c r="AH123" s="126"/>
      <c r="AI123" s="126"/>
      <c r="AJ123" s="126"/>
      <c r="AK123" s="126"/>
      <c r="AL123" s="126"/>
      <c r="AM123" s="126"/>
      <c r="AN123" s="126"/>
      <c r="AO123" s="126"/>
    </row>
    <row r="124">
      <c r="A124" s="158"/>
      <c r="B124" s="158"/>
      <c r="C124" s="158"/>
      <c r="D124" s="158"/>
      <c r="E124" s="158"/>
      <c r="F124" s="158"/>
      <c r="G124" s="158"/>
      <c r="H124" s="158"/>
      <c r="I124" s="145"/>
      <c r="J124" s="158"/>
      <c r="K124" s="158"/>
      <c r="L124" s="126"/>
      <c r="M124" s="126"/>
      <c r="N124" s="126"/>
      <c r="O124" s="126"/>
      <c r="P124" s="126"/>
      <c r="Q124" s="126"/>
      <c r="R124" s="126"/>
      <c r="S124" s="126"/>
      <c r="T124" s="126"/>
      <c r="U124" s="126"/>
      <c r="V124" s="126"/>
      <c r="W124" s="126"/>
      <c r="X124" s="126"/>
      <c r="Y124" s="126"/>
      <c r="Z124" s="126"/>
      <c r="AA124" s="126"/>
      <c r="AB124" s="126"/>
      <c r="AC124" s="126"/>
      <c r="AD124" s="126"/>
      <c r="AE124" s="126"/>
      <c r="AF124" s="126"/>
      <c r="AG124" s="126"/>
      <c r="AH124" s="126"/>
      <c r="AI124" s="126"/>
      <c r="AJ124" s="126"/>
      <c r="AK124" s="126"/>
      <c r="AL124" s="126"/>
      <c r="AM124" s="126"/>
      <c r="AN124" s="126"/>
      <c r="AO124" s="126"/>
    </row>
    <row r="125">
      <c r="A125" s="158"/>
      <c r="B125" s="158"/>
      <c r="C125" s="158"/>
      <c r="D125" s="158"/>
      <c r="E125" s="158"/>
      <c r="F125" s="158"/>
      <c r="G125" s="158"/>
      <c r="H125" s="158"/>
      <c r="I125" s="145"/>
      <c r="J125" s="158"/>
      <c r="K125" s="158"/>
      <c r="L125" s="126"/>
      <c r="M125" s="126"/>
      <c r="N125" s="126"/>
      <c r="O125" s="126"/>
      <c r="P125" s="126"/>
      <c r="Q125" s="126"/>
      <c r="R125" s="126"/>
      <c r="S125" s="126"/>
      <c r="T125" s="126"/>
      <c r="U125" s="126"/>
      <c r="V125" s="126"/>
      <c r="W125" s="126"/>
      <c r="X125" s="126"/>
      <c r="Y125" s="126"/>
      <c r="Z125" s="126"/>
      <c r="AA125" s="126"/>
      <c r="AB125" s="126"/>
      <c r="AC125" s="126"/>
      <c r="AD125" s="126"/>
      <c r="AE125" s="126"/>
      <c r="AF125" s="126"/>
      <c r="AG125" s="126"/>
      <c r="AH125" s="126"/>
      <c r="AI125" s="126"/>
      <c r="AJ125" s="126"/>
      <c r="AK125" s="126"/>
      <c r="AL125" s="126"/>
      <c r="AM125" s="126"/>
      <c r="AN125" s="126"/>
      <c r="AO125" s="126"/>
    </row>
    <row r="126">
      <c r="A126" s="158"/>
      <c r="B126" s="158"/>
      <c r="C126" s="158"/>
      <c r="D126" s="158"/>
      <c r="E126" s="158"/>
      <c r="F126" s="158"/>
      <c r="G126" s="158"/>
      <c r="H126" s="158"/>
      <c r="I126" s="145"/>
      <c r="J126" s="158"/>
      <c r="K126" s="158"/>
      <c r="L126" s="126"/>
      <c r="M126" s="126"/>
      <c r="N126" s="126"/>
      <c r="O126" s="126"/>
      <c r="P126" s="126"/>
      <c r="Q126" s="126"/>
      <c r="R126" s="126"/>
      <c r="S126" s="126"/>
      <c r="T126" s="126"/>
      <c r="U126" s="126"/>
      <c r="V126" s="126"/>
      <c r="W126" s="126"/>
      <c r="X126" s="126"/>
      <c r="Y126" s="126"/>
      <c r="Z126" s="126"/>
      <c r="AA126" s="126"/>
      <c r="AB126" s="126"/>
      <c r="AC126" s="126"/>
      <c r="AD126" s="126"/>
      <c r="AE126" s="126"/>
      <c r="AF126" s="126"/>
      <c r="AG126" s="126"/>
      <c r="AH126" s="126"/>
      <c r="AI126" s="126"/>
      <c r="AJ126" s="126"/>
      <c r="AK126" s="126"/>
      <c r="AL126" s="126"/>
      <c r="AM126" s="126"/>
      <c r="AN126" s="126"/>
      <c r="AO126" s="126"/>
    </row>
    <row r="127">
      <c r="A127" s="158"/>
      <c r="B127" s="158"/>
      <c r="C127" s="158"/>
      <c r="D127" s="158"/>
      <c r="E127" s="158"/>
      <c r="F127" s="158"/>
      <c r="G127" s="158"/>
      <c r="H127" s="158"/>
      <c r="I127" s="145"/>
      <c r="J127" s="158"/>
      <c r="K127" s="158"/>
      <c r="L127" s="126"/>
      <c r="M127" s="126"/>
      <c r="N127" s="126"/>
      <c r="O127" s="126"/>
      <c r="P127" s="126"/>
      <c r="Q127" s="126"/>
      <c r="R127" s="126"/>
      <c r="S127" s="126"/>
      <c r="T127" s="126"/>
      <c r="U127" s="126"/>
      <c r="V127" s="126"/>
      <c r="W127" s="126"/>
      <c r="X127" s="126"/>
      <c r="Y127" s="126"/>
      <c r="Z127" s="126"/>
      <c r="AA127" s="126"/>
      <c r="AB127" s="126"/>
      <c r="AC127" s="126"/>
      <c r="AD127" s="126"/>
      <c r="AE127" s="126"/>
      <c r="AF127" s="126"/>
      <c r="AG127" s="126"/>
      <c r="AH127" s="126"/>
      <c r="AI127" s="126"/>
      <c r="AJ127" s="126"/>
      <c r="AK127" s="126"/>
      <c r="AL127" s="126"/>
      <c r="AM127" s="126"/>
      <c r="AN127" s="126"/>
      <c r="AO127" s="126"/>
    </row>
    <row r="128">
      <c r="A128" s="158"/>
      <c r="B128" s="158"/>
      <c r="C128" s="158"/>
      <c r="D128" s="158"/>
      <c r="E128" s="158"/>
      <c r="F128" s="158"/>
      <c r="G128" s="158"/>
      <c r="H128" s="158"/>
      <c r="I128" s="145"/>
      <c r="J128" s="158"/>
      <c r="K128" s="158"/>
      <c r="L128" s="126"/>
      <c r="M128" s="126"/>
      <c r="N128" s="126"/>
      <c r="O128" s="126"/>
      <c r="P128" s="126"/>
      <c r="Q128" s="126"/>
      <c r="R128" s="126"/>
      <c r="S128" s="126"/>
      <c r="T128" s="126"/>
      <c r="U128" s="126"/>
      <c r="V128" s="126"/>
      <c r="W128" s="126"/>
      <c r="X128" s="126"/>
      <c r="Y128" s="126"/>
      <c r="Z128" s="126"/>
      <c r="AA128" s="126"/>
      <c r="AB128" s="126"/>
      <c r="AC128" s="126"/>
      <c r="AD128" s="126"/>
      <c r="AE128" s="126"/>
      <c r="AF128" s="126"/>
      <c r="AG128" s="126"/>
      <c r="AH128" s="126"/>
      <c r="AI128" s="126"/>
      <c r="AJ128" s="126"/>
      <c r="AK128" s="126"/>
      <c r="AL128" s="126"/>
      <c r="AM128" s="126"/>
      <c r="AN128" s="126"/>
      <c r="AO128" s="126"/>
    </row>
    <row r="129">
      <c r="A129" s="158"/>
      <c r="B129" s="158"/>
      <c r="C129" s="158"/>
      <c r="D129" s="158"/>
      <c r="E129" s="158"/>
      <c r="F129" s="158"/>
      <c r="G129" s="158"/>
      <c r="H129" s="158"/>
      <c r="I129" s="145"/>
      <c r="J129" s="158"/>
      <c r="K129" s="158"/>
      <c r="L129" s="126"/>
      <c r="M129" s="126"/>
      <c r="N129" s="126"/>
      <c r="O129" s="126"/>
      <c r="P129" s="126"/>
      <c r="Q129" s="126"/>
      <c r="R129" s="126"/>
      <c r="S129" s="126"/>
      <c r="T129" s="126"/>
      <c r="U129" s="126"/>
      <c r="V129" s="126"/>
      <c r="W129" s="126"/>
      <c r="X129" s="126"/>
      <c r="Y129" s="126"/>
      <c r="Z129" s="126"/>
      <c r="AA129" s="126"/>
      <c r="AB129" s="126"/>
      <c r="AC129" s="126"/>
      <c r="AD129" s="126"/>
      <c r="AE129" s="126"/>
      <c r="AF129" s="126"/>
      <c r="AG129" s="126"/>
      <c r="AH129" s="126"/>
      <c r="AI129" s="126"/>
      <c r="AJ129" s="126"/>
      <c r="AK129" s="126"/>
      <c r="AL129" s="126"/>
      <c r="AM129" s="126"/>
      <c r="AN129" s="126"/>
      <c r="AO129" s="126"/>
    </row>
    <row r="130">
      <c r="A130" s="158"/>
      <c r="B130" s="158"/>
      <c r="C130" s="158"/>
      <c r="D130" s="158"/>
      <c r="E130" s="158"/>
      <c r="F130" s="158"/>
      <c r="G130" s="158"/>
      <c r="H130" s="158"/>
      <c r="I130" s="145"/>
      <c r="J130" s="158"/>
      <c r="K130" s="158"/>
      <c r="L130" s="126"/>
      <c r="M130" s="126"/>
      <c r="N130" s="126"/>
      <c r="O130" s="126"/>
      <c r="P130" s="126"/>
      <c r="Q130" s="126"/>
      <c r="R130" s="126"/>
      <c r="S130" s="126"/>
      <c r="T130" s="126"/>
      <c r="U130" s="126"/>
      <c r="V130" s="126"/>
      <c r="W130" s="126"/>
      <c r="X130" s="126"/>
      <c r="Y130" s="126"/>
      <c r="Z130" s="126"/>
      <c r="AA130" s="126"/>
      <c r="AB130" s="126"/>
      <c r="AC130" s="126"/>
      <c r="AD130" s="126"/>
      <c r="AE130" s="126"/>
      <c r="AF130" s="126"/>
      <c r="AG130" s="126"/>
      <c r="AH130" s="126"/>
      <c r="AI130" s="126"/>
      <c r="AJ130" s="126"/>
      <c r="AK130" s="126"/>
      <c r="AL130" s="126"/>
      <c r="AM130" s="126"/>
      <c r="AN130" s="126"/>
      <c r="AO130" s="126"/>
    </row>
    <row r="131">
      <c r="A131" s="158"/>
      <c r="B131" s="158"/>
      <c r="C131" s="158"/>
      <c r="D131" s="158"/>
      <c r="E131" s="158"/>
      <c r="F131" s="158"/>
      <c r="G131" s="158"/>
      <c r="H131" s="158"/>
      <c r="I131" s="145"/>
      <c r="J131" s="158"/>
      <c r="K131" s="158"/>
      <c r="L131" s="126"/>
      <c r="M131" s="126"/>
      <c r="N131" s="126"/>
      <c r="O131" s="126"/>
      <c r="P131" s="126"/>
      <c r="Q131" s="126"/>
      <c r="R131" s="126"/>
      <c r="S131" s="126"/>
      <c r="T131" s="126"/>
      <c r="U131" s="126"/>
      <c r="V131" s="126"/>
      <c r="W131" s="126"/>
      <c r="X131" s="126"/>
      <c r="Y131" s="126"/>
      <c r="Z131" s="126"/>
      <c r="AA131" s="126"/>
      <c r="AB131" s="126"/>
      <c r="AC131" s="126"/>
      <c r="AD131" s="126"/>
      <c r="AE131" s="126"/>
      <c r="AF131" s="126"/>
      <c r="AG131" s="126"/>
      <c r="AH131" s="126"/>
      <c r="AI131" s="126"/>
      <c r="AJ131" s="126"/>
      <c r="AK131" s="126"/>
      <c r="AL131" s="126"/>
      <c r="AM131" s="126"/>
      <c r="AN131" s="126"/>
      <c r="AO131" s="126"/>
    </row>
    <row r="132">
      <c r="A132" s="158"/>
      <c r="B132" s="158"/>
      <c r="C132" s="158"/>
      <c r="D132" s="158"/>
      <c r="E132" s="158"/>
      <c r="F132" s="158"/>
      <c r="G132" s="158"/>
      <c r="H132" s="158"/>
      <c r="I132" s="145"/>
      <c r="J132" s="158"/>
      <c r="K132" s="158"/>
      <c r="L132" s="126"/>
      <c r="M132" s="126"/>
      <c r="N132" s="126"/>
      <c r="O132" s="126"/>
      <c r="P132" s="126"/>
      <c r="Q132" s="126"/>
      <c r="R132" s="126"/>
      <c r="S132" s="126"/>
      <c r="T132" s="126"/>
      <c r="U132" s="126"/>
      <c r="V132" s="126"/>
      <c r="W132" s="126"/>
      <c r="X132" s="126"/>
      <c r="Y132" s="126"/>
      <c r="Z132" s="126"/>
      <c r="AA132" s="126"/>
      <c r="AB132" s="126"/>
      <c r="AC132" s="126"/>
      <c r="AD132" s="126"/>
      <c r="AE132" s="126"/>
      <c r="AF132" s="126"/>
      <c r="AG132" s="126"/>
      <c r="AH132" s="126"/>
      <c r="AI132" s="126"/>
      <c r="AJ132" s="126"/>
      <c r="AK132" s="126"/>
      <c r="AL132" s="126"/>
      <c r="AM132" s="126"/>
      <c r="AN132" s="126"/>
      <c r="AO132" s="126"/>
    </row>
    <row r="133">
      <c r="A133" s="158"/>
      <c r="B133" s="158"/>
      <c r="C133" s="158"/>
      <c r="D133" s="158"/>
      <c r="E133" s="158"/>
      <c r="F133" s="158"/>
      <c r="G133" s="158"/>
      <c r="H133" s="158"/>
      <c r="I133" s="145"/>
      <c r="J133" s="158"/>
      <c r="K133" s="158"/>
      <c r="L133" s="126"/>
      <c r="M133" s="126"/>
      <c r="N133" s="126"/>
      <c r="O133" s="126"/>
      <c r="P133" s="126"/>
      <c r="Q133" s="126"/>
      <c r="R133" s="126"/>
      <c r="S133" s="126"/>
      <c r="T133" s="126"/>
      <c r="U133" s="126"/>
      <c r="V133" s="126"/>
      <c r="W133" s="126"/>
      <c r="X133" s="126"/>
      <c r="Y133" s="126"/>
      <c r="Z133" s="126"/>
      <c r="AA133" s="126"/>
      <c r="AB133" s="126"/>
      <c r="AC133" s="126"/>
      <c r="AD133" s="126"/>
      <c r="AE133" s="126"/>
      <c r="AF133" s="126"/>
      <c r="AG133" s="126"/>
      <c r="AH133" s="126"/>
      <c r="AI133" s="126"/>
      <c r="AJ133" s="126"/>
      <c r="AK133" s="126"/>
      <c r="AL133" s="126"/>
      <c r="AM133" s="126"/>
      <c r="AN133" s="126"/>
      <c r="AO133" s="126"/>
    </row>
    <row r="134">
      <c r="A134" s="158"/>
      <c r="B134" s="158"/>
      <c r="C134" s="158"/>
      <c r="D134" s="158"/>
      <c r="E134" s="158"/>
      <c r="F134" s="158"/>
      <c r="G134" s="158"/>
      <c r="H134" s="158"/>
      <c r="I134" s="145"/>
      <c r="J134" s="158"/>
      <c r="K134" s="158"/>
      <c r="L134" s="126"/>
      <c r="M134" s="126"/>
      <c r="N134" s="126"/>
      <c r="O134" s="126"/>
      <c r="P134" s="126"/>
      <c r="Q134" s="126"/>
      <c r="R134" s="126"/>
      <c r="S134" s="126"/>
      <c r="T134" s="126"/>
      <c r="U134" s="126"/>
      <c r="V134" s="126"/>
      <c r="W134" s="126"/>
      <c r="X134" s="126"/>
      <c r="Y134" s="126"/>
      <c r="Z134" s="126"/>
      <c r="AA134" s="126"/>
      <c r="AB134" s="126"/>
      <c r="AC134" s="126"/>
      <c r="AD134" s="126"/>
      <c r="AE134" s="126"/>
      <c r="AF134" s="126"/>
      <c r="AG134" s="126"/>
      <c r="AH134" s="126"/>
      <c r="AI134" s="126"/>
      <c r="AJ134" s="126"/>
      <c r="AK134" s="126"/>
      <c r="AL134" s="126"/>
      <c r="AM134" s="126"/>
      <c r="AN134" s="126"/>
      <c r="AO134" s="126"/>
    </row>
    <row r="135">
      <c r="A135" s="158"/>
      <c r="B135" s="158"/>
      <c r="C135" s="158"/>
      <c r="D135" s="158"/>
      <c r="E135" s="158"/>
      <c r="F135" s="158"/>
      <c r="G135" s="158"/>
      <c r="H135" s="158"/>
      <c r="I135" s="145"/>
      <c r="J135" s="158"/>
      <c r="K135" s="158"/>
      <c r="L135" s="126"/>
      <c r="M135" s="126"/>
      <c r="N135" s="126"/>
      <c r="O135" s="126"/>
      <c r="P135" s="126"/>
      <c r="Q135" s="126"/>
      <c r="R135" s="126"/>
      <c r="S135" s="126"/>
      <c r="T135" s="126"/>
      <c r="U135" s="126"/>
      <c r="V135" s="126"/>
      <c r="W135" s="126"/>
      <c r="X135" s="126"/>
      <c r="Y135" s="126"/>
      <c r="Z135" s="126"/>
      <c r="AA135" s="126"/>
      <c r="AB135" s="126"/>
      <c r="AC135" s="126"/>
      <c r="AD135" s="126"/>
      <c r="AE135" s="126"/>
      <c r="AF135" s="126"/>
      <c r="AG135" s="126"/>
      <c r="AH135" s="126"/>
      <c r="AI135" s="126"/>
      <c r="AJ135" s="126"/>
      <c r="AK135" s="126"/>
      <c r="AL135" s="126"/>
      <c r="AM135" s="126"/>
      <c r="AN135" s="126"/>
      <c r="AO135" s="126"/>
    </row>
    <row r="136">
      <c r="A136" s="158"/>
      <c r="B136" s="158"/>
      <c r="C136" s="158"/>
      <c r="D136" s="158"/>
      <c r="E136" s="158"/>
      <c r="F136" s="158"/>
      <c r="G136" s="158"/>
      <c r="H136" s="158"/>
      <c r="I136" s="145"/>
      <c r="J136" s="158"/>
      <c r="K136" s="158"/>
      <c r="L136" s="126"/>
      <c r="M136" s="126"/>
      <c r="N136" s="126"/>
      <c r="O136" s="126"/>
      <c r="P136" s="126"/>
      <c r="Q136" s="126"/>
      <c r="R136" s="126"/>
      <c r="S136" s="126"/>
      <c r="T136" s="126"/>
      <c r="U136" s="126"/>
      <c r="V136" s="126"/>
      <c r="W136" s="126"/>
      <c r="X136" s="126"/>
      <c r="Y136" s="126"/>
      <c r="Z136" s="126"/>
      <c r="AA136" s="126"/>
      <c r="AB136" s="126"/>
      <c r="AC136" s="126"/>
      <c r="AD136" s="126"/>
      <c r="AE136" s="126"/>
      <c r="AF136" s="126"/>
      <c r="AG136" s="126"/>
      <c r="AH136" s="126"/>
      <c r="AI136" s="126"/>
      <c r="AJ136" s="126"/>
      <c r="AK136" s="126"/>
      <c r="AL136" s="126"/>
      <c r="AM136" s="126"/>
      <c r="AN136" s="126"/>
      <c r="AO136" s="126"/>
    </row>
    <row r="137">
      <c r="A137" s="158"/>
      <c r="B137" s="158"/>
      <c r="C137" s="158"/>
      <c r="D137" s="158"/>
      <c r="E137" s="158"/>
      <c r="F137" s="158"/>
      <c r="G137" s="158"/>
      <c r="H137" s="158"/>
      <c r="I137" s="145"/>
      <c r="J137" s="158"/>
      <c r="K137" s="158"/>
      <c r="L137" s="126"/>
      <c r="M137" s="126"/>
      <c r="N137" s="126"/>
      <c r="O137" s="126"/>
      <c r="P137" s="126"/>
      <c r="Q137" s="126"/>
      <c r="R137" s="126"/>
      <c r="S137" s="126"/>
      <c r="T137" s="126"/>
      <c r="U137" s="126"/>
      <c r="V137" s="126"/>
      <c r="W137" s="126"/>
      <c r="X137" s="126"/>
      <c r="Y137" s="126"/>
      <c r="Z137" s="126"/>
      <c r="AA137" s="126"/>
      <c r="AB137" s="126"/>
      <c r="AC137" s="126"/>
      <c r="AD137" s="126"/>
      <c r="AE137" s="126"/>
      <c r="AF137" s="126"/>
      <c r="AG137" s="126"/>
      <c r="AH137" s="126"/>
      <c r="AI137" s="126"/>
      <c r="AJ137" s="126"/>
      <c r="AK137" s="126"/>
      <c r="AL137" s="126"/>
      <c r="AM137" s="126"/>
      <c r="AN137" s="126"/>
      <c r="AO137" s="126"/>
    </row>
    <row r="138">
      <c r="A138" s="158"/>
      <c r="B138" s="158"/>
      <c r="C138" s="158"/>
      <c r="D138" s="158"/>
      <c r="E138" s="158"/>
      <c r="F138" s="158"/>
      <c r="G138" s="158"/>
      <c r="H138" s="158"/>
      <c r="I138" s="145"/>
      <c r="J138" s="158"/>
      <c r="K138" s="158"/>
      <c r="L138" s="126"/>
      <c r="M138" s="126"/>
      <c r="N138" s="126"/>
      <c r="O138" s="126"/>
      <c r="P138" s="126"/>
      <c r="Q138" s="126"/>
      <c r="R138" s="126"/>
      <c r="S138" s="126"/>
      <c r="T138" s="126"/>
      <c r="U138" s="126"/>
      <c r="V138" s="126"/>
      <c r="W138" s="126"/>
      <c r="X138" s="126"/>
      <c r="Y138" s="126"/>
      <c r="Z138" s="126"/>
      <c r="AA138" s="126"/>
      <c r="AB138" s="126"/>
      <c r="AC138" s="126"/>
      <c r="AD138" s="126"/>
      <c r="AE138" s="126"/>
      <c r="AF138" s="126"/>
      <c r="AG138" s="126"/>
      <c r="AH138" s="126"/>
      <c r="AI138" s="126"/>
      <c r="AJ138" s="126"/>
      <c r="AK138" s="126"/>
      <c r="AL138" s="126"/>
      <c r="AM138" s="126"/>
      <c r="AN138" s="126"/>
      <c r="AO138" s="126"/>
    </row>
    <row r="139">
      <c r="A139" s="158"/>
      <c r="B139" s="158"/>
      <c r="C139" s="158"/>
      <c r="D139" s="158"/>
      <c r="E139" s="158"/>
      <c r="F139" s="158"/>
      <c r="G139" s="158"/>
      <c r="H139" s="158"/>
      <c r="I139" s="145"/>
      <c r="J139" s="158"/>
      <c r="K139" s="158"/>
      <c r="L139" s="126"/>
      <c r="M139" s="126"/>
      <c r="N139" s="126"/>
      <c r="O139" s="126"/>
      <c r="P139" s="126"/>
      <c r="Q139" s="126"/>
      <c r="R139" s="126"/>
      <c r="S139" s="126"/>
      <c r="T139" s="126"/>
      <c r="U139" s="126"/>
      <c r="V139" s="126"/>
      <c r="W139" s="126"/>
      <c r="X139" s="126"/>
      <c r="Y139" s="126"/>
      <c r="Z139" s="126"/>
      <c r="AA139" s="126"/>
      <c r="AB139" s="126"/>
      <c r="AC139" s="126"/>
      <c r="AD139" s="126"/>
      <c r="AE139" s="126"/>
      <c r="AF139" s="126"/>
      <c r="AG139" s="126"/>
      <c r="AH139" s="126"/>
      <c r="AI139" s="126"/>
      <c r="AJ139" s="126"/>
      <c r="AK139" s="126"/>
      <c r="AL139" s="126"/>
      <c r="AM139" s="126"/>
      <c r="AN139" s="126"/>
      <c r="AO139" s="126"/>
    </row>
    <row r="140">
      <c r="A140" s="158"/>
      <c r="B140" s="158"/>
      <c r="C140" s="158"/>
      <c r="D140" s="158"/>
      <c r="E140" s="158"/>
      <c r="F140" s="158"/>
      <c r="G140" s="158"/>
      <c r="H140" s="158"/>
      <c r="I140" s="145"/>
      <c r="J140" s="158"/>
      <c r="K140" s="158"/>
      <c r="L140" s="126"/>
      <c r="M140" s="126"/>
      <c r="N140" s="126"/>
      <c r="O140" s="126"/>
      <c r="P140" s="126"/>
      <c r="Q140" s="126"/>
      <c r="R140" s="126"/>
      <c r="S140" s="126"/>
      <c r="T140" s="126"/>
      <c r="U140" s="126"/>
      <c r="V140" s="126"/>
      <c r="W140" s="126"/>
      <c r="X140" s="126"/>
      <c r="Y140" s="126"/>
      <c r="Z140" s="126"/>
      <c r="AA140" s="126"/>
      <c r="AB140" s="126"/>
      <c r="AC140" s="126"/>
      <c r="AD140" s="126"/>
      <c r="AE140" s="126"/>
      <c r="AF140" s="126"/>
      <c r="AG140" s="126"/>
      <c r="AH140" s="126"/>
      <c r="AI140" s="126"/>
      <c r="AJ140" s="126"/>
      <c r="AK140" s="126"/>
      <c r="AL140" s="126"/>
      <c r="AM140" s="126"/>
      <c r="AN140" s="126"/>
      <c r="AO140" s="126"/>
    </row>
    <row r="141">
      <c r="A141" s="158"/>
      <c r="B141" s="158"/>
      <c r="C141" s="158"/>
      <c r="D141" s="158"/>
      <c r="E141" s="158"/>
      <c r="F141" s="158"/>
      <c r="G141" s="158"/>
      <c r="H141" s="158"/>
      <c r="I141" s="145"/>
      <c r="J141" s="158"/>
      <c r="K141" s="158"/>
      <c r="L141" s="126"/>
      <c r="M141" s="126"/>
      <c r="N141" s="126"/>
      <c r="O141" s="126"/>
      <c r="P141" s="126"/>
      <c r="Q141" s="126"/>
      <c r="R141" s="126"/>
      <c r="S141" s="126"/>
      <c r="T141" s="126"/>
      <c r="U141" s="126"/>
      <c r="V141" s="126"/>
      <c r="W141" s="126"/>
      <c r="X141" s="126"/>
      <c r="Y141" s="126"/>
      <c r="Z141" s="126"/>
      <c r="AA141" s="126"/>
      <c r="AB141" s="126"/>
      <c r="AC141" s="126"/>
      <c r="AD141" s="126"/>
      <c r="AE141" s="126"/>
      <c r="AF141" s="126"/>
      <c r="AG141" s="126"/>
      <c r="AH141" s="126"/>
      <c r="AI141" s="126"/>
      <c r="AJ141" s="126"/>
      <c r="AK141" s="126"/>
      <c r="AL141" s="126"/>
      <c r="AM141" s="126"/>
      <c r="AN141" s="126"/>
      <c r="AO141" s="126"/>
    </row>
    <row r="142">
      <c r="A142" s="158"/>
      <c r="B142" s="158"/>
      <c r="C142" s="158"/>
      <c r="D142" s="158"/>
      <c r="E142" s="158"/>
      <c r="F142" s="158"/>
      <c r="G142" s="158"/>
      <c r="H142" s="158"/>
      <c r="I142" s="145"/>
      <c r="J142" s="158"/>
      <c r="K142" s="158"/>
      <c r="L142" s="126"/>
      <c r="M142" s="126"/>
      <c r="N142" s="126"/>
      <c r="O142" s="126"/>
      <c r="P142" s="126"/>
      <c r="Q142" s="126"/>
      <c r="R142" s="126"/>
      <c r="S142" s="126"/>
      <c r="T142" s="126"/>
      <c r="U142" s="126"/>
      <c r="V142" s="126"/>
      <c r="W142" s="126"/>
      <c r="X142" s="126"/>
      <c r="Y142" s="126"/>
      <c r="Z142" s="126"/>
      <c r="AA142" s="126"/>
      <c r="AB142" s="126"/>
      <c r="AC142" s="126"/>
      <c r="AD142" s="126"/>
      <c r="AE142" s="126"/>
      <c r="AF142" s="126"/>
      <c r="AG142" s="126"/>
      <c r="AH142" s="126"/>
      <c r="AI142" s="126"/>
      <c r="AJ142" s="126"/>
      <c r="AK142" s="126"/>
      <c r="AL142" s="126"/>
      <c r="AM142" s="126"/>
      <c r="AN142" s="126"/>
      <c r="AO142" s="126"/>
    </row>
    <row r="143">
      <c r="A143" s="158"/>
      <c r="B143" s="158"/>
      <c r="C143" s="158"/>
      <c r="D143" s="158"/>
      <c r="E143" s="158"/>
      <c r="F143" s="158"/>
      <c r="G143" s="158"/>
      <c r="H143" s="158"/>
      <c r="I143" s="145"/>
      <c r="J143" s="158"/>
      <c r="K143" s="158"/>
      <c r="L143" s="126"/>
      <c r="M143" s="126"/>
      <c r="N143" s="126"/>
      <c r="O143" s="126"/>
      <c r="P143" s="126"/>
      <c r="Q143" s="126"/>
      <c r="R143" s="126"/>
      <c r="S143" s="126"/>
      <c r="T143" s="126"/>
      <c r="U143" s="126"/>
      <c r="V143" s="126"/>
      <c r="W143" s="126"/>
      <c r="X143" s="126"/>
      <c r="Y143" s="126"/>
      <c r="Z143" s="126"/>
      <c r="AA143" s="126"/>
      <c r="AB143" s="126"/>
      <c r="AC143" s="126"/>
      <c r="AD143" s="126"/>
      <c r="AE143" s="126"/>
      <c r="AF143" s="126"/>
      <c r="AG143" s="126"/>
      <c r="AH143" s="126"/>
      <c r="AI143" s="126"/>
      <c r="AJ143" s="126"/>
      <c r="AK143" s="126"/>
      <c r="AL143" s="126"/>
      <c r="AM143" s="126"/>
      <c r="AN143" s="126"/>
      <c r="AO143" s="126"/>
    </row>
    <row r="144">
      <c r="A144" s="158"/>
      <c r="B144" s="158"/>
      <c r="C144" s="158"/>
      <c r="D144" s="158"/>
      <c r="E144" s="158"/>
      <c r="F144" s="158"/>
      <c r="G144" s="158"/>
      <c r="H144" s="158"/>
      <c r="I144" s="145"/>
      <c r="J144" s="158"/>
      <c r="K144" s="158"/>
      <c r="L144" s="126"/>
      <c r="M144" s="126"/>
      <c r="N144" s="126"/>
      <c r="O144" s="126"/>
      <c r="P144" s="126"/>
      <c r="Q144" s="126"/>
      <c r="R144" s="126"/>
      <c r="S144" s="126"/>
      <c r="T144" s="126"/>
      <c r="U144" s="126"/>
      <c r="V144" s="126"/>
      <c r="W144" s="126"/>
      <c r="X144" s="126"/>
      <c r="Y144" s="126"/>
      <c r="Z144" s="126"/>
      <c r="AA144" s="126"/>
      <c r="AB144" s="126"/>
      <c r="AC144" s="126"/>
      <c r="AD144" s="126"/>
      <c r="AE144" s="126"/>
      <c r="AF144" s="126"/>
      <c r="AG144" s="126"/>
      <c r="AH144" s="126"/>
      <c r="AI144" s="126"/>
      <c r="AJ144" s="126"/>
      <c r="AK144" s="126"/>
      <c r="AL144" s="126"/>
      <c r="AM144" s="126"/>
      <c r="AN144" s="126"/>
      <c r="AO144" s="126"/>
    </row>
    <row r="145">
      <c r="A145" s="158"/>
      <c r="B145" s="158"/>
      <c r="C145" s="158"/>
      <c r="D145" s="158"/>
      <c r="E145" s="158"/>
      <c r="F145" s="158"/>
      <c r="G145" s="158"/>
      <c r="H145" s="158"/>
      <c r="I145" s="145"/>
      <c r="J145" s="158"/>
      <c r="K145" s="158"/>
      <c r="L145" s="126"/>
      <c r="M145" s="126"/>
      <c r="N145" s="126"/>
      <c r="O145" s="126"/>
      <c r="P145" s="126"/>
      <c r="Q145" s="126"/>
      <c r="R145" s="126"/>
      <c r="S145" s="126"/>
      <c r="T145" s="126"/>
      <c r="U145" s="126"/>
      <c r="V145" s="126"/>
      <c r="W145" s="126"/>
      <c r="X145" s="126"/>
      <c r="Y145" s="126"/>
      <c r="Z145" s="126"/>
      <c r="AA145" s="126"/>
      <c r="AB145" s="126"/>
      <c r="AC145" s="126"/>
      <c r="AD145" s="126"/>
      <c r="AE145" s="126"/>
      <c r="AF145" s="126"/>
      <c r="AG145" s="126"/>
      <c r="AH145" s="126"/>
      <c r="AI145" s="126"/>
      <c r="AJ145" s="126"/>
      <c r="AK145" s="126"/>
      <c r="AL145" s="126"/>
      <c r="AM145" s="126"/>
      <c r="AN145" s="126"/>
      <c r="AO145" s="126"/>
    </row>
    <row r="146">
      <c r="A146" s="158"/>
      <c r="B146" s="158"/>
      <c r="C146" s="158"/>
      <c r="D146" s="158"/>
      <c r="E146" s="158"/>
      <c r="F146" s="158"/>
      <c r="G146" s="158"/>
      <c r="H146" s="158"/>
      <c r="I146" s="145"/>
      <c r="J146" s="158"/>
      <c r="K146" s="158"/>
      <c r="L146" s="126"/>
      <c r="M146" s="126"/>
      <c r="N146" s="126"/>
      <c r="O146" s="126"/>
      <c r="P146" s="126"/>
      <c r="Q146" s="126"/>
      <c r="R146" s="126"/>
      <c r="S146" s="126"/>
      <c r="T146" s="126"/>
      <c r="U146" s="126"/>
      <c r="V146" s="126"/>
      <c r="W146" s="126"/>
      <c r="X146" s="126"/>
      <c r="Y146" s="126"/>
      <c r="Z146" s="126"/>
      <c r="AA146" s="126"/>
      <c r="AB146" s="126"/>
      <c r="AC146" s="126"/>
      <c r="AD146" s="126"/>
      <c r="AE146" s="126"/>
      <c r="AF146" s="126"/>
      <c r="AG146" s="126"/>
      <c r="AH146" s="126"/>
      <c r="AI146" s="126"/>
      <c r="AJ146" s="126"/>
      <c r="AK146" s="126"/>
      <c r="AL146" s="126"/>
      <c r="AM146" s="126"/>
      <c r="AN146" s="126"/>
      <c r="AO146" s="126"/>
    </row>
    <row r="147">
      <c r="A147" s="158"/>
      <c r="B147" s="158"/>
      <c r="C147" s="158"/>
      <c r="D147" s="158"/>
      <c r="E147" s="158"/>
      <c r="F147" s="158"/>
      <c r="G147" s="158"/>
      <c r="H147" s="158"/>
      <c r="I147" s="145"/>
      <c r="J147" s="158"/>
      <c r="K147" s="158"/>
      <c r="L147" s="126"/>
      <c r="M147" s="126"/>
      <c r="N147" s="126"/>
      <c r="O147" s="126"/>
      <c r="P147" s="126"/>
      <c r="Q147" s="126"/>
      <c r="R147" s="126"/>
      <c r="S147" s="126"/>
      <c r="T147" s="126"/>
      <c r="U147" s="126"/>
      <c r="V147" s="126"/>
      <c r="W147" s="126"/>
      <c r="X147" s="126"/>
      <c r="Y147" s="126"/>
      <c r="Z147" s="126"/>
      <c r="AA147" s="126"/>
      <c r="AB147" s="126"/>
      <c r="AC147" s="126"/>
      <c r="AD147" s="126"/>
      <c r="AE147" s="126"/>
      <c r="AF147" s="126"/>
      <c r="AG147" s="126"/>
      <c r="AH147" s="126"/>
      <c r="AI147" s="126"/>
      <c r="AJ147" s="126"/>
      <c r="AK147" s="126"/>
      <c r="AL147" s="126"/>
      <c r="AM147" s="126"/>
      <c r="AN147" s="126"/>
      <c r="AO147" s="126"/>
    </row>
    <row r="148">
      <c r="A148" s="158"/>
      <c r="B148" s="158"/>
      <c r="C148" s="158"/>
      <c r="D148" s="158"/>
      <c r="E148" s="158"/>
      <c r="F148" s="158"/>
      <c r="G148" s="158"/>
      <c r="H148" s="158"/>
      <c r="I148" s="145"/>
      <c r="J148" s="158"/>
      <c r="K148" s="158"/>
      <c r="L148" s="126"/>
      <c r="M148" s="126"/>
      <c r="N148" s="126"/>
      <c r="O148" s="126"/>
      <c r="P148" s="126"/>
      <c r="Q148" s="126"/>
      <c r="R148" s="126"/>
      <c r="S148" s="126"/>
      <c r="T148" s="126"/>
      <c r="U148" s="126"/>
      <c r="V148" s="126"/>
      <c r="W148" s="126"/>
      <c r="X148" s="126"/>
      <c r="Y148" s="126"/>
      <c r="Z148" s="126"/>
      <c r="AA148" s="126"/>
      <c r="AB148" s="126"/>
      <c r="AC148" s="126"/>
      <c r="AD148" s="126"/>
      <c r="AE148" s="126"/>
      <c r="AF148" s="126"/>
      <c r="AG148" s="126"/>
      <c r="AH148" s="126"/>
      <c r="AI148" s="126"/>
      <c r="AJ148" s="126"/>
      <c r="AK148" s="126"/>
      <c r="AL148" s="126"/>
      <c r="AM148" s="126"/>
      <c r="AN148" s="126"/>
      <c r="AO148" s="126"/>
    </row>
    <row r="149">
      <c r="A149" s="158"/>
      <c r="B149" s="158"/>
      <c r="C149" s="158"/>
      <c r="D149" s="158"/>
      <c r="E149" s="158"/>
      <c r="F149" s="158"/>
      <c r="G149" s="158"/>
      <c r="H149" s="158"/>
      <c r="I149" s="145"/>
      <c r="J149" s="158"/>
      <c r="K149" s="158"/>
      <c r="L149" s="126"/>
      <c r="M149" s="126"/>
      <c r="N149" s="126"/>
      <c r="O149" s="126"/>
      <c r="P149" s="126"/>
      <c r="Q149" s="126"/>
      <c r="R149" s="126"/>
      <c r="S149" s="126"/>
      <c r="T149" s="126"/>
      <c r="U149" s="126"/>
      <c r="V149" s="126"/>
      <c r="W149" s="126"/>
      <c r="X149" s="126"/>
      <c r="Y149" s="126"/>
      <c r="Z149" s="126"/>
      <c r="AA149" s="126"/>
      <c r="AB149" s="126"/>
      <c r="AC149" s="126"/>
      <c r="AD149" s="126"/>
      <c r="AE149" s="126"/>
      <c r="AF149" s="126"/>
      <c r="AG149" s="126"/>
      <c r="AH149" s="126"/>
      <c r="AI149" s="126"/>
      <c r="AJ149" s="126"/>
      <c r="AK149" s="126"/>
      <c r="AL149" s="126"/>
      <c r="AM149" s="126"/>
      <c r="AN149" s="126"/>
      <c r="AO149" s="126"/>
    </row>
    <row r="150">
      <c r="A150" s="158"/>
      <c r="B150" s="158"/>
      <c r="C150" s="158"/>
      <c r="D150" s="158"/>
      <c r="E150" s="158"/>
      <c r="F150" s="158"/>
      <c r="G150" s="158"/>
      <c r="H150" s="158"/>
      <c r="I150" s="145"/>
      <c r="J150" s="158"/>
      <c r="K150" s="158"/>
      <c r="L150" s="126"/>
      <c r="M150" s="126"/>
      <c r="N150" s="126"/>
      <c r="O150" s="126"/>
      <c r="P150" s="126"/>
      <c r="Q150" s="126"/>
      <c r="R150" s="126"/>
      <c r="S150" s="126"/>
      <c r="T150" s="126"/>
      <c r="U150" s="126"/>
      <c r="V150" s="126"/>
      <c r="W150" s="126"/>
      <c r="X150" s="126"/>
      <c r="Y150" s="126"/>
      <c r="Z150" s="126"/>
      <c r="AA150" s="126"/>
      <c r="AB150" s="126"/>
      <c r="AC150" s="126"/>
      <c r="AD150" s="126"/>
      <c r="AE150" s="126"/>
      <c r="AF150" s="126"/>
      <c r="AG150" s="126"/>
      <c r="AH150" s="126"/>
      <c r="AI150" s="126"/>
      <c r="AJ150" s="126"/>
      <c r="AK150" s="126"/>
      <c r="AL150" s="126"/>
      <c r="AM150" s="126"/>
      <c r="AN150" s="126"/>
      <c r="AO150" s="126"/>
    </row>
    <row r="151">
      <c r="A151" s="158"/>
      <c r="B151" s="158"/>
      <c r="C151" s="158"/>
      <c r="D151" s="158"/>
      <c r="E151" s="158"/>
      <c r="F151" s="158"/>
      <c r="G151" s="158"/>
      <c r="H151" s="158"/>
      <c r="I151" s="145"/>
      <c r="J151" s="158"/>
      <c r="K151" s="158"/>
      <c r="L151" s="126"/>
      <c r="M151" s="126"/>
      <c r="N151" s="126"/>
      <c r="O151" s="126"/>
      <c r="P151" s="126"/>
      <c r="Q151" s="126"/>
      <c r="R151" s="126"/>
      <c r="S151" s="126"/>
      <c r="T151" s="126"/>
      <c r="U151" s="126"/>
      <c r="V151" s="126"/>
      <c r="W151" s="126"/>
      <c r="X151" s="126"/>
      <c r="Y151" s="126"/>
      <c r="Z151" s="126"/>
      <c r="AA151" s="126"/>
      <c r="AB151" s="126"/>
      <c r="AC151" s="126"/>
      <c r="AD151" s="126"/>
      <c r="AE151" s="126"/>
      <c r="AF151" s="126"/>
      <c r="AG151" s="126"/>
      <c r="AH151" s="126"/>
      <c r="AI151" s="126"/>
      <c r="AJ151" s="126"/>
      <c r="AK151" s="126"/>
      <c r="AL151" s="126"/>
      <c r="AM151" s="126"/>
      <c r="AN151" s="126"/>
      <c r="AO151" s="126"/>
    </row>
    <row r="152">
      <c r="A152" s="158"/>
      <c r="B152" s="158"/>
      <c r="C152" s="158"/>
      <c r="D152" s="158"/>
      <c r="E152" s="158"/>
      <c r="F152" s="158"/>
      <c r="G152" s="158"/>
      <c r="H152" s="158"/>
      <c r="I152" s="145"/>
      <c r="J152" s="158"/>
      <c r="K152" s="158"/>
      <c r="L152" s="126"/>
      <c r="M152" s="126"/>
      <c r="N152" s="126"/>
      <c r="O152" s="126"/>
      <c r="P152" s="126"/>
      <c r="Q152" s="126"/>
      <c r="R152" s="126"/>
      <c r="S152" s="126"/>
      <c r="T152" s="126"/>
      <c r="U152" s="126"/>
      <c r="V152" s="126"/>
      <c r="W152" s="126"/>
      <c r="X152" s="126"/>
      <c r="Y152" s="126"/>
      <c r="Z152" s="126"/>
      <c r="AA152" s="126"/>
      <c r="AB152" s="126"/>
      <c r="AC152" s="126"/>
      <c r="AD152" s="126"/>
      <c r="AE152" s="126"/>
      <c r="AF152" s="126"/>
      <c r="AG152" s="126"/>
      <c r="AH152" s="126"/>
      <c r="AI152" s="126"/>
      <c r="AJ152" s="126"/>
      <c r="AK152" s="126"/>
      <c r="AL152" s="126"/>
      <c r="AM152" s="126"/>
      <c r="AN152" s="126"/>
      <c r="AO152" s="126"/>
    </row>
    <row r="153">
      <c r="A153" s="158"/>
      <c r="B153" s="158"/>
      <c r="C153" s="158"/>
      <c r="D153" s="158"/>
      <c r="E153" s="158"/>
      <c r="F153" s="158"/>
      <c r="G153" s="158"/>
      <c r="H153" s="158"/>
      <c r="I153" s="145"/>
      <c r="J153" s="158"/>
      <c r="K153" s="158"/>
      <c r="L153" s="126"/>
      <c r="M153" s="126"/>
      <c r="N153" s="126"/>
      <c r="O153" s="126"/>
      <c r="P153" s="126"/>
      <c r="Q153" s="126"/>
      <c r="R153" s="126"/>
      <c r="S153" s="126"/>
      <c r="T153" s="126"/>
      <c r="U153" s="126"/>
      <c r="V153" s="126"/>
      <c r="W153" s="126"/>
      <c r="X153" s="126"/>
      <c r="Y153" s="126"/>
      <c r="Z153" s="126"/>
      <c r="AA153" s="126"/>
      <c r="AB153" s="126"/>
      <c r="AC153" s="126"/>
      <c r="AD153" s="126"/>
      <c r="AE153" s="126"/>
      <c r="AF153" s="126"/>
      <c r="AG153" s="126"/>
      <c r="AH153" s="126"/>
      <c r="AI153" s="126"/>
      <c r="AJ153" s="126"/>
      <c r="AK153" s="126"/>
      <c r="AL153" s="126"/>
      <c r="AM153" s="126"/>
      <c r="AN153" s="126"/>
      <c r="AO153" s="126"/>
    </row>
    <row r="154">
      <c r="A154" s="158"/>
      <c r="B154" s="158"/>
      <c r="C154" s="158"/>
      <c r="D154" s="158"/>
      <c r="E154" s="158"/>
      <c r="F154" s="158"/>
      <c r="G154" s="158"/>
      <c r="H154" s="158"/>
      <c r="I154" s="145"/>
      <c r="J154" s="158"/>
      <c r="K154" s="158"/>
      <c r="L154" s="126"/>
      <c r="M154" s="126"/>
      <c r="N154" s="126"/>
      <c r="O154" s="126"/>
      <c r="P154" s="126"/>
      <c r="Q154" s="126"/>
      <c r="R154" s="126"/>
      <c r="S154" s="126"/>
      <c r="T154" s="126"/>
      <c r="U154" s="126"/>
      <c r="V154" s="126"/>
      <c r="W154" s="126"/>
      <c r="X154" s="126"/>
      <c r="Y154" s="126"/>
      <c r="Z154" s="126"/>
      <c r="AA154" s="126"/>
      <c r="AB154" s="126"/>
      <c r="AC154" s="126"/>
      <c r="AD154" s="126"/>
      <c r="AE154" s="126"/>
      <c r="AF154" s="126"/>
      <c r="AG154" s="126"/>
      <c r="AH154" s="126"/>
      <c r="AI154" s="126"/>
      <c r="AJ154" s="126"/>
      <c r="AK154" s="126"/>
      <c r="AL154" s="126"/>
      <c r="AM154" s="126"/>
      <c r="AN154" s="126"/>
      <c r="AO154" s="126"/>
    </row>
    <row r="155">
      <c r="A155" s="158"/>
      <c r="B155" s="158"/>
      <c r="C155" s="158"/>
      <c r="D155" s="158"/>
      <c r="E155" s="158"/>
      <c r="F155" s="158"/>
      <c r="G155" s="158"/>
      <c r="H155" s="158"/>
      <c r="I155" s="145"/>
      <c r="J155" s="158"/>
      <c r="K155" s="158"/>
      <c r="L155" s="126"/>
      <c r="M155" s="126"/>
      <c r="N155" s="126"/>
      <c r="O155" s="126"/>
      <c r="P155" s="126"/>
      <c r="Q155" s="126"/>
      <c r="R155" s="126"/>
      <c r="S155" s="126"/>
      <c r="T155" s="126"/>
      <c r="U155" s="126"/>
      <c r="V155" s="126"/>
      <c r="W155" s="126"/>
      <c r="X155" s="126"/>
      <c r="Y155" s="126"/>
      <c r="Z155" s="126"/>
      <c r="AA155" s="126"/>
      <c r="AB155" s="126"/>
      <c r="AC155" s="126"/>
      <c r="AD155" s="126"/>
      <c r="AE155" s="126"/>
      <c r="AF155" s="126"/>
      <c r="AG155" s="126"/>
      <c r="AH155" s="126"/>
      <c r="AI155" s="126"/>
      <c r="AJ155" s="126"/>
      <c r="AK155" s="126"/>
      <c r="AL155" s="126"/>
      <c r="AM155" s="126"/>
      <c r="AN155" s="126"/>
      <c r="AO155" s="126"/>
    </row>
    <row r="156">
      <c r="A156" s="158"/>
      <c r="B156" s="158"/>
      <c r="C156" s="158"/>
      <c r="D156" s="158"/>
      <c r="E156" s="158"/>
      <c r="F156" s="158"/>
      <c r="G156" s="158"/>
      <c r="H156" s="158"/>
      <c r="I156" s="145"/>
      <c r="J156" s="158"/>
      <c r="K156" s="158"/>
      <c r="L156" s="126"/>
      <c r="M156" s="126"/>
      <c r="N156" s="126"/>
      <c r="O156" s="126"/>
      <c r="P156" s="126"/>
      <c r="Q156" s="126"/>
      <c r="R156" s="126"/>
      <c r="S156" s="126"/>
      <c r="T156" s="126"/>
      <c r="U156" s="126"/>
      <c r="V156" s="126"/>
      <c r="W156" s="126"/>
      <c r="X156" s="126"/>
      <c r="Y156" s="126"/>
      <c r="Z156" s="126"/>
      <c r="AA156" s="126"/>
      <c r="AB156" s="126"/>
      <c r="AC156" s="126"/>
      <c r="AD156" s="126"/>
      <c r="AE156" s="126"/>
      <c r="AF156" s="126"/>
      <c r="AG156" s="126"/>
      <c r="AH156" s="126"/>
      <c r="AI156" s="126"/>
      <c r="AJ156" s="126"/>
      <c r="AK156" s="126"/>
      <c r="AL156" s="126"/>
      <c r="AM156" s="126"/>
      <c r="AN156" s="126"/>
      <c r="AO156" s="126"/>
    </row>
    <row r="157">
      <c r="A157" s="158"/>
      <c r="B157" s="158"/>
      <c r="C157" s="158"/>
      <c r="D157" s="158"/>
      <c r="E157" s="158"/>
      <c r="F157" s="158"/>
      <c r="G157" s="158"/>
      <c r="H157" s="158"/>
      <c r="I157" s="145"/>
      <c r="J157" s="158"/>
      <c r="K157" s="158"/>
      <c r="L157" s="126"/>
      <c r="M157" s="126"/>
      <c r="N157" s="126"/>
      <c r="O157" s="126"/>
      <c r="P157" s="126"/>
      <c r="Q157" s="126"/>
      <c r="R157" s="126"/>
      <c r="S157" s="126"/>
      <c r="T157" s="126"/>
      <c r="U157" s="126"/>
      <c r="V157" s="126"/>
      <c r="W157" s="126"/>
      <c r="X157" s="126"/>
      <c r="Y157" s="126"/>
      <c r="Z157" s="126"/>
      <c r="AA157" s="126"/>
      <c r="AB157" s="126"/>
      <c r="AC157" s="126"/>
      <c r="AD157" s="126"/>
      <c r="AE157" s="126"/>
      <c r="AF157" s="126"/>
      <c r="AG157" s="126"/>
      <c r="AH157" s="126"/>
      <c r="AI157" s="126"/>
      <c r="AJ157" s="126"/>
      <c r="AK157" s="126"/>
      <c r="AL157" s="126"/>
      <c r="AM157" s="126"/>
      <c r="AN157" s="126"/>
      <c r="AO157" s="126"/>
    </row>
    <row r="158">
      <c r="A158" s="158"/>
      <c r="B158" s="158"/>
      <c r="C158" s="158"/>
      <c r="D158" s="158"/>
      <c r="E158" s="158"/>
      <c r="F158" s="158"/>
      <c r="G158" s="158"/>
      <c r="H158" s="158"/>
      <c r="I158" s="145"/>
      <c r="J158" s="158"/>
      <c r="K158" s="158"/>
      <c r="L158" s="126"/>
      <c r="M158" s="126"/>
      <c r="N158" s="126"/>
      <c r="O158" s="126"/>
      <c r="P158" s="126"/>
      <c r="Q158" s="126"/>
      <c r="R158" s="126"/>
      <c r="S158" s="126"/>
      <c r="T158" s="126"/>
      <c r="U158" s="126"/>
      <c r="V158" s="126"/>
      <c r="W158" s="126"/>
      <c r="X158" s="126"/>
      <c r="Y158" s="126"/>
      <c r="Z158" s="126"/>
      <c r="AA158" s="126"/>
      <c r="AB158" s="126"/>
      <c r="AC158" s="126"/>
      <c r="AD158" s="126"/>
      <c r="AE158" s="126"/>
      <c r="AF158" s="126"/>
      <c r="AG158" s="126"/>
      <c r="AH158" s="126"/>
      <c r="AI158" s="126"/>
      <c r="AJ158" s="126"/>
      <c r="AK158" s="126"/>
      <c r="AL158" s="126"/>
      <c r="AM158" s="126"/>
      <c r="AN158" s="126"/>
      <c r="AO158" s="126"/>
    </row>
    <row r="159">
      <c r="A159" s="158"/>
      <c r="B159" s="158"/>
      <c r="C159" s="158"/>
      <c r="D159" s="158"/>
      <c r="E159" s="158"/>
      <c r="F159" s="158"/>
      <c r="G159" s="158"/>
      <c r="H159" s="158"/>
      <c r="I159" s="145"/>
      <c r="J159" s="158"/>
      <c r="K159" s="158"/>
      <c r="L159" s="126"/>
      <c r="M159" s="126"/>
      <c r="N159" s="126"/>
      <c r="O159" s="126"/>
      <c r="P159" s="126"/>
      <c r="Q159" s="126"/>
      <c r="R159" s="126"/>
      <c r="S159" s="126"/>
      <c r="T159" s="126"/>
      <c r="U159" s="126"/>
      <c r="V159" s="126"/>
      <c r="W159" s="126"/>
      <c r="X159" s="126"/>
      <c r="Y159" s="126"/>
      <c r="Z159" s="126"/>
      <c r="AA159" s="126"/>
      <c r="AB159" s="126"/>
      <c r="AC159" s="126"/>
      <c r="AD159" s="126"/>
      <c r="AE159" s="126"/>
      <c r="AF159" s="126"/>
      <c r="AG159" s="126"/>
      <c r="AH159" s="126"/>
      <c r="AI159" s="126"/>
      <c r="AJ159" s="126"/>
      <c r="AK159" s="126"/>
      <c r="AL159" s="126"/>
      <c r="AM159" s="126"/>
      <c r="AN159" s="126"/>
      <c r="AO159" s="126"/>
    </row>
    <row r="160">
      <c r="A160" s="158"/>
      <c r="B160" s="158"/>
      <c r="C160" s="158"/>
      <c r="D160" s="158"/>
      <c r="E160" s="158"/>
      <c r="F160" s="158"/>
      <c r="G160" s="158"/>
      <c r="H160" s="158"/>
      <c r="I160" s="145"/>
      <c r="J160" s="158"/>
      <c r="K160" s="158"/>
      <c r="L160" s="126"/>
      <c r="M160" s="126"/>
      <c r="N160" s="126"/>
      <c r="O160" s="126"/>
      <c r="P160" s="126"/>
      <c r="Q160" s="126"/>
      <c r="R160" s="126"/>
      <c r="S160" s="126"/>
      <c r="T160" s="126"/>
      <c r="U160" s="126"/>
      <c r="V160" s="126"/>
      <c r="W160" s="126"/>
      <c r="X160" s="126"/>
      <c r="Y160" s="126"/>
      <c r="Z160" s="126"/>
      <c r="AA160" s="126"/>
      <c r="AB160" s="126"/>
      <c r="AC160" s="126"/>
      <c r="AD160" s="126"/>
      <c r="AE160" s="126"/>
      <c r="AF160" s="126"/>
      <c r="AG160" s="126"/>
      <c r="AH160" s="126"/>
      <c r="AI160" s="126"/>
      <c r="AJ160" s="126"/>
      <c r="AK160" s="126"/>
      <c r="AL160" s="126"/>
      <c r="AM160" s="126"/>
      <c r="AN160" s="126"/>
      <c r="AO160" s="126"/>
    </row>
    <row r="161">
      <c r="A161" s="158"/>
      <c r="B161" s="158"/>
      <c r="C161" s="158"/>
      <c r="D161" s="158"/>
      <c r="E161" s="158"/>
      <c r="F161" s="158"/>
      <c r="G161" s="158"/>
      <c r="H161" s="158"/>
      <c r="I161" s="145"/>
      <c r="J161" s="158"/>
      <c r="K161" s="158"/>
      <c r="L161" s="126"/>
      <c r="M161" s="126"/>
      <c r="N161" s="126"/>
      <c r="O161" s="126"/>
      <c r="P161" s="126"/>
      <c r="Q161" s="126"/>
      <c r="R161" s="126"/>
      <c r="S161" s="126"/>
      <c r="T161" s="126"/>
      <c r="U161" s="126"/>
      <c r="V161" s="126"/>
      <c r="W161" s="126"/>
      <c r="X161" s="126"/>
      <c r="Y161" s="126"/>
      <c r="Z161" s="126"/>
      <c r="AA161" s="126"/>
      <c r="AB161" s="126"/>
      <c r="AC161" s="126"/>
      <c r="AD161" s="126"/>
      <c r="AE161" s="126"/>
      <c r="AF161" s="126"/>
      <c r="AG161" s="126"/>
      <c r="AH161" s="126"/>
      <c r="AI161" s="126"/>
      <c r="AJ161" s="126"/>
      <c r="AK161" s="126"/>
      <c r="AL161" s="126"/>
      <c r="AM161" s="126"/>
      <c r="AN161" s="126"/>
      <c r="AO161" s="126"/>
    </row>
    <row r="162">
      <c r="A162" s="158"/>
      <c r="B162" s="158"/>
      <c r="C162" s="158"/>
      <c r="D162" s="158"/>
      <c r="E162" s="158"/>
      <c r="F162" s="158"/>
      <c r="G162" s="158"/>
      <c r="H162" s="158"/>
      <c r="I162" s="145"/>
      <c r="J162" s="158"/>
      <c r="K162" s="158"/>
      <c r="L162" s="126"/>
      <c r="M162" s="126"/>
      <c r="N162" s="126"/>
      <c r="O162" s="126"/>
      <c r="P162" s="126"/>
      <c r="Q162" s="126"/>
      <c r="R162" s="126"/>
      <c r="S162" s="126"/>
      <c r="T162" s="126"/>
      <c r="U162" s="126"/>
      <c r="V162" s="126"/>
      <c r="W162" s="126"/>
      <c r="X162" s="126"/>
      <c r="Y162" s="126"/>
      <c r="Z162" s="126"/>
      <c r="AA162" s="126"/>
      <c r="AB162" s="126"/>
      <c r="AC162" s="126"/>
      <c r="AD162" s="126"/>
      <c r="AE162" s="126"/>
      <c r="AF162" s="126"/>
      <c r="AG162" s="126"/>
      <c r="AH162" s="126"/>
      <c r="AI162" s="126"/>
      <c r="AJ162" s="126"/>
      <c r="AK162" s="126"/>
      <c r="AL162" s="126"/>
      <c r="AM162" s="126"/>
      <c r="AN162" s="126"/>
      <c r="AO162" s="126"/>
    </row>
    <row r="163">
      <c r="A163" s="158"/>
      <c r="B163" s="158"/>
      <c r="C163" s="158"/>
      <c r="D163" s="158"/>
      <c r="E163" s="158"/>
      <c r="F163" s="158"/>
      <c r="G163" s="158"/>
      <c r="H163" s="158"/>
      <c r="I163" s="145"/>
      <c r="J163" s="158"/>
      <c r="K163" s="158"/>
      <c r="L163" s="126"/>
      <c r="M163" s="126"/>
      <c r="N163" s="126"/>
      <c r="O163" s="126"/>
      <c r="P163" s="126"/>
      <c r="Q163" s="126"/>
      <c r="R163" s="126"/>
      <c r="S163" s="126"/>
      <c r="T163" s="126"/>
      <c r="U163" s="126"/>
      <c r="V163" s="126"/>
      <c r="W163" s="126"/>
      <c r="X163" s="126"/>
      <c r="Y163" s="126"/>
      <c r="Z163" s="126"/>
      <c r="AA163" s="126"/>
      <c r="AB163" s="126"/>
      <c r="AC163" s="126"/>
      <c r="AD163" s="126"/>
      <c r="AE163" s="126"/>
      <c r="AF163" s="126"/>
      <c r="AG163" s="126"/>
      <c r="AH163" s="126"/>
      <c r="AI163" s="126"/>
      <c r="AJ163" s="126"/>
      <c r="AK163" s="126"/>
      <c r="AL163" s="126"/>
      <c r="AM163" s="126"/>
      <c r="AN163" s="126"/>
      <c r="AO163" s="126"/>
    </row>
    <row r="164">
      <c r="A164" s="158"/>
      <c r="B164" s="158"/>
      <c r="C164" s="158"/>
      <c r="D164" s="158"/>
      <c r="E164" s="158"/>
      <c r="F164" s="158"/>
      <c r="G164" s="158"/>
      <c r="H164" s="158"/>
      <c r="I164" s="145"/>
      <c r="J164" s="158"/>
      <c r="K164" s="158"/>
      <c r="L164" s="126"/>
      <c r="M164" s="126"/>
      <c r="N164" s="126"/>
      <c r="O164" s="126"/>
      <c r="P164" s="126"/>
      <c r="Q164" s="126"/>
      <c r="R164" s="126"/>
      <c r="S164" s="126"/>
      <c r="T164" s="126"/>
      <c r="U164" s="126"/>
      <c r="V164" s="126"/>
      <c r="W164" s="126"/>
      <c r="X164" s="126"/>
      <c r="Y164" s="126"/>
      <c r="Z164" s="126"/>
      <c r="AA164" s="126"/>
      <c r="AB164" s="126"/>
      <c r="AC164" s="126"/>
      <c r="AD164" s="126"/>
      <c r="AE164" s="126"/>
      <c r="AF164" s="126"/>
      <c r="AG164" s="126"/>
      <c r="AH164" s="126"/>
      <c r="AI164" s="126"/>
      <c r="AJ164" s="126"/>
      <c r="AK164" s="126"/>
      <c r="AL164" s="126"/>
      <c r="AM164" s="126"/>
      <c r="AN164" s="126"/>
      <c r="AO164" s="126"/>
    </row>
    <row r="165">
      <c r="A165" s="158"/>
      <c r="B165" s="158"/>
      <c r="C165" s="158"/>
      <c r="D165" s="158"/>
      <c r="E165" s="158"/>
      <c r="F165" s="158"/>
      <c r="G165" s="158"/>
      <c r="H165" s="158"/>
      <c r="I165" s="145"/>
      <c r="J165" s="158"/>
      <c r="K165" s="158"/>
      <c r="L165" s="126"/>
      <c r="M165" s="126"/>
      <c r="N165" s="126"/>
      <c r="O165" s="126"/>
      <c r="P165" s="126"/>
      <c r="Q165" s="126"/>
      <c r="R165" s="126"/>
      <c r="S165" s="126"/>
      <c r="T165" s="126"/>
      <c r="U165" s="126"/>
      <c r="V165" s="126"/>
      <c r="W165" s="126"/>
      <c r="X165" s="126"/>
      <c r="Y165" s="126"/>
      <c r="Z165" s="126"/>
      <c r="AA165" s="126"/>
      <c r="AB165" s="126"/>
      <c r="AC165" s="126"/>
      <c r="AD165" s="126"/>
      <c r="AE165" s="126"/>
      <c r="AF165" s="126"/>
      <c r="AG165" s="126"/>
      <c r="AH165" s="126"/>
      <c r="AI165" s="126"/>
      <c r="AJ165" s="126"/>
      <c r="AK165" s="126"/>
      <c r="AL165" s="126"/>
      <c r="AM165" s="126"/>
      <c r="AN165" s="126"/>
      <c r="AO165" s="126"/>
    </row>
    <row r="166">
      <c r="A166" s="158"/>
      <c r="B166" s="158"/>
      <c r="C166" s="158"/>
      <c r="D166" s="158"/>
      <c r="E166" s="158"/>
      <c r="F166" s="158"/>
      <c r="G166" s="158"/>
      <c r="H166" s="158"/>
      <c r="I166" s="145"/>
      <c r="J166" s="158"/>
      <c r="K166" s="158"/>
      <c r="L166" s="126"/>
      <c r="M166" s="126"/>
      <c r="N166" s="126"/>
      <c r="O166" s="126"/>
      <c r="P166" s="126"/>
      <c r="Q166" s="126"/>
      <c r="R166" s="126"/>
      <c r="S166" s="126"/>
      <c r="T166" s="126"/>
      <c r="U166" s="126"/>
      <c r="V166" s="126"/>
      <c r="W166" s="126"/>
      <c r="X166" s="126"/>
      <c r="Y166" s="126"/>
      <c r="Z166" s="126"/>
      <c r="AA166" s="126"/>
      <c r="AB166" s="126"/>
      <c r="AC166" s="126"/>
      <c r="AD166" s="126"/>
      <c r="AE166" s="126"/>
      <c r="AF166" s="126"/>
      <c r="AG166" s="126"/>
      <c r="AH166" s="126"/>
      <c r="AI166" s="126"/>
      <c r="AJ166" s="126"/>
      <c r="AK166" s="126"/>
      <c r="AL166" s="126"/>
      <c r="AM166" s="126"/>
      <c r="AN166" s="126"/>
      <c r="AO166" s="126"/>
    </row>
    <row r="167">
      <c r="A167" s="158"/>
      <c r="B167" s="158"/>
      <c r="C167" s="158"/>
      <c r="D167" s="158"/>
      <c r="E167" s="158"/>
      <c r="F167" s="158"/>
      <c r="G167" s="158"/>
      <c r="H167" s="158"/>
      <c r="I167" s="145"/>
      <c r="J167" s="158"/>
      <c r="K167" s="158"/>
      <c r="L167" s="126"/>
      <c r="M167" s="126"/>
      <c r="N167" s="126"/>
      <c r="O167" s="126"/>
      <c r="P167" s="126"/>
      <c r="Q167" s="126"/>
      <c r="R167" s="126"/>
      <c r="S167" s="126"/>
      <c r="T167" s="126"/>
      <c r="U167" s="126"/>
      <c r="V167" s="126"/>
      <c r="W167" s="126"/>
      <c r="X167" s="126"/>
      <c r="Y167" s="126"/>
      <c r="Z167" s="126"/>
      <c r="AA167" s="126"/>
      <c r="AB167" s="126"/>
      <c r="AC167" s="126"/>
      <c r="AD167" s="126"/>
      <c r="AE167" s="126"/>
      <c r="AF167" s="126"/>
      <c r="AG167" s="126"/>
      <c r="AH167" s="126"/>
      <c r="AI167" s="126"/>
      <c r="AJ167" s="126"/>
      <c r="AK167" s="126"/>
      <c r="AL167" s="126"/>
      <c r="AM167" s="126"/>
      <c r="AN167" s="126"/>
      <c r="AO167" s="126"/>
    </row>
    <row r="168">
      <c r="A168" s="158"/>
      <c r="B168" s="158"/>
      <c r="C168" s="158"/>
      <c r="D168" s="158"/>
      <c r="E168" s="158"/>
      <c r="F168" s="158"/>
      <c r="G168" s="158"/>
      <c r="H168" s="158"/>
      <c r="I168" s="145"/>
      <c r="J168" s="158"/>
      <c r="K168" s="158"/>
      <c r="L168" s="126"/>
      <c r="M168" s="126"/>
      <c r="N168" s="126"/>
      <c r="O168" s="126"/>
      <c r="P168" s="126"/>
      <c r="Q168" s="126"/>
      <c r="R168" s="126"/>
      <c r="S168" s="126"/>
      <c r="T168" s="126"/>
      <c r="U168" s="126"/>
      <c r="V168" s="126"/>
      <c r="W168" s="126"/>
      <c r="X168" s="126"/>
      <c r="Y168" s="126"/>
      <c r="Z168" s="126"/>
      <c r="AA168" s="126"/>
      <c r="AB168" s="126"/>
      <c r="AC168" s="126"/>
      <c r="AD168" s="126"/>
      <c r="AE168" s="126"/>
      <c r="AF168" s="126"/>
      <c r="AG168" s="126"/>
      <c r="AH168" s="126"/>
      <c r="AI168" s="126"/>
      <c r="AJ168" s="126"/>
      <c r="AK168" s="126"/>
      <c r="AL168" s="126"/>
      <c r="AM168" s="126"/>
      <c r="AN168" s="126"/>
      <c r="AO168" s="126"/>
    </row>
    <row r="169">
      <c r="A169" s="158"/>
      <c r="B169" s="158"/>
      <c r="C169" s="158"/>
      <c r="D169" s="158"/>
      <c r="E169" s="158"/>
      <c r="F169" s="158"/>
      <c r="G169" s="158"/>
      <c r="H169" s="158"/>
      <c r="I169" s="145"/>
      <c r="J169" s="158"/>
      <c r="K169" s="158"/>
      <c r="L169" s="126"/>
      <c r="M169" s="126"/>
      <c r="N169" s="126"/>
      <c r="O169" s="126"/>
      <c r="P169" s="126"/>
      <c r="Q169" s="126"/>
      <c r="R169" s="126"/>
      <c r="S169" s="126"/>
      <c r="T169" s="126"/>
      <c r="U169" s="126"/>
      <c r="V169" s="126"/>
      <c r="W169" s="126"/>
      <c r="X169" s="126"/>
      <c r="Y169" s="126"/>
      <c r="Z169" s="126"/>
      <c r="AA169" s="126"/>
      <c r="AB169" s="126"/>
      <c r="AC169" s="126"/>
      <c r="AD169" s="126"/>
      <c r="AE169" s="126"/>
      <c r="AF169" s="126"/>
      <c r="AG169" s="126"/>
      <c r="AH169" s="126"/>
      <c r="AI169" s="126"/>
      <c r="AJ169" s="126"/>
      <c r="AK169" s="126"/>
      <c r="AL169" s="126"/>
      <c r="AM169" s="126"/>
      <c r="AN169" s="126"/>
      <c r="AO169" s="126"/>
    </row>
    <row r="170">
      <c r="A170" s="158"/>
      <c r="B170" s="158"/>
      <c r="C170" s="158"/>
      <c r="D170" s="158"/>
      <c r="E170" s="158"/>
      <c r="F170" s="158"/>
      <c r="G170" s="158"/>
      <c r="H170" s="158"/>
      <c r="I170" s="145"/>
      <c r="J170" s="158"/>
      <c r="K170" s="158"/>
      <c r="L170" s="126"/>
      <c r="M170" s="126"/>
      <c r="N170" s="126"/>
      <c r="O170" s="126"/>
      <c r="P170" s="126"/>
      <c r="Q170" s="126"/>
      <c r="R170" s="126"/>
      <c r="S170" s="126"/>
      <c r="T170" s="126"/>
      <c r="U170" s="126"/>
      <c r="V170" s="126"/>
      <c r="W170" s="126"/>
      <c r="X170" s="126"/>
      <c r="Y170" s="126"/>
      <c r="Z170" s="126"/>
      <c r="AA170" s="126"/>
      <c r="AB170" s="126"/>
      <c r="AC170" s="126"/>
      <c r="AD170" s="126"/>
      <c r="AE170" s="126"/>
      <c r="AF170" s="126"/>
      <c r="AG170" s="126"/>
      <c r="AH170" s="126"/>
      <c r="AI170" s="126"/>
      <c r="AJ170" s="126"/>
      <c r="AK170" s="126"/>
      <c r="AL170" s="126"/>
      <c r="AM170" s="126"/>
      <c r="AN170" s="126"/>
      <c r="AO170" s="126"/>
    </row>
    <row r="171">
      <c r="A171" s="158"/>
      <c r="B171" s="158"/>
      <c r="C171" s="158"/>
      <c r="D171" s="158"/>
      <c r="E171" s="158"/>
      <c r="F171" s="158"/>
      <c r="G171" s="158"/>
      <c r="H171" s="158"/>
      <c r="I171" s="145"/>
      <c r="J171" s="158"/>
      <c r="K171" s="158"/>
      <c r="L171" s="126"/>
      <c r="M171" s="126"/>
      <c r="N171" s="126"/>
      <c r="O171" s="126"/>
      <c r="P171" s="126"/>
      <c r="Q171" s="126"/>
      <c r="R171" s="126"/>
      <c r="S171" s="126"/>
      <c r="T171" s="126"/>
      <c r="U171" s="126"/>
      <c r="V171" s="126"/>
      <c r="W171" s="126"/>
      <c r="X171" s="126"/>
      <c r="Y171" s="126"/>
      <c r="Z171" s="126"/>
      <c r="AA171" s="126"/>
      <c r="AB171" s="126"/>
      <c r="AC171" s="126"/>
      <c r="AD171" s="126"/>
      <c r="AE171" s="126"/>
      <c r="AF171" s="126"/>
      <c r="AG171" s="126"/>
      <c r="AH171" s="126"/>
      <c r="AI171" s="126"/>
      <c r="AJ171" s="126"/>
      <c r="AK171" s="126"/>
      <c r="AL171" s="126"/>
      <c r="AM171" s="126"/>
      <c r="AN171" s="126"/>
      <c r="AO171" s="126"/>
    </row>
    <row r="172">
      <c r="A172" s="158"/>
      <c r="B172" s="158"/>
      <c r="C172" s="158"/>
      <c r="D172" s="158"/>
      <c r="E172" s="158"/>
      <c r="F172" s="158"/>
      <c r="G172" s="158"/>
      <c r="H172" s="158"/>
      <c r="I172" s="145"/>
      <c r="J172" s="158"/>
      <c r="K172" s="158"/>
      <c r="L172" s="126"/>
      <c r="M172" s="126"/>
      <c r="N172" s="126"/>
      <c r="O172" s="126"/>
      <c r="P172" s="126"/>
      <c r="Q172" s="126"/>
      <c r="R172" s="126"/>
      <c r="S172" s="126"/>
      <c r="T172" s="126"/>
      <c r="U172" s="126"/>
      <c r="V172" s="126"/>
      <c r="W172" s="126"/>
      <c r="X172" s="126"/>
      <c r="Y172" s="126"/>
      <c r="Z172" s="126"/>
      <c r="AA172" s="126"/>
      <c r="AB172" s="126"/>
      <c r="AC172" s="126"/>
      <c r="AD172" s="126"/>
      <c r="AE172" s="126"/>
      <c r="AF172" s="126"/>
      <c r="AG172" s="126"/>
      <c r="AH172" s="126"/>
      <c r="AI172" s="126"/>
      <c r="AJ172" s="126"/>
      <c r="AK172" s="126"/>
      <c r="AL172" s="126"/>
      <c r="AM172" s="126"/>
      <c r="AN172" s="126"/>
      <c r="AO172" s="126"/>
    </row>
    <row r="173">
      <c r="A173" s="158"/>
      <c r="B173" s="158"/>
      <c r="C173" s="158"/>
      <c r="D173" s="158"/>
      <c r="E173" s="158"/>
      <c r="F173" s="158"/>
      <c r="G173" s="158"/>
      <c r="H173" s="158"/>
      <c r="I173" s="145"/>
      <c r="J173" s="158"/>
      <c r="K173" s="158"/>
      <c r="L173" s="126"/>
      <c r="M173" s="126"/>
      <c r="N173" s="126"/>
      <c r="O173" s="126"/>
      <c r="P173" s="126"/>
      <c r="Q173" s="126"/>
      <c r="R173" s="126"/>
      <c r="S173" s="126"/>
      <c r="T173" s="126"/>
      <c r="U173" s="126"/>
      <c r="V173" s="126"/>
      <c r="W173" s="126"/>
      <c r="X173" s="126"/>
      <c r="Y173" s="126"/>
      <c r="Z173" s="126"/>
      <c r="AA173" s="126"/>
      <c r="AB173" s="126"/>
      <c r="AC173" s="126"/>
      <c r="AD173" s="126"/>
      <c r="AE173" s="126"/>
      <c r="AF173" s="126"/>
      <c r="AG173" s="126"/>
      <c r="AH173" s="126"/>
      <c r="AI173" s="126"/>
      <c r="AJ173" s="126"/>
      <c r="AK173" s="126"/>
      <c r="AL173" s="126"/>
      <c r="AM173" s="126"/>
      <c r="AN173" s="126"/>
      <c r="AO173" s="126"/>
    </row>
    <row r="174">
      <c r="A174" s="158"/>
      <c r="B174" s="158"/>
      <c r="C174" s="158"/>
      <c r="D174" s="158"/>
      <c r="E174" s="158"/>
      <c r="F174" s="158"/>
      <c r="G174" s="158"/>
      <c r="H174" s="158"/>
      <c r="I174" s="145"/>
      <c r="J174" s="158"/>
      <c r="K174" s="158"/>
      <c r="L174" s="126"/>
      <c r="M174" s="126"/>
      <c r="N174" s="126"/>
      <c r="O174" s="126"/>
      <c r="P174" s="126"/>
      <c r="Q174" s="126"/>
      <c r="R174" s="126"/>
      <c r="S174" s="126"/>
      <c r="T174" s="126"/>
      <c r="U174" s="126"/>
      <c r="V174" s="126"/>
      <c r="W174" s="126"/>
      <c r="X174" s="126"/>
      <c r="Y174" s="126"/>
      <c r="Z174" s="126"/>
      <c r="AA174" s="126"/>
      <c r="AB174" s="126"/>
      <c r="AC174" s="126"/>
      <c r="AD174" s="126"/>
      <c r="AE174" s="126"/>
      <c r="AF174" s="126"/>
      <c r="AG174" s="126"/>
      <c r="AH174" s="126"/>
      <c r="AI174" s="126"/>
      <c r="AJ174" s="126"/>
      <c r="AK174" s="126"/>
      <c r="AL174" s="126"/>
      <c r="AM174" s="126"/>
      <c r="AN174" s="126"/>
      <c r="AO174" s="126"/>
    </row>
    <row r="175">
      <c r="A175" s="158"/>
      <c r="B175" s="158"/>
      <c r="C175" s="158"/>
      <c r="D175" s="158"/>
      <c r="E175" s="158"/>
      <c r="F175" s="158"/>
      <c r="G175" s="158"/>
      <c r="H175" s="158"/>
      <c r="I175" s="145"/>
      <c r="J175" s="158"/>
      <c r="K175" s="158"/>
      <c r="L175" s="126"/>
      <c r="M175" s="126"/>
      <c r="N175" s="126"/>
      <c r="O175" s="126"/>
      <c r="P175" s="126"/>
      <c r="Q175" s="126"/>
      <c r="R175" s="126"/>
      <c r="S175" s="126"/>
      <c r="T175" s="126"/>
      <c r="U175" s="126"/>
      <c r="V175" s="126"/>
      <c r="W175" s="126"/>
      <c r="X175" s="126"/>
      <c r="Y175" s="126"/>
      <c r="Z175" s="126"/>
      <c r="AA175" s="126"/>
      <c r="AB175" s="126"/>
      <c r="AC175" s="126"/>
      <c r="AD175" s="126"/>
      <c r="AE175" s="126"/>
      <c r="AF175" s="126"/>
      <c r="AG175" s="126"/>
      <c r="AH175" s="126"/>
      <c r="AI175" s="126"/>
      <c r="AJ175" s="126"/>
      <c r="AK175" s="126"/>
      <c r="AL175" s="126"/>
      <c r="AM175" s="126"/>
      <c r="AN175" s="126"/>
      <c r="AO175" s="126"/>
    </row>
    <row r="176">
      <c r="A176" s="158"/>
      <c r="B176" s="158"/>
      <c r="C176" s="158"/>
      <c r="D176" s="158"/>
      <c r="E176" s="158"/>
      <c r="F176" s="158"/>
      <c r="G176" s="158"/>
      <c r="H176" s="158"/>
      <c r="I176" s="145"/>
      <c r="J176" s="158"/>
      <c r="K176" s="158"/>
      <c r="L176" s="126"/>
      <c r="M176" s="126"/>
      <c r="N176" s="126"/>
      <c r="O176" s="126"/>
      <c r="P176" s="126"/>
      <c r="Q176" s="126"/>
      <c r="R176" s="126"/>
      <c r="S176" s="126"/>
      <c r="T176" s="126"/>
      <c r="U176" s="126"/>
      <c r="V176" s="126"/>
      <c r="W176" s="126"/>
      <c r="X176" s="126"/>
      <c r="Y176" s="126"/>
      <c r="Z176" s="126"/>
      <c r="AA176" s="126"/>
      <c r="AB176" s="126"/>
      <c r="AC176" s="126"/>
      <c r="AD176" s="126"/>
      <c r="AE176" s="126"/>
      <c r="AF176" s="126"/>
      <c r="AG176" s="126"/>
      <c r="AH176" s="126"/>
      <c r="AI176" s="126"/>
      <c r="AJ176" s="126"/>
      <c r="AK176" s="126"/>
      <c r="AL176" s="126"/>
      <c r="AM176" s="126"/>
      <c r="AN176" s="126"/>
      <c r="AO176" s="126"/>
    </row>
    <row r="177">
      <c r="A177" s="158"/>
      <c r="B177" s="158"/>
      <c r="C177" s="158"/>
      <c r="D177" s="158"/>
      <c r="E177" s="158"/>
      <c r="F177" s="158"/>
      <c r="G177" s="158"/>
      <c r="H177" s="158"/>
      <c r="I177" s="145"/>
      <c r="J177" s="158"/>
      <c r="K177" s="158"/>
      <c r="L177" s="126"/>
      <c r="M177" s="126"/>
      <c r="N177" s="126"/>
      <c r="O177" s="126"/>
      <c r="P177" s="126"/>
      <c r="Q177" s="126"/>
      <c r="R177" s="126"/>
      <c r="S177" s="126"/>
      <c r="T177" s="126"/>
      <c r="U177" s="126"/>
      <c r="V177" s="126"/>
      <c r="W177" s="126"/>
      <c r="X177" s="126"/>
      <c r="Y177" s="126"/>
      <c r="Z177" s="126"/>
      <c r="AA177" s="126"/>
      <c r="AB177" s="126"/>
      <c r="AC177" s="126"/>
      <c r="AD177" s="126"/>
      <c r="AE177" s="126"/>
      <c r="AF177" s="126"/>
      <c r="AG177" s="126"/>
      <c r="AH177" s="126"/>
      <c r="AI177" s="126"/>
      <c r="AJ177" s="126"/>
      <c r="AK177" s="126"/>
      <c r="AL177" s="126"/>
      <c r="AM177" s="126"/>
      <c r="AN177" s="126"/>
      <c r="AO177" s="126"/>
    </row>
    <row r="178">
      <c r="A178" s="158"/>
      <c r="B178" s="158"/>
      <c r="C178" s="158"/>
      <c r="D178" s="158"/>
      <c r="E178" s="158"/>
      <c r="F178" s="158"/>
      <c r="G178" s="158"/>
      <c r="H178" s="158"/>
      <c r="I178" s="145"/>
      <c r="J178" s="158"/>
      <c r="K178" s="158"/>
      <c r="L178" s="126"/>
      <c r="M178" s="126"/>
      <c r="N178" s="126"/>
      <c r="O178" s="126"/>
      <c r="P178" s="126"/>
      <c r="Q178" s="126"/>
      <c r="R178" s="126"/>
      <c r="S178" s="126"/>
      <c r="T178" s="126"/>
      <c r="U178" s="126"/>
      <c r="V178" s="126"/>
      <c r="W178" s="126"/>
      <c r="X178" s="126"/>
      <c r="Y178" s="126"/>
      <c r="Z178" s="126"/>
      <c r="AA178" s="126"/>
      <c r="AB178" s="126"/>
      <c r="AC178" s="126"/>
      <c r="AD178" s="126"/>
      <c r="AE178" s="126"/>
      <c r="AF178" s="126"/>
      <c r="AG178" s="126"/>
      <c r="AH178" s="126"/>
      <c r="AI178" s="126"/>
      <c r="AJ178" s="126"/>
      <c r="AK178" s="126"/>
      <c r="AL178" s="126"/>
      <c r="AM178" s="126"/>
      <c r="AN178" s="126"/>
      <c r="AO178" s="126"/>
    </row>
    <row r="179">
      <c r="A179" s="158"/>
      <c r="B179" s="158"/>
      <c r="C179" s="158"/>
      <c r="D179" s="158"/>
      <c r="E179" s="158"/>
      <c r="F179" s="158"/>
      <c r="G179" s="158"/>
      <c r="H179" s="158"/>
      <c r="I179" s="145"/>
      <c r="J179" s="158"/>
      <c r="K179" s="158"/>
      <c r="L179" s="126"/>
      <c r="M179" s="126"/>
      <c r="N179" s="126"/>
      <c r="O179" s="126"/>
      <c r="P179" s="126"/>
      <c r="Q179" s="126"/>
      <c r="R179" s="126"/>
      <c r="S179" s="126"/>
      <c r="T179" s="126"/>
      <c r="U179" s="126"/>
      <c r="V179" s="126"/>
      <c r="W179" s="126"/>
      <c r="X179" s="126"/>
      <c r="Y179" s="126"/>
      <c r="Z179" s="126"/>
      <c r="AA179" s="126"/>
      <c r="AB179" s="126"/>
      <c r="AC179" s="126"/>
      <c r="AD179" s="126"/>
      <c r="AE179" s="126"/>
      <c r="AF179" s="126"/>
      <c r="AG179" s="126"/>
      <c r="AH179" s="126"/>
      <c r="AI179" s="126"/>
      <c r="AJ179" s="126"/>
      <c r="AK179" s="126"/>
      <c r="AL179" s="126"/>
      <c r="AM179" s="126"/>
      <c r="AN179" s="126"/>
      <c r="AO179" s="126"/>
    </row>
    <row r="180">
      <c r="A180" s="158"/>
      <c r="B180" s="158"/>
      <c r="C180" s="158"/>
      <c r="D180" s="158"/>
      <c r="E180" s="158"/>
      <c r="F180" s="158"/>
      <c r="G180" s="158"/>
      <c r="H180" s="158"/>
      <c r="I180" s="145"/>
      <c r="J180" s="158"/>
      <c r="K180" s="158"/>
      <c r="L180" s="126"/>
      <c r="M180" s="126"/>
      <c r="N180" s="126"/>
      <c r="O180" s="126"/>
      <c r="P180" s="126"/>
      <c r="Q180" s="126"/>
      <c r="R180" s="126"/>
      <c r="S180" s="126"/>
      <c r="T180" s="126"/>
      <c r="U180" s="126"/>
      <c r="V180" s="126"/>
      <c r="W180" s="126"/>
      <c r="X180" s="126"/>
      <c r="Y180" s="126"/>
      <c r="Z180" s="126"/>
      <c r="AA180" s="126"/>
      <c r="AB180" s="126"/>
      <c r="AC180" s="126"/>
      <c r="AD180" s="126"/>
      <c r="AE180" s="126"/>
      <c r="AF180" s="126"/>
      <c r="AG180" s="126"/>
      <c r="AH180" s="126"/>
      <c r="AI180" s="126"/>
      <c r="AJ180" s="126"/>
      <c r="AK180" s="126"/>
      <c r="AL180" s="126"/>
      <c r="AM180" s="126"/>
      <c r="AN180" s="126"/>
      <c r="AO180" s="126"/>
    </row>
    <row r="181">
      <c r="A181" s="158"/>
      <c r="B181" s="158"/>
      <c r="C181" s="158"/>
      <c r="D181" s="158"/>
      <c r="E181" s="158"/>
      <c r="F181" s="158"/>
      <c r="G181" s="158"/>
      <c r="H181" s="158"/>
      <c r="I181" s="145"/>
      <c r="J181" s="158"/>
      <c r="K181" s="158"/>
      <c r="L181" s="126"/>
      <c r="M181" s="126"/>
      <c r="N181" s="126"/>
      <c r="O181" s="126"/>
      <c r="P181" s="126"/>
      <c r="Q181" s="126"/>
      <c r="R181" s="126"/>
      <c r="S181" s="126"/>
      <c r="T181" s="126"/>
      <c r="U181" s="126"/>
      <c r="V181" s="126"/>
      <c r="W181" s="126"/>
      <c r="X181" s="126"/>
      <c r="Y181" s="126"/>
      <c r="Z181" s="126"/>
      <c r="AA181" s="126"/>
      <c r="AB181" s="126"/>
      <c r="AC181" s="126"/>
      <c r="AD181" s="126"/>
      <c r="AE181" s="126"/>
      <c r="AF181" s="126"/>
      <c r="AG181" s="126"/>
      <c r="AH181" s="126"/>
      <c r="AI181" s="126"/>
      <c r="AJ181" s="126"/>
      <c r="AK181" s="126"/>
      <c r="AL181" s="126"/>
      <c r="AM181" s="126"/>
      <c r="AN181" s="126"/>
      <c r="AO181" s="126"/>
    </row>
    <row r="182">
      <c r="A182" s="158"/>
      <c r="B182" s="158"/>
      <c r="C182" s="158"/>
      <c r="D182" s="158"/>
      <c r="E182" s="158"/>
      <c r="F182" s="158"/>
      <c r="G182" s="158"/>
      <c r="H182" s="158"/>
      <c r="I182" s="145"/>
      <c r="J182" s="158"/>
      <c r="K182" s="158"/>
      <c r="L182" s="126"/>
      <c r="M182" s="126"/>
      <c r="N182" s="126"/>
      <c r="O182" s="126"/>
      <c r="P182" s="126"/>
      <c r="Q182" s="126"/>
      <c r="R182" s="126"/>
      <c r="S182" s="126"/>
      <c r="T182" s="126"/>
      <c r="U182" s="126"/>
      <c r="V182" s="126"/>
      <c r="W182" s="126"/>
      <c r="X182" s="126"/>
      <c r="Y182" s="126"/>
      <c r="Z182" s="126"/>
      <c r="AA182" s="126"/>
      <c r="AB182" s="126"/>
      <c r="AC182" s="126"/>
      <c r="AD182" s="126"/>
      <c r="AE182" s="126"/>
      <c r="AF182" s="126"/>
      <c r="AG182" s="126"/>
      <c r="AH182" s="126"/>
      <c r="AI182" s="126"/>
      <c r="AJ182" s="126"/>
      <c r="AK182" s="126"/>
      <c r="AL182" s="126"/>
      <c r="AM182" s="126"/>
      <c r="AN182" s="126"/>
      <c r="AO182" s="126"/>
    </row>
    <row r="183">
      <c r="A183" s="158"/>
      <c r="B183" s="158"/>
      <c r="C183" s="158"/>
      <c r="D183" s="158"/>
      <c r="E183" s="158"/>
      <c r="F183" s="158"/>
      <c r="G183" s="158"/>
      <c r="H183" s="158"/>
      <c r="I183" s="145"/>
      <c r="J183" s="158"/>
      <c r="K183" s="158"/>
      <c r="L183" s="126"/>
      <c r="M183" s="126"/>
      <c r="N183" s="126"/>
      <c r="O183" s="126"/>
      <c r="P183" s="126"/>
      <c r="Q183" s="126"/>
      <c r="R183" s="126"/>
      <c r="S183" s="126"/>
      <c r="T183" s="126"/>
      <c r="U183" s="126"/>
      <c r="V183" s="126"/>
      <c r="W183" s="126"/>
      <c r="X183" s="126"/>
      <c r="Y183" s="126"/>
      <c r="Z183" s="126"/>
      <c r="AA183" s="126"/>
      <c r="AB183" s="126"/>
      <c r="AC183" s="126"/>
      <c r="AD183" s="126"/>
      <c r="AE183" s="126"/>
      <c r="AF183" s="126"/>
      <c r="AG183" s="126"/>
      <c r="AH183" s="126"/>
      <c r="AI183" s="126"/>
      <c r="AJ183" s="126"/>
      <c r="AK183" s="126"/>
      <c r="AL183" s="126"/>
      <c r="AM183" s="126"/>
      <c r="AN183" s="126"/>
      <c r="AO183" s="126"/>
    </row>
    <row r="184">
      <c r="A184" s="158"/>
      <c r="B184" s="158"/>
      <c r="C184" s="158"/>
      <c r="D184" s="158"/>
      <c r="E184" s="158"/>
      <c r="F184" s="158"/>
      <c r="G184" s="158"/>
      <c r="H184" s="158"/>
      <c r="I184" s="145"/>
      <c r="J184" s="158"/>
      <c r="K184" s="158"/>
      <c r="L184" s="126"/>
      <c r="M184" s="126"/>
      <c r="N184" s="126"/>
      <c r="O184" s="126"/>
      <c r="P184" s="126"/>
      <c r="Q184" s="126"/>
      <c r="R184" s="126"/>
      <c r="S184" s="126"/>
      <c r="T184" s="126"/>
      <c r="U184" s="126"/>
      <c r="V184" s="126"/>
      <c r="W184" s="126"/>
      <c r="X184" s="126"/>
      <c r="Y184" s="126"/>
      <c r="Z184" s="126"/>
      <c r="AA184" s="126"/>
      <c r="AB184" s="126"/>
      <c r="AC184" s="126"/>
      <c r="AD184" s="126"/>
      <c r="AE184" s="126"/>
      <c r="AF184" s="126"/>
      <c r="AG184" s="126"/>
      <c r="AH184" s="126"/>
      <c r="AI184" s="126"/>
      <c r="AJ184" s="126"/>
      <c r="AK184" s="126"/>
      <c r="AL184" s="126"/>
      <c r="AM184" s="126"/>
      <c r="AN184" s="126"/>
      <c r="AO184" s="126"/>
    </row>
    <row r="185">
      <c r="A185" s="158"/>
      <c r="B185" s="158"/>
      <c r="C185" s="158"/>
      <c r="D185" s="158"/>
      <c r="E185" s="158"/>
      <c r="F185" s="158"/>
      <c r="G185" s="158"/>
      <c r="H185" s="158"/>
      <c r="I185" s="145"/>
      <c r="J185" s="158"/>
      <c r="K185" s="158"/>
      <c r="L185" s="126"/>
      <c r="M185" s="126"/>
      <c r="N185" s="126"/>
      <c r="O185" s="126"/>
      <c r="P185" s="126"/>
      <c r="Q185" s="126"/>
      <c r="R185" s="126"/>
      <c r="S185" s="126"/>
      <c r="T185" s="126"/>
      <c r="U185" s="126"/>
      <c r="V185" s="126"/>
      <c r="W185" s="126"/>
      <c r="X185" s="126"/>
      <c r="Y185" s="126"/>
      <c r="Z185" s="126"/>
      <c r="AA185" s="126"/>
      <c r="AB185" s="126"/>
      <c r="AC185" s="126"/>
      <c r="AD185" s="126"/>
      <c r="AE185" s="126"/>
      <c r="AF185" s="126"/>
      <c r="AG185" s="126"/>
      <c r="AH185" s="126"/>
      <c r="AI185" s="126"/>
      <c r="AJ185" s="126"/>
      <c r="AK185" s="126"/>
      <c r="AL185" s="126"/>
      <c r="AM185" s="126"/>
      <c r="AN185" s="126"/>
      <c r="AO185" s="126"/>
    </row>
    <row r="186">
      <c r="A186" s="158"/>
      <c r="B186" s="158"/>
      <c r="C186" s="158"/>
      <c r="D186" s="158"/>
      <c r="E186" s="158"/>
      <c r="F186" s="158"/>
      <c r="G186" s="158"/>
      <c r="H186" s="158"/>
      <c r="I186" s="145"/>
      <c r="J186" s="158"/>
      <c r="K186" s="158"/>
      <c r="L186" s="126"/>
      <c r="M186" s="126"/>
      <c r="N186" s="126"/>
      <c r="O186" s="126"/>
      <c r="P186" s="126"/>
      <c r="Q186" s="126"/>
      <c r="R186" s="126"/>
      <c r="S186" s="126"/>
      <c r="T186" s="126"/>
      <c r="U186" s="126"/>
      <c r="V186" s="126"/>
      <c r="W186" s="126"/>
      <c r="X186" s="126"/>
      <c r="Y186" s="126"/>
      <c r="Z186" s="126"/>
      <c r="AA186" s="126"/>
      <c r="AB186" s="126"/>
      <c r="AC186" s="126"/>
      <c r="AD186" s="126"/>
      <c r="AE186" s="126"/>
      <c r="AF186" s="126"/>
      <c r="AG186" s="126"/>
      <c r="AH186" s="126"/>
      <c r="AI186" s="126"/>
      <c r="AJ186" s="126"/>
      <c r="AK186" s="126"/>
      <c r="AL186" s="126"/>
      <c r="AM186" s="126"/>
      <c r="AN186" s="126"/>
      <c r="AO186" s="126"/>
    </row>
    <row r="187">
      <c r="A187" s="158"/>
      <c r="B187" s="158"/>
      <c r="C187" s="158"/>
      <c r="D187" s="158"/>
      <c r="E187" s="158"/>
      <c r="F187" s="158"/>
      <c r="G187" s="158"/>
      <c r="H187" s="158"/>
      <c r="I187" s="145"/>
      <c r="J187" s="158"/>
      <c r="K187" s="158"/>
      <c r="L187" s="126"/>
      <c r="M187" s="126"/>
      <c r="N187" s="126"/>
      <c r="O187" s="126"/>
      <c r="P187" s="126"/>
      <c r="Q187" s="126"/>
      <c r="R187" s="126"/>
      <c r="S187" s="126"/>
      <c r="T187" s="126"/>
      <c r="U187" s="126"/>
      <c r="V187" s="126"/>
      <c r="W187" s="126"/>
      <c r="X187" s="126"/>
      <c r="Y187" s="126"/>
      <c r="Z187" s="126"/>
      <c r="AA187" s="126"/>
      <c r="AB187" s="126"/>
      <c r="AC187" s="126"/>
      <c r="AD187" s="126"/>
      <c r="AE187" s="126"/>
      <c r="AF187" s="126"/>
      <c r="AG187" s="126"/>
      <c r="AH187" s="126"/>
      <c r="AI187" s="126"/>
      <c r="AJ187" s="126"/>
      <c r="AK187" s="126"/>
      <c r="AL187" s="126"/>
      <c r="AM187" s="126"/>
      <c r="AN187" s="126"/>
      <c r="AO187" s="126"/>
    </row>
    <row r="188">
      <c r="A188" s="158"/>
      <c r="B188" s="158"/>
      <c r="C188" s="158"/>
      <c r="D188" s="158"/>
      <c r="E188" s="158"/>
      <c r="F188" s="158"/>
      <c r="G188" s="158"/>
      <c r="H188" s="158"/>
      <c r="I188" s="145"/>
      <c r="J188" s="158"/>
      <c r="K188" s="158"/>
      <c r="L188" s="126"/>
      <c r="M188" s="126"/>
      <c r="N188" s="126"/>
      <c r="O188" s="126"/>
      <c r="P188" s="126"/>
      <c r="Q188" s="126"/>
      <c r="R188" s="126"/>
      <c r="S188" s="126"/>
      <c r="T188" s="126"/>
      <c r="U188" s="126"/>
      <c r="V188" s="126"/>
      <c r="W188" s="126"/>
      <c r="X188" s="126"/>
      <c r="Y188" s="126"/>
      <c r="Z188" s="126"/>
      <c r="AA188" s="126"/>
      <c r="AB188" s="126"/>
      <c r="AC188" s="126"/>
      <c r="AD188" s="126"/>
      <c r="AE188" s="126"/>
      <c r="AF188" s="126"/>
      <c r="AG188" s="126"/>
      <c r="AH188" s="126"/>
      <c r="AI188" s="126"/>
      <c r="AJ188" s="126"/>
      <c r="AK188" s="126"/>
      <c r="AL188" s="126"/>
      <c r="AM188" s="126"/>
      <c r="AN188" s="126"/>
      <c r="AO188" s="126"/>
    </row>
    <row r="189">
      <c r="A189" s="158"/>
      <c r="B189" s="158"/>
      <c r="C189" s="158"/>
      <c r="D189" s="158"/>
      <c r="E189" s="158"/>
      <c r="F189" s="158"/>
      <c r="G189" s="158"/>
      <c r="H189" s="158"/>
      <c r="I189" s="145"/>
      <c r="J189" s="158"/>
      <c r="K189" s="158"/>
      <c r="L189" s="126"/>
      <c r="M189" s="126"/>
      <c r="N189" s="126"/>
      <c r="O189" s="126"/>
      <c r="P189" s="126"/>
      <c r="Q189" s="126"/>
      <c r="R189" s="126"/>
      <c r="S189" s="126"/>
      <c r="T189" s="126"/>
      <c r="U189" s="126"/>
      <c r="V189" s="126"/>
      <c r="W189" s="126"/>
      <c r="X189" s="126"/>
      <c r="Y189" s="126"/>
      <c r="Z189" s="126"/>
      <c r="AA189" s="126"/>
      <c r="AB189" s="126"/>
      <c r="AC189" s="126"/>
      <c r="AD189" s="126"/>
      <c r="AE189" s="126"/>
      <c r="AF189" s="126"/>
      <c r="AG189" s="126"/>
      <c r="AH189" s="126"/>
      <c r="AI189" s="126"/>
      <c r="AJ189" s="126"/>
      <c r="AK189" s="126"/>
      <c r="AL189" s="126"/>
      <c r="AM189" s="126"/>
      <c r="AN189" s="126"/>
      <c r="AO189" s="126"/>
    </row>
    <row r="190">
      <c r="A190" s="158"/>
      <c r="B190" s="158"/>
      <c r="C190" s="158"/>
      <c r="D190" s="158"/>
      <c r="E190" s="158"/>
      <c r="F190" s="158"/>
      <c r="G190" s="158"/>
      <c r="H190" s="158"/>
      <c r="I190" s="145"/>
      <c r="J190" s="158"/>
      <c r="K190" s="158"/>
      <c r="L190" s="126"/>
      <c r="M190" s="126"/>
      <c r="N190" s="126"/>
      <c r="O190" s="126"/>
      <c r="P190" s="126"/>
      <c r="Q190" s="126"/>
      <c r="R190" s="126"/>
      <c r="S190" s="126"/>
      <c r="T190" s="126"/>
      <c r="U190" s="126"/>
      <c r="V190" s="126"/>
      <c r="W190" s="126"/>
      <c r="X190" s="126"/>
      <c r="Y190" s="126"/>
      <c r="Z190" s="126"/>
      <c r="AA190" s="126"/>
      <c r="AB190" s="126"/>
      <c r="AC190" s="126"/>
      <c r="AD190" s="126"/>
      <c r="AE190" s="126"/>
      <c r="AF190" s="126"/>
      <c r="AG190" s="126"/>
      <c r="AH190" s="126"/>
      <c r="AI190" s="126"/>
      <c r="AJ190" s="126"/>
      <c r="AK190" s="126"/>
      <c r="AL190" s="126"/>
      <c r="AM190" s="126"/>
      <c r="AN190" s="126"/>
      <c r="AO190" s="126"/>
    </row>
    <row r="191">
      <c r="A191" s="158"/>
      <c r="B191" s="158"/>
      <c r="C191" s="158"/>
      <c r="D191" s="158"/>
      <c r="E191" s="158"/>
      <c r="F191" s="158"/>
      <c r="G191" s="158"/>
      <c r="H191" s="158"/>
      <c r="I191" s="145"/>
      <c r="J191" s="158"/>
      <c r="K191" s="158"/>
      <c r="L191" s="126"/>
      <c r="M191" s="126"/>
      <c r="N191" s="126"/>
      <c r="O191" s="126"/>
      <c r="P191" s="126"/>
      <c r="Q191" s="126"/>
      <c r="R191" s="126"/>
      <c r="S191" s="126"/>
      <c r="T191" s="126"/>
      <c r="U191" s="126"/>
      <c r="V191" s="126"/>
      <c r="W191" s="126"/>
      <c r="X191" s="126"/>
      <c r="Y191" s="126"/>
      <c r="Z191" s="126"/>
      <c r="AA191" s="126"/>
      <c r="AB191" s="126"/>
      <c r="AC191" s="126"/>
      <c r="AD191" s="126"/>
      <c r="AE191" s="126"/>
      <c r="AF191" s="126"/>
      <c r="AG191" s="126"/>
      <c r="AH191" s="126"/>
      <c r="AI191" s="126"/>
      <c r="AJ191" s="126"/>
      <c r="AK191" s="126"/>
      <c r="AL191" s="126"/>
      <c r="AM191" s="126"/>
      <c r="AN191" s="126"/>
      <c r="AO191" s="126"/>
    </row>
    <row r="192">
      <c r="A192" s="158"/>
      <c r="B192" s="158"/>
      <c r="C192" s="158"/>
      <c r="D192" s="158"/>
      <c r="E192" s="158"/>
      <c r="F192" s="158"/>
      <c r="G192" s="158"/>
      <c r="H192" s="158"/>
      <c r="I192" s="145"/>
      <c r="J192" s="158"/>
      <c r="K192" s="158"/>
      <c r="L192" s="126"/>
      <c r="M192" s="126"/>
      <c r="N192" s="126"/>
      <c r="O192" s="126"/>
      <c r="P192" s="126"/>
      <c r="Q192" s="126"/>
      <c r="R192" s="126"/>
      <c r="S192" s="126"/>
      <c r="T192" s="126"/>
      <c r="U192" s="126"/>
      <c r="V192" s="126"/>
      <c r="W192" s="126"/>
      <c r="X192" s="126"/>
      <c r="Y192" s="126"/>
      <c r="Z192" s="126"/>
      <c r="AA192" s="126"/>
      <c r="AB192" s="126"/>
      <c r="AC192" s="126"/>
      <c r="AD192" s="126"/>
      <c r="AE192" s="126"/>
      <c r="AF192" s="126"/>
      <c r="AG192" s="126"/>
      <c r="AH192" s="126"/>
      <c r="AI192" s="126"/>
      <c r="AJ192" s="126"/>
      <c r="AK192" s="126"/>
      <c r="AL192" s="126"/>
      <c r="AM192" s="126"/>
      <c r="AN192" s="126"/>
      <c r="AO192" s="126"/>
    </row>
    <row r="193">
      <c r="A193" s="158"/>
      <c r="B193" s="158"/>
      <c r="C193" s="158"/>
      <c r="D193" s="158"/>
      <c r="E193" s="158"/>
      <c r="F193" s="158"/>
      <c r="G193" s="158"/>
      <c r="H193" s="158"/>
      <c r="I193" s="145"/>
      <c r="J193" s="158"/>
      <c r="K193" s="158"/>
      <c r="L193" s="126"/>
      <c r="M193" s="126"/>
      <c r="N193" s="126"/>
      <c r="O193" s="126"/>
      <c r="P193" s="126"/>
      <c r="Q193" s="126"/>
      <c r="R193" s="126"/>
      <c r="S193" s="126"/>
      <c r="T193" s="126"/>
      <c r="U193" s="126"/>
      <c r="V193" s="126"/>
      <c r="W193" s="126"/>
      <c r="X193" s="126"/>
      <c r="Y193" s="126"/>
      <c r="Z193" s="126"/>
      <c r="AA193" s="126"/>
      <c r="AB193" s="126"/>
      <c r="AC193" s="126"/>
      <c r="AD193" s="126"/>
      <c r="AE193" s="126"/>
      <c r="AF193" s="126"/>
      <c r="AG193" s="126"/>
      <c r="AH193" s="126"/>
      <c r="AI193" s="126"/>
      <c r="AJ193" s="126"/>
      <c r="AK193" s="126"/>
      <c r="AL193" s="126"/>
      <c r="AM193" s="126"/>
      <c r="AN193" s="126"/>
      <c r="AO193" s="126"/>
    </row>
    <row r="194">
      <c r="A194" s="158"/>
      <c r="B194" s="158"/>
      <c r="C194" s="158"/>
      <c r="D194" s="158"/>
      <c r="E194" s="158"/>
      <c r="F194" s="158"/>
      <c r="G194" s="158"/>
      <c r="H194" s="158"/>
      <c r="I194" s="145"/>
      <c r="J194" s="158"/>
      <c r="K194" s="158"/>
      <c r="L194" s="126"/>
      <c r="M194" s="126"/>
      <c r="N194" s="126"/>
      <c r="O194" s="126"/>
      <c r="P194" s="126"/>
      <c r="Q194" s="126"/>
      <c r="R194" s="126"/>
      <c r="S194" s="126"/>
      <c r="T194" s="126"/>
      <c r="U194" s="126"/>
      <c r="V194" s="126"/>
      <c r="W194" s="126"/>
      <c r="X194" s="126"/>
      <c r="Y194" s="126"/>
      <c r="Z194" s="126"/>
      <c r="AA194" s="126"/>
      <c r="AB194" s="126"/>
      <c r="AC194" s="126"/>
      <c r="AD194" s="126"/>
      <c r="AE194" s="126"/>
      <c r="AF194" s="126"/>
      <c r="AG194" s="126"/>
      <c r="AH194" s="126"/>
      <c r="AI194" s="126"/>
      <c r="AJ194" s="126"/>
      <c r="AK194" s="126"/>
      <c r="AL194" s="126"/>
      <c r="AM194" s="126"/>
      <c r="AN194" s="126"/>
      <c r="AO194" s="126"/>
    </row>
    <row r="195">
      <c r="A195" s="158"/>
      <c r="B195" s="158"/>
      <c r="C195" s="158"/>
      <c r="D195" s="158"/>
      <c r="E195" s="158"/>
      <c r="F195" s="158"/>
      <c r="G195" s="158"/>
      <c r="H195" s="158"/>
      <c r="I195" s="145"/>
      <c r="J195" s="158"/>
      <c r="K195" s="158"/>
      <c r="L195" s="126"/>
      <c r="M195" s="126"/>
      <c r="N195" s="126"/>
      <c r="O195" s="126"/>
      <c r="P195" s="126"/>
      <c r="Q195" s="126"/>
      <c r="R195" s="126"/>
      <c r="S195" s="126"/>
      <c r="T195" s="126"/>
      <c r="U195" s="126"/>
      <c r="V195" s="126"/>
      <c r="W195" s="126"/>
      <c r="X195" s="126"/>
      <c r="Y195" s="126"/>
      <c r="Z195" s="126"/>
      <c r="AA195" s="126"/>
      <c r="AB195" s="126"/>
      <c r="AC195" s="126"/>
      <c r="AD195" s="126"/>
      <c r="AE195" s="126"/>
      <c r="AF195" s="126"/>
      <c r="AG195" s="126"/>
      <c r="AH195" s="126"/>
      <c r="AI195" s="126"/>
      <c r="AJ195" s="126"/>
      <c r="AK195" s="126"/>
      <c r="AL195" s="126"/>
      <c r="AM195" s="126"/>
      <c r="AN195" s="126"/>
      <c r="AO195" s="126"/>
    </row>
    <row r="196">
      <c r="A196" s="158"/>
      <c r="B196" s="158"/>
      <c r="C196" s="158"/>
      <c r="D196" s="158"/>
      <c r="E196" s="158"/>
      <c r="F196" s="158"/>
      <c r="G196" s="158"/>
      <c r="H196" s="158"/>
      <c r="I196" s="145"/>
      <c r="J196" s="158"/>
      <c r="K196" s="158"/>
      <c r="L196" s="126"/>
      <c r="M196" s="126"/>
      <c r="N196" s="126"/>
      <c r="O196" s="126"/>
      <c r="P196" s="126"/>
      <c r="Q196" s="126"/>
      <c r="R196" s="126"/>
      <c r="S196" s="126"/>
      <c r="T196" s="126"/>
      <c r="U196" s="126"/>
      <c r="V196" s="126"/>
      <c r="W196" s="126"/>
      <c r="X196" s="126"/>
      <c r="Y196" s="126"/>
      <c r="Z196" s="126"/>
      <c r="AA196" s="126"/>
      <c r="AB196" s="126"/>
      <c r="AC196" s="126"/>
      <c r="AD196" s="126"/>
      <c r="AE196" s="126"/>
      <c r="AF196" s="126"/>
      <c r="AG196" s="126"/>
      <c r="AH196" s="126"/>
      <c r="AI196" s="126"/>
      <c r="AJ196" s="126"/>
      <c r="AK196" s="126"/>
      <c r="AL196" s="126"/>
      <c r="AM196" s="126"/>
      <c r="AN196" s="126"/>
      <c r="AO196" s="126"/>
    </row>
    <row r="197">
      <c r="A197" s="158"/>
      <c r="B197" s="158"/>
      <c r="C197" s="158"/>
      <c r="D197" s="158"/>
      <c r="E197" s="158"/>
      <c r="F197" s="158"/>
      <c r="G197" s="158"/>
      <c r="H197" s="158"/>
      <c r="I197" s="145"/>
      <c r="J197" s="158"/>
      <c r="K197" s="158"/>
      <c r="L197" s="126"/>
      <c r="M197" s="126"/>
      <c r="N197" s="126"/>
      <c r="O197" s="126"/>
      <c r="P197" s="126"/>
      <c r="Q197" s="126"/>
      <c r="R197" s="126"/>
      <c r="S197" s="126"/>
      <c r="T197" s="126"/>
      <c r="U197" s="126"/>
      <c r="V197" s="126"/>
      <c r="W197" s="126"/>
      <c r="X197" s="126"/>
      <c r="Y197" s="126"/>
      <c r="Z197" s="126"/>
      <c r="AA197" s="126"/>
      <c r="AB197" s="126"/>
      <c r="AC197" s="126"/>
      <c r="AD197" s="126"/>
      <c r="AE197" s="126"/>
      <c r="AF197" s="126"/>
      <c r="AG197" s="126"/>
      <c r="AH197" s="126"/>
      <c r="AI197" s="126"/>
      <c r="AJ197" s="126"/>
      <c r="AK197" s="126"/>
      <c r="AL197" s="126"/>
      <c r="AM197" s="126"/>
      <c r="AN197" s="126"/>
      <c r="AO197" s="126"/>
    </row>
    <row r="198">
      <c r="A198" s="158"/>
      <c r="B198" s="158"/>
      <c r="C198" s="158"/>
      <c r="D198" s="158"/>
      <c r="E198" s="158"/>
      <c r="F198" s="158"/>
      <c r="G198" s="158"/>
      <c r="H198" s="158"/>
      <c r="I198" s="145"/>
      <c r="J198" s="158"/>
      <c r="K198" s="158"/>
      <c r="L198" s="126"/>
      <c r="M198" s="126"/>
      <c r="N198" s="126"/>
      <c r="O198" s="126"/>
      <c r="P198" s="126"/>
      <c r="Q198" s="126"/>
      <c r="R198" s="126"/>
      <c r="S198" s="126"/>
      <c r="T198" s="126"/>
      <c r="U198" s="126"/>
      <c r="V198" s="126"/>
      <c r="W198" s="126"/>
      <c r="X198" s="126"/>
      <c r="Y198" s="126"/>
      <c r="Z198" s="126"/>
      <c r="AA198" s="126"/>
      <c r="AB198" s="126"/>
      <c r="AC198" s="126"/>
      <c r="AD198" s="126"/>
      <c r="AE198" s="126"/>
      <c r="AF198" s="126"/>
      <c r="AG198" s="126"/>
      <c r="AH198" s="126"/>
      <c r="AI198" s="126"/>
      <c r="AJ198" s="126"/>
      <c r="AK198" s="126"/>
      <c r="AL198" s="126"/>
      <c r="AM198" s="126"/>
      <c r="AN198" s="126"/>
      <c r="AO198" s="126"/>
    </row>
    <row r="199">
      <c r="A199" s="158"/>
      <c r="B199" s="158"/>
      <c r="C199" s="158"/>
      <c r="D199" s="158"/>
      <c r="E199" s="158"/>
      <c r="F199" s="158"/>
      <c r="G199" s="158"/>
      <c r="H199" s="158"/>
      <c r="I199" s="145"/>
      <c r="J199" s="158"/>
      <c r="K199" s="158"/>
      <c r="L199" s="126"/>
      <c r="M199" s="126"/>
      <c r="N199" s="126"/>
      <c r="O199" s="126"/>
      <c r="P199" s="126"/>
      <c r="Q199" s="126"/>
      <c r="R199" s="126"/>
      <c r="S199" s="126"/>
      <c r="T199" s="126"/>
      <c r="U199" s="126"/>
      <c r="V199" s="126"/>
      <c r="W199" s="126"/>
      <c r="X199" s="126"/>
      <c r="Y199" s="126"/>
      <c r="Z199" s="126"/>
      <c r="AA199" s="126"/>
      <c r="AB199" s="126"/>
      <c r="AC199" s="126"/>
      <c r="AD199" s="126"/>
      <c r="AE199" s="126"/>
      <c r="AF199" s="126"/>
      <c r="AG199" s="126"/>
      <c r="AH199" s="126"/>
      <c r="AI199" s="126"/>
      <c r="AJ199" s="126"/>
      <c r="AK199" s="126"/>
      <c r="AL199" s="126"/>
      <c r="AM199" s="126"/>
      <c r="AN199" s="126"/>
      <c r="AO199" s="126"/>
    </row>
    <row r="200">
      <c r="A200" s="158"/>
      <c r="B200" s="158"/>
      <c r="C200" s="158"/>
      <c r="D200" s="158"/>
      <c r="E200" s="158"/>
      <c r="F200" s="158"/>
      <c r="G200" s="158"/>
      <c r="H200" s="158"/>
      <c r="I200" s="145"/>
      <c r="J200" s="158"/>
      <c r="K200" s="158"/>
      <c r="L200" s="126"/>
      <c r="M200" s="126"/>
      <c r="N200" s="126"/>
      <c r="O200" s="126"/>
      <c r="P200" s="126"/>
      <c r="Q200" s="126"/>
      <c r="R200" s="126"/>
      <c r="S200" s="126"/>
      <c r="T200" s="126"/>
      <c r="U200" s="126"/>
      <c r="V200" s="126"/>
      <c r="W200" s="126"/>
      <c r="X200" s="126"/>
      <c r="Y200" s="126"/>
      <c r="Z200" s="126"/>
      <c r="AA200" s="126"/>
      <c r="AB200" s="126"/>
      <c r="AC200" s="126"/>
      <c r="AD200" s="126"/>
      <c r="AE200" s="126"/>
      <c r="AF200" s="126"/>
      <c r="AG200" s="126"/>
      <c r="AH200" s="126"/>
      <c r="AI200" s="126"/>
      <c r="AJ200" s="126"/>
      <c r="AK200" s="126"/>
      <c r="AL200" s="126"/>
      <c r="AM200" s="126"/>
      <c r="AN200" s="126"/>
      <c r="AO200" s="126"/>
    </row>
    <row r="201">
      <c r="A201" s="158"/>
      <c r="B201" s="158"/>
      <c r="C201" s="158"/>
      <c r="D201" s="158"/>
      <c r="E201" s="158"/>
      <c r="F201" s="158"/>
      <c r="G201" s="158"/>
      <c r="H201" s="158"/>
      <c r="I201" s="145"/>
      <c r="J201" s="158"/>
      <c r="K201" s="158"/>
      <c r="L201" s="126"/>
      <c r="M201" s="126"/>
      <c r="N201" s="126"/>
      <c r="O201" s="126"/>
      <c r="P201" s="126"/>
      <c r="Q201" s="126"/>
      <c r="R201" s="126"/>
      <c r="S201" s="126"/>
      <c r="T201" s="126"/>
      <c r="U201" s="126"/>
      <c r="V201" s="126"/>
      <c r="W201" s="126"/>
      <c r="X201" s="126"/>
      <c r="Y201" s="126"/>
      <c r="Z201" s="126"/>
      <c r="AA201" s="126"/>
      <c r="AB201" s="126"/>
      <c r="AC201" s="126"/>
      <c r="AD201" s="126"/>
      <c r="AE201" s="126"/>
      <c r="AF201" s="126"/>
      <c r="AG201" s="126"/>
      <c r="AH201" s="126"/>
      <c r="AI201" s="126"/>
      <c r="AJ201" s="126"/>
      <c r="AK201" s="126"/>
      <c r="AL201" s="126"/>
      <c r="AM201" s="126"/>
      <c r="AN201" s="126"/>
      <c r="AO201" s="126"/>
    </row>
    <row r="202">
      <c r="A202" s="158"/>
      <c r="B202" s="158"/>
      <c r="C202" s="158"/>
      <c r="D202" s="158"/>
      <c r="E202" s="158"/>
      <c r="F202" s="158"/>
      <c r="G202" s="158"/>
      <c r="H202" s="158"/>
      <c r="I202" s="145"/>
      <c r="J202" s="158"/>
      <c r="K202" s="158"/>
      <c r="L202" s="126"/>
      <c r="M202" s="126"/>
      <c r="N202" s="126"/>
      <c r="O202" s="126"/>
      <c r="P202" s="126"/>
      <c r="Q202" s="126"/>
      <c r="R202" s="126"/>
      <c r="S202" s="126"/>
      <c r="T202" s="126"/>
      <c r="U202" s="126"/>
      <c r="V202" s="126"/>
      <c r="W202" s="126"/>
      <c r="X202" s="126"/>
      <c r="Y202" s="126"/>
      <c r="Z202" s="126"/>
      <c r="AA202" s="126"/>
      <c r="AB202" s="126"/>
      <c r="AC202" s="126"/>
      <c r="AD202" s="126"/>
      <c r="AE202" s="126"/>
      <c r="AF202" s="126"/>
      <c r="AG202" s="126"/>
      <c r="AH202" s="126"/>
      <c r="AI202" s="126"/>
      <c r="AJ202" s="126"/>
      <c r="AK202" s="126"/>
      <c r="AL202" s="126"/>
      <c r="AM202" s="126"/>
      <c r="AN202" s="126"/>
      <c r="AO202" s="126"/>
    </row>
    <row r="203">
      <c r="A203" s="158"/>
      <c r="B203" s="158"/>
      <c r="C203" s="158"/>
      <c r="D203" s="158"/>
      <c r="E203" s="158"/>
      <c r="F203" s="158"/>
      <c r="G203" s="158"/>
      <c r="H203" s="158"/>
      <c r="I203" s="145"/>
      <c r="J203" s="158"/>
      <c r="K203" s="158"/>
      <c r="L203" s="126"/>
      <c r="M203" s="126"/>
      <c r="N203" s="126"/>
      <c r="O203" s="126"/>
      <c r="P203" s="126"/>
      <c r="Q203" s="126"/>
      <c r="R203" s="126"/>
      <c r="S203" s="126"/>
      <c r="T203" s="126"/>
      <c r="U203" s="126"/>
      <c r="V203" s="126"/>
      <c r="W203" s="126"/>
      <c r="X203" s="126"/>
      <c r="Y203" s="126"/>
      <c r="Z203" s="126"/>
      <c r="AA203" s="126"/>
      <c r="AB203" s="126"/>
      <c r="AC203" s="126"/>
      <c r="AD203" s="126"/>
      <c r="AE203" s="126"/>
      <c r="AF203" s="126"/>
      <c r="AG203" s="126"/>
      <c r="AH203" s="126"/>
      <c r="AI203" s="126"/>
      <c r="AJ203" s="126"/>
      <c r="AK203" s="126"/>
      <c r="AL203" s="126"/>
      <c r="AM203" s="126"/>
      <c r="AN203" s="126"/>
      <c r="AO203" s="126"/>
    </row>
    <row r="204">
      <c r="A204" s="158"/>
      <c r="B204" s="158"/>
      <c r="C204" s="158"/>
      <c r="D204" s="158"/>
      <c r="E204" s="158"/>
      <c r="F204" s="158"/>
      <c r="G204" s="158"/>
      <c r="H204" s="158"/>
      <c r="I204" s="145"/>
      <c r="J204" s="158"/>
      <c r="K204" s="158"/>
      <c r="L204" s="126"/>
      <c r="M204" s="126"/>
      <c r="N204" s="126"/>
      <c r="O204" s="126"/>
      <c r="P204" s="126"/>
      <c r="Q204" s="126"/>
      <c r="R204" s="126"/>
      <c r="S204" s="126"/>
      <c r="T204" s="126"/>
      <c r="U204" s="126"/>
      <c r="V204" s="126"/>
      <c r="W204" s="126"/>
      <c r="X204" s="126"/>
      <c r="Y204" s="126"/>
      <c r="Z204" s="126"/>
      <c r="AA204" s="126"/>
      <c r="AB204" s="126"/>
      <c r="AC204" s="126"/>
      <c r="AD204" s="126"/>
      <c r="AE204" s="126"/>
      <c r="AF204" s="126"/>
      <c r="AG204" s="126"/>
      <c r="AH204" s="126"/>
      <c r="AI204" s="126"/>
      <c r="AJ204" s="126"/>
      <c r="AK204" s="126"/>
      <c r="AL204" s="126"/>
      <c r="AM204" s="126"/>
      <c r="AN204" s="126"/>
      <c r="AO204" s="126"/>
    </row>
    <row r="205">
      <c r="A205" s="158"/>
      <c r="B205" s="158"/>
      <c r="C205" s="158"/>
      <c r="D205" s="158"/>
      <c r="E205" s="158"/>
      <c r="F205" s="158"/>
      <c r="G205" s="158"/>
      <c r="H205" s="158"/>
      <c r="I205" s="145"/>
      <c r="J205" s="158"/>
      <c r="K205" s="158"/>
      <c r="L205" s="126"/>
      <c r="M205" s="126"/>
      <c r="N205" s="126"/>
      <c r="O205" s="126"/>
      <c r="P205" s="126"/>
      <c r="Q205" s="126"/>
      <c r="R205" s="126"/>
      <c r="S205" s="126"/>
      <c r="T205" s="126"/>
      <c r="U205" s="126"/>
      <c r="V205" s="126"/>
      <c r="W205" s="126"/>
      <c r="X205" s="126"/>
      <c r="Y205" s="126"/>
      <c r="Z205" s="126"/>
      <c r="AA205" s="126"/>
      <c r="AB205" s="126"/>
      <c r="AC205" s="126"/>
      <c r="AD205" s="126"/>
      <c r="AE205" s="126"/>
      <c r="AF205" s="126"/>
      <c r="AG205" s="126"/>
      <c r="AH205" s="126"/>
      <c r="AI205" s="126"/>
      <c r="AJ205" s="126"/>
      <c r="AK205" s="126"/>
      <c r="AL205" s="126"/>
      <c r="AM205" s="126"/>
      <c r="AN205" s="126"/>
      <c r="AO205" s="126"/>
    </row>
    <row r="206">
      <c r="A206" s="158"/>
      <c r="B206" s="158"/>
      <c r="C206" s="158"/>
      <c r="D206" s="158"/>
      <c r="E206" s="158"/>
      <c r="F206" s="158"/>
      <c r="G206" s="158"/>
      <c r="H206" s="158"/>
      <c r="I206" s="145"/>
      <c r="J206" s="158"/>
      <c r="K206" s="158"/>
      <c r="L206" s="126"/>
      <c r="M206" s="126"/>
      <c r="N206" s="126"/>
      <c r="O206" s="126"/>
      <c r="P206" s="126"/>
      <c r="Q206" s="126"/>
      <c r="R206" s="126"/>
      <c r="S206" s="126"/>
      <c r="T206" s="126"/>
      <c r="U206" s="126"/>
      <c r="V206" s="126"/>
      <c r="W206" s="126"/>
      <c r="X206" s="126"/>
      <c r="Y206" s="126"/>
      <c r="Z206" s="126"/>
      <c r="AA206" s="126"/>
      <c r="AB206" s="126"/>
      <c r="AC206" s="126"/>
      <c r="AD206" s="126"/>
      <c r="AE206" s="126"/>
      <c r="AF206" s="126"/>
      <c r="AG206" s="126"/>
      <c r="AH206" s="126"/>
      <c r="AI206" s="126"/>
      <c r="AJ206" s="126"/>
      <c r="AK206" s="126"/>
      <c r="AL206" s="126"/>
      <c r="AM206" s="126"/>
      <c r="AN206" s="126"/>
      <c r="AO206" s="126"/>
    </row>
    <row r="207">
      <c r="A207" s="158"/>
      <c r="B207" s="158"/>
      <c r="C207" s="158"/>
      <c r="D207" s="158"/>
      <c r="E207" s="158"/>
      <c r="F207" s="158"/>
      <c r="G207" s="158"/>
      <c r="H207" s="158"/>
      <c r="I207" s="145"/>
      <c r="J207" s="158"/>
      <c r="K207" s="158"/>
      <c r="L207" s="126"/>
      <c r="M207" s="126"/>
      <c r="N207" s="126"/>
      <c r="O207" s="126"/>
      <c r="P207" s="126"/>
      <c r="Q207" s="126"/>
      <c r="R207" s="126"/>
      <c r="S207" s="126"/>
      <c r="T207" s="126"/>
      <c r="U207" s="126"/>
      <c r="V207" s="126"/>
      <c r="W207" s="126"/>
      <c r="X207" s="126"/>
      <c r="Y207" s="126"/>
      <c r="Z207" s="126"/>
      <c r="AA207" s="126"/>
      <c r="AB207" s="126"/>
      <c r="AC207" s="126"/>
      <c r="AD207" s="126"/>
      <c r="AE207" s="126"/>
      <c r="AF207" s="126"/>
      <c r="AG207" s="126"/>
      <c r="AH207" s="126"/>
      <c r="AI207" s="126"/>
      <c r="AJ207" s="126"/>
      <c r="AK207" s="126"/>
      <c r="AL207" s="126"/>
      <c r="AM207" s="126"/>
      <c r="AN207" s="126"/>
      <c r="AO207" s="126"/>
    </row>
    <row r="208">
      <c r="A208" s="158"/>
      <c r="B208" s="158"/>
      <c r="C208" s="158"/>
      <c r="D208" s="158"/>
      <c r="E208" s="158"/>
      <c r="F208" s="158"/>
      <c r="G208" s="158"/>
      <c r="H208" s="158"/>
      <c r="I208" s="145"/>
      <c r="J208" s="158"/>
      <c r="K208" s="158"/>
      <c r="L208" s="126"/>
      <c r="M208" s="126"/>
      <c r="N208" s="126"/>
      <c r="O208" s="126"/>
      <c r="P208" s="126"/>
      <c r="Q208" s="126"/>
      <c r="R208" s="126"/>
      <c r="S208" s="126"/>
      <c r="T208" s="126"/>
      <c r="U208" s="126"/>
      <c r="V208" s="126"/>
      <c r="W208" s="126"/>
      <c r="X208" s="126"/>
      <c r="Y208" s="126"/>
      <c r="Z208" s="126"/>
      <c r="AA208" s="126"/>
      <c r="AB208" s="126"/>
      <c r="AC208" s="126"/>
      <c r="AD208" s="126"/>
      <c r="AE208" s="126"/>
      <c r="AF208" s="126"/>
      <c r="AG208" s="126"/>
      <c r="AH208" s="126"/>
      <c r="AI208" s="126"/>
      <c r="AJ208" s="126"/>
      <c r="AK208" s="126"/>
      <c r="AL208" s="126"/>
      <c r="AM208" s="126"/>
      <c r="AN208" s="126"/>
      <c r="AO208" s="126"/>
    </row>
    <row r="209">
      <c r="A209" s="158"/>
      <c r="B209" s="158"/>
      <c r="C209" s="158"/>
      <c r="D209" s="158"/>
      <c r="E209" s="158"/>
      <c r="F209" s="158"/>
      <c r="G209" s="158"/>
      <c r="H209" s="158"/>
      <c r="I209" s="145"/>
      <c r="J209" s="158"/>
      <c r="K209" s="158"/>
      <c r="L209" s="126"/>
      <c r="M209" s="126"/>
      <c r="N209" s="126"/>
      <c r="O209" s="126"/>
      <c r="P209" s="126"/>
      <c r="Q209" s="126"/>
      <c r="R209" s="126"/>
      <c r="S209" s="126"/>
      <c r="T209" s="126"/>
      <c r="U209" s="126"/>
      <c r="V209" s="126"/>
      <c r="W209" s="126"/>
      <c r="X209" s="126"/>
      <c r="Y209" s="126"/>
      <c r="Z209" s="126"/>
      <c r="AA209" s="126"/>
      <c r="AB209" s="126"/>
      <c r="AC209" s="126"/>
      <c r="AD209" s="126"/>
      <c r="AE209" s="126"/>
      <c r="AF209" s="126"/>
      <c r="AG209" s="126"/>
      <c r="AH209" s="126"/>
      <c r="AI209" s="126"/>
      <c r="AJ209" s="126"/>
      <c r="AK209" s="126"/>
      <c r="AL209" s="126"/>
      <c r="AM209" s="126"/>
      <c r="AN209" s="126"/>
      <c r="AO209" s="126"/>
    </row>
    <row r="210">
      <c r="A210" s="158"/>
      <c r="B210" s="158"/>
      <c r="C210" s="158"/>
      <c r="D210" s="158"/>
      <c r="E210" s="158"/>
      <c r="F210" s="158"/>
      <c r="G210" s="158"/>
      <c r="H210" s="158"/>
      <c r="I210" s="145"/>
      <c r="J210" s="158"/>
      <c r="K210" s="158"/>
      <c r="L210" s="126"/>
      <c r="M210" s="126"/>
      <c r="N210" s="126"/>
      <c r="O210" s="126"/>
      <c r="P210" s="126"/>
      <c r="Q210" s="126"/>
      <c r="R210" s="126"/>
      <c r="S210" s="126"/>
      <c r="T210" s="126"/>
      <c r="U210" s="126"/>
      <c r="V210" s="126"/>
      <c r="W210" s="126"/>
      <c r="X210" s="126"/>
      <c r="Y210" s="126"/>
      <c r="Z210" s="126"/>
      <c r="AA210" s="126"/>
      <c r="AB210" s="126"/>
      <c r="AC210" s="126"/>
      <c r="AD210" s="126"/>
      <c r="AE210" s="126"/>
      <c r="AF210" s="126"/>
      <c r="AG210" s="126"/>
      <c r="AH210" s="126"/>
      <c r="AI210" s="126"/>
      <c r="AJ210" s="126"/>
      <c r="AK210" s="126"/>
      <c r="AL210" s="126"/>
      <c r="AM210" s="126"/>
      <c r="AN210" s="126"/>
      <c r="AO210" s="126"/>
    </row>
    <row r="211">
      <c r="A211" s="158"/>
      <c r="B211" s="158"/>
      <c r="C211" s="158"/>
      <c r="D211" s="158"/>
      <c r="E211" s="158"/>
      <c r="F211" s="158"/>
      <c r="G211" s="158"/>
      <c r="H211" s="158"/>
      <c r="I211" s="145"/>
      <c r="J211" s="158"/>
      <c r="K211" s="158"/>
      <c r="L211" s="126"/>
      <c r="M211" s="126"/>
      <c r="N211" s="126"/>
      <c r="O211" s="126"/>
      <c r="P211" s="126"/>
      <c r="Q211" s="126"/>
      <c r="R211" s="126"/>
      <c r="S211" s="126"/>
      <c r="T211" s="126"/>
      <c r="U211" s="126"/>
      <c r="V211" s="126"/>
      <c r="W211" s="126"/>
      <c r="X211" s="126"/>
      <c r="Y211" s="126"/>
      <c r="Z211" s="126"/>
      <c r="AA211" s="126"/>
      <c r="AB211" s="126"/>
      <c r="AC211" s="126"/>
      <c r="AD211" s="126"/>
      <c r="AE211" s="126"/>
      <c r="AF211" s="126"/>
      <c r="AG211" s="126"/>
      <c r="AH211" s="126"/>
      <c r="AI211" s="126"/>
      <c r="AJ211" s="126"/>
      <c r="AK211" s="126"/>
      <c r="AL211" s="126"/>
      <c r="AM211" s="126"/>
      <c r="AN211" s="126"/>
      <c r="AO211" s="126"/>
    </row>
    <row r="212">
      <c r="A212" s="158"/>
      <c r="B212" s="158"/>
      <c r="C212" s="158"/>
      <c r="D212" s="158"/>
      <c r="E212" s="158"/>
      <c r="F212" s="158"/>
      <c r="G212" s="158"/>
      <c r="H212" s="158"/>
      <c r="I212" s="145"/>
      <c r="J212" s="158"/>
      <c r="K212" s="158"/>
      <c r="L212" s="126"/>
      <c r="M212" s="126"/>
      <c r="N212" s="126"/>
      <c r="O212" s="126"/>
      <c r="P212" s="126"/>
      <c r="Q212" s="126"/>
      <c r="R212" s="126"/>
      <c r="S212" s="126"/>
      <c r="T212" s="126"/>
      <c r="U212" s="126"/>
      <c r="V212" s="126"/>
      <c r="W212" s="126"/>
      <c r="X212" s="126"/>
      <c r="Y212" s="126"/>
      <c r="Z212" s="126"/>
      <c r="AA212" s="126"/>
      <c r="AB212" s="126"/>
      <c r="AC212" s="126"/>
      <c r="AD212" s="126"/>
      <c r="AE212" s="126"/>
      <c r="AF212" s="126"/>
      <c r="AG212" s="126"/>
      <c r="AH212" s="126"/>
      <c r="AI212" s="126"/>
      <c r="AJ212" s="126"/>
      <c r="AK212" s="126"/>
      <c r="AL212" s="126"/>
      <c r="AM212" s="126"/>
      <c r="AN212" s="126"/>
      <c r="AO212" s="126"/>
    </row>
    <row r="213">
      <c r="A213" s="158"/>
      <c r="B213" s="158"/>
      <c r="C213" s="158"/>
      <c r="D213" s="158"/>
      <c r="E213" s="158"/>
      <c r="F213" s="158"/>
      <c r="G213" s="158"/>
      <c r="H213" s="158"/>
      <c r="I213" s="145"/>
      <c r="J213" s="158"/>
      <c r="K213" s="158"/>
      <c r="L213" s="126"/>
      <c r="M213" s="126"/>
      <c r="N213" s="126"/>
      <c r="O213" s="126"/>
      <c r="P213" s="126"/>
      <c r="Q213" s="126"/>
      <c r="R213" s="126"/>
      <c r="S213" s="126"/>
      <c r="T213" s="126"/>
      <c r="U213" s="126"/>
      <c r="V213" s="126"/>
      <c r="W213" s="126"/>
      <c r="X213" s="126"/>
      <c r="Y213" s="126"/>
      <c r="Z213" s="126"/>
      <c r="AA213" s="126"/>
      <c r="AB213" s="126"/>
      <c r="AC213" s="126"/>
      <c r="AD213" s="126"/>
      <c r="AE213" s="126"/>
      <c r="AF213" s="126"/>
      <c r="AG213" s="126"/>
      <c r="AH213" s="126"/>
      <c r="AI213" s="126"/>
      <c r="AJ213" s="126"/>
      <c r="AK213" s="126"/>
      <c r="AL213" s="126"/>
      <c r="AM213" s="126"/>
      <c r="AN213" s="126"/>
      <c r="AO213" s="126"/>
    </row>
    <row r="214">
      <c r="A214" s="158"/>
      <c r="B214" s="158"/>
      <c r="C214" s="158"/>
      <c r="D214" s="158"/>
      <c r="E214" s="158"/>
      <c r="F214" s="158"/>
      <c r="G214" s="158"/>
      <c r="H214" s="158"/>
      <c r="I214" s="145"/>
      <c r="J214" s="158"/>
      <c r="K214" s="158"/>
      <c r="L214" s="126"/>
      <c r="M214" s="126"/>
      <c r="N214" s="126"/>
      <c r="O214" s="126"/>
      <c r="P214" s="126"/>
      <c r="Q214" s="126"/>
      <c r="R214" s="126"/>
      <c r="S214" s="126"/>
      <c r="T214" s="126"/>
      <c r="U214" s="126"/>
      <c r="V214" s="126"/>
      <c r="W214" s="126"/>
      <c r="X214" s="126"/>
      <c r="Y214" s="126"/>
      <c r="Z214" s="126"/>
      <c r="AA214" s="126"/>
      <c r="AB214" s="126"/>
      <c r="AC214" s="126"/>
      <c r="AD214" s="126"/>
      <c r="AE214" s="126"/>
      <c r="AF214" s="126"/>
      <c r="AG214" s="126"/>
      <c r="AH214" s="126"/>
      <c r="AI214" s="126"/>
      <c r="AJ214" s="126"/>
      <c r="AK214" s="126"/>
      <c r="AL214" s="126"/>
      <c r="AM214" s="126"/>
      <c r="AN214" s="126"/>
      <c r="AO214" s="126"/>
    </row>
    <row r="215">
      <c r="A215" s="158"/>
      <c r="B215" s="158"/>
      <c r="C215" s="158"/>
      <c r="D215" s="158"/>
      <c r="E215" s="158"/>
      <c r="F215" s="158"/>
      <c r="G215" s="158"/>
      <c r="H215" s="158"/>
      <c r="I215" s="145"/>
      <c r="J215" s="158"/>
      <c r="K215" s="158"/>
      <c r="L215" s="126"/>
      <c r="M215" s="126"/>
      <c r="N215" s="126"/>
      <c r="O215" s="126"/>
      <c r="P215" s="126"/>
      <c r="Q215" s="126"/>
      <c r="R215" s="126"/>
      <c r="S215" s="126"/>
      <c r="T215" s="126"/>
      <c r="U215" s="126"/>
      <c r="V215" s="126"/>
      <c r="W215" s="126"/>
      <c r="X215" s="126"/>
      <c r="Y215" s="126"/>
      <c r="Z215" s="126"/>
      <c r="AA215" s="126"/>
      <c r="AB215" s="126"/>
      <c r="AC215" s="126"/>
      <c r="AD215" s="126"/>
      <c r="AE215" s="126"/>
      <c r="AF215" s="126"/>
      <c r="AG215" s="126"/>
      <c r="AH215" s="126"/>
      <c r="AI215" s="126"/>
      <c r="AJ215" s="126"/>
      <c r="AK215" s="126"/>
      <c r="AL215" s="126"/>
      <c r="AM215" s="126"/>
      <c r="AN215" s="126"/>
      <c r="AO215" s="126"/>
    </row>
    <row r="216">
      <c r="A216" s="158"/>
      <c r="B216" s="158"/>
      <c r="C216" s="158"/>
      <c r="D216" s="158"/>
      <c r="E216" s="158"/>
      <c r="F216" s="158"/>
      <c r="G216" s="158"/>
      <c r="H216" s="158"/>
      <c r="I216" s="145"/>
      <c r="J216" s="158"/>
      <c r="K216" s="158"/>
      <c r="L216" s="126"/>
      <c r="M216" s="126"/>
      <c r="N216" s="126"/>
      <c r="O216" s="126"/>
      <c r="P216" s="126"/>
      <c r="Q216" s="126"/>
      <c r="R216" s="126"/>
      <c r="S216" s="126"/>
      <c r="T216" s="126"/>
      <c r="U216" s="126"/>
      <c r="V216" s="126"/>
      <c r="W216" s="126"/>
      <c r="X216" s="126"/>
      <c r="Y216" s="126"/>
      <c r="Z216" s="126"/>
      <c r="AA216" s="126"/>
      <c r="AB216" s="126"/>
      <c r="AC216" s="126"/>
      <c r="AD216" s="126"/>
      <c r="AE216" s="126"/>
      <c r="AF216" s="126"/>
      <c r="AG216" s="126"/>
      <c r="AH216" s="126"/>
      <c r="AI216" s="126"/>
      <c r="AJ216" s="126"/>
      <c r="AK216" s="126"/>
      <c r="AL216" s="126"/>
      <c r="AM216" s="126"/>
      <c r="AN216" s="126"/>
      <c r="AO216" s="126"/>
    </row>
    <row r="217">
      <c r="A217" s="158"/>
      <c r="B217" s="158"/>
      <c r="C217" s="158"/>
      <c r="D217" s="158"/>
      <c r="E217" s="158"/>
      <c r="F217" s="158"/>
      <c r="G217" s="158"/>
      <c r="H217" s="158"/>
      <c r="I217" s="145"/>
      <c r="J217" s="158"/>
      <c r="K217" s="158"/>
      <c r="L217" s="126"/>
      <c r="M217" s="126"/>
      <c r="N217" s="126"/>
      <c r="O217" s="126"/>
      <c r="P217" s="126"/>
      <c r="Q217" s="126"/>
      <c r="R217" s="126"/>
      <c r="S217" s="126"/>
      <c r="T217" s="126"/>
      <c r="U217" s="126"/>
      <c r="V217" s="126"/>
      <c r="W217" s="126"/>
      <c r="X217" s="126"/>
      <c r="Y217" s="126"/>
      <c r="Z217" s="126"/>
      <c r="AA217" s="126"/>
      <c r="AB217" s="126"/>
      <c r="AC217" s="126"/>
      <c r="AD217" s="126"/>
      <c r="AE217" s="126"/>
      <c r="AF217" s="126"/>
      <c r="AG217" s="126"/>
      <c r="AH217" s="126"/>
      <c r="AI217" s="126"/>
      <c r="AJ217" s="126"/>
      <c r="AK217" s="126"/>
      <c r="AL217" s="126"/>
      <c r="AM217" s="126"/>
      <c r="AN217" s="126"/>
      <c r="AO217" s="126"/>
    </row>
    <row r="218">
      <c r="A218" s="158"/>
      <c r="B218" s="158"/>
      <c r="C218" s="158"/>
      <c r="D218" s="158"/>
      <c r="E218" s="158"/>
      <c r="F218" s="158"/>
      <c r="G218" s="158"/>
      <c r="H218" s="158"/>
      <c r="I218" s="145"/>
      <c r="J218" s="158"/>
      <c r="K218" s="158"/>
      <c r="L218" s="126"/>
      <c r="M218" s="126"/>
      <c r="N218" s="126"/>
      <c r="O218" s="126"/>
      <c r="P218" s="126"/>
      <c r="Q218" s="126"/>
      <c r="R218" s="126"/>
      <c r="S218" s="126"/>
      <c r="T218" s="126"/>
      <c r="U218" s="126"/>
      <c r="V218" s="126"/>
      <c r="W218" s="126"/>
      <c r="X218" s="126"/>
      <c r="Y218" s="126"/>
      <c r="Z218" s="126"/>
      <c r="AA218" s="126"/>
      <c r="AB218" s="126"/>
      <c r="AC218" s="126"/>
      <c r="AD218" s="126"/>
      <c r="AE218" s="126"/>
      <c r="AF218" s="126"/>
      <c r="AG218" s="126"/>
      <c r="AH218" s="126"/>
      <c r="AI218" s="126"/>
      <c r="AJ218" s="126"/>
      <c r="AK218" s="126"/>
      <c r="AL218" s="126"/>
      <c r="AM218" s="126"/>
      <c r="AN218" s="126"/>
      <c r="AO218" s="126"/>
    </row>
    <row r="219">
      <c r="A219" s="158"/>
      <c r="B219" s="158"/>
      <c r="C219" s="158"/>
      <c r="D219" s="158"/>
      <c r="E219" s="158"/>
      <c r="F219" s="158"/>
      <c r="G219" s="158"/>
      <c r="H219" s="158"/>
      <c r="I219" s="145"/>
      <c r="J219" s="158"/>
      <c r="K219" s="158"/>
      <c r="L219" s="126"/>
      <c r="M219" s="126"/>
      <c r="N219" s="126"/>
      <c r="O219" s="126"/>
      <c r="P219" s="126"/>
      <c r="Q219" s="126"/>
      <c r="R219" s="126"/>
      <c r="S219" s="126"/>
      <c r="T219" s="126"/>
      <c r="U219" s="126"/>
      <c r="V219" s="126"/>
      <c r="W219" s="126"/>
      <c r="X219" s="126"/>
      <c r="Y219" s="126"/>
      <c r="Z219" s="126"/>
      <c r="AA219" s="126"/>
      <c r="AB219" s="126"/>
      <c r="AC219" s="126"/>
      <c r="AD219" s="126"/>
      <c r="AE219" s="126"/>
      <c r="AF219" s="126"/>
      <c r="AG219" s="126"/>
      <c r="AH219" s="126"/>
      <c r="AI219" s="126"/>
      <c r="AJ219" s="126"/>
      <c r="AK219" s="126"/>
      <c r="AL219" s="126"/>
      <c r="AM219" s="126"/>
      <c r="AN219" s="126"/>
      <c r="AO219" s="126"/>
    </row>
    <row r="220">
      <c r="A220" s="158"/>
      <c r="B220" s="158"/>
      <c r="C220" s="158"/>
      <c r="D220" s="158"/>
      <c r="E220" s="158"/>
      <c r="F220" s="158"/>
      <c r="G220" s="158"/>
      <c r="H220" s="158"/>
      <c r="I220" s="145"/>
      <c r="J220" s="158"/>
      <c r="K220" s="158"/>
      <c r="L220" s="126"/>
      <c r="M220" s="126"/>
      <c r="N220" s="126"/>
      <c r="O220" s="126"/>
      <c r="P220" s="126"/>
      <c r="Q220" s="126"/>
      <c r="R220" s="126"/>
      <c r="S220" s="126"/>
      <c r="T220" s="126"/>
      <c r="U220" s="126"/>
      <c r="V220" s="126"/>
      <c r="W220" s="126"/>
      <c r="X220" s="126"/>
      <c r="Y220" s="126"/>
      <c r="Z220" s="126"/>
      <c r="AA220" s="126"/>
      <c r="AB220" s="126"/>
      <c r="AC220" s="126"/>
      <c r="AD220" s="126"/>
      <c r="AE220" s="126"/>
      <c r="AF220" s="126"/>
      <c r="AG220" s="126"/>
      <c r="AH220" s="126"/>
      <c r="AI220" s="126"/>
      <c r="AJ220" s="126"/>
      <c r="AK220" s="126"/>
      <c r="AL220" s="126"/>
      <c r="AM220" s="126"/>
      <c r="AN220" s="126"/>
      <c r="AO220" s="126"/>
    </row>
    <row r="221">
      <c r="A221" s="158"/>
      <c r="B221" s="158"/>
      <c r="C221" s="158"/>
      <c r="D221" s="158"/>
      <c r="E221" s="158"/>
      <c r="F221" s="158"/>
      <c r="G221" s="158"/>
      <c r="H221" s="158"/>
      <c r="I221" s="145"/>
      <c r="J221" s="158"/>
      <c r="K221" s="158"/>
      <c r="L221" s="126"/>
      <c r="M221" s="126"/>
      <c r="N221" s="126"/>
      <c r="O221" s="126"/>
      <c r="P221" s="126"/>
      <c r="Q221" s="126"/>
      <c r="R221" s="126"/>
      <c r="S221" s="126"/>
      <c r="T221" s="126"/>
      <c r="U221" s="126"/>
      <c r="V221" s="126"/>
      <c r="W221" s="126"/>
      <c r="X221" s="126"/>
      <c r="Y221" s="126"/>
      <c r="Z221" s="126"/>
      <c r="AA221" s="126"/>
      <c r="AB221" s="126"/>
      <c r="AC221" s="126"/>
      <c r="AD221" s="126"/>
      <c r="AE221" s="126"/>
      <c r="AF221" s="126"/>
      <c r="AG221" s="126"/>
      <c r="AH221" s="126"/>
      <c r="AI221" s="126"/>
      <c r="AJ221" s="126"/>
      <c r="AK221" s="126"/>
      <c r="AL221" s="126"/>
      <c r="AM221" s="126"/>
      <c r="AN221" s="126"/>
      <c r="AO221" s="126"/>
    </row>
    <row r="222">
      <c r="A222" s="158"/>
      <c r="B222" s="158"/>
      <c r="C222" s="158"/>
      <c r="D222" s="158"/>
      <c r="E222" s="158"/>
      <c r="F222" s="158"/>
      <c r="G222" s="158"/>
      <c r="H222" s="158"/>
      <c r="I222" s="145"/>
      <c r="J222" s="158"/>
      <c r="K222" s="158"/>
      <c r="L222" s="126"/>
      <c r="M222" s="126"/>
      <c r="N222" s="126"/>
      <c r="O222" s="126"/>
      <c r="P222" s="126"/>
      <c r="Q222" s="126"/>
      <c r="R222" s="126"/>
      <c r="S222" s="126"/>
      <c r="T222" s="126"/>
      <c r="U222" s="126"/>
      <c r="V222" s="126"/>
      <c r="W222" s="126"/>
      <c r="X222" s="126"/>
      <c r="Y222" s="126"/>
      <c r="Z222" s="126"/>
      <c r="AA222" s="126"/>
      <c r="AB222" s="126"/>
      <c r="AC222" s="126"/>
      <c r="AD222" s="126"/>
      <c r="AE222" s="126"/>
      <c r="AF222" s="126"/>
      <c r="AG222" s="126"/>
      <c r="AH222" s="126"/>
      <c r="AI222" s="126"/>
      <c r="AJ222" s="126"/>
      <c r="AK222" s="126"/>
      <c r="AL222" s="126"/>
      <c r="AM222" s="126"/>
      <c r="AN222" s="126"/>
      <c r="AO222" s="126"/>
    </row>
    <row r="223">
      <c r="A223" s="158"/>
      <c r="B223" s="158"/>
      <c r="C223" s="158"/>
      <c r="D223" s="158"/>
      <c r="E223" s="158"/>
      <c r="F223" s="158"/>
      <c r="G223" s="158"/>
      <c r="H223" s="158"/>
      <c r="I223" s="145"/>
      <c r="J223" s="158"/>
      <c r="K223" s="158"/>
      <c r="L223" s="126"/>
      <c r="M223" s="126"/>
      <c r="N223" s="126"/>
      <c r="O223" s="126"/>
      <c r="P223" s="126"/>
      <c r="Q223" s="126"/>
      <c r="R223" s="126"/>
      <c r="S223" s="126"/>
      <c r="T223" s="126"/>
      <c r="U223" s="126"/>
      <c r="V223" s="126"/>
      <c r="W223" s="126"/>
      <c r="X223" s="126"/>
      <c r="Y223" s="126"/>
      <c r="Z223" s="126"/>
      <c r="AA223" s="126"/>
      <c r="AB223" s="126"/>
      <c r="AC223" s="126"/>
      <c r="AD223" s="126"/>
      <c r="AE223" s="126"/>
      <c r="AF223" s="126"/>
      <c r="AG223" s="126"/>
      <c r="AH223" s="126"/>
      <c r="AI223" s="126"/>
      <c r="AJ223" s="126"/>
      <c r="AK223" s="126"/>
      <c r="AL223" s="126"/>
      <c r="AM223" s="126"/>
      <c r="AN223" s="126"/>
      <c r="AO223" s="126"/>
    </row>
    <row r="224">
      <c r="A224" s="158"/>
      <c r="B224" s="158"/>
      <c r="C224" s="158"/>
      <c r="D224" s="158"/>
      <c r="E224" s="158"/>
      <c r="F224" s="158"/>
      <c r="G224" s="158"/>
      <c r="H224" s="158"/>
      <c r="I224" s="145"/>
      <c r="J224" s="158"/>
      <c r="K224" s="158"/>
      <c r="L224" s="126"/>
      <c r="M224" s="126"/>
      <c r="N224" s="126"/>
      <c r="O224" s="126"/>
      <c r="P224" s="126"/>
      <c r="Q224" s="126"/>
      <c r="R224" s="126"/>
      <c r="S224" s="126"/>
      <c r="T224" s="126"/>
      <c r="U224" s="126"/>
      <c r="V224" s="126"/>
      <c r="W224" s="126"/>
      <c r="X224" s="126"/>
      <c r="Y224" s="126"/>
      <c r="Z224" s="126"/>
      <c r="AA224" s="126"/>
      <c r="AB224" s="126"/>
      <c r="AC224" s="126"/>
      <c r="AD224" s="126"/>
      <c r="AE224" s="126"/>
      <c r="AF224" s="126"/>
      <c r="AG224" s="126"/>
      <c r="AH224" s="126"/>
      <c r="AI224" s="126"/>
      <c r="AJ224" s="126"/>
      <c r="AK224" s="126"/>
      <c r="AL224" s="126"/>
      <c r="AM224" s="126"/>
      <c r="AN224" s="126"/>
      <c r="AO224" s="126"/>
    </row>
    <row r="225">
      <c r="A225" s="158"/>
      <c r="B225" s="158"/>
      <c r="C225" s="158"/>
      <c r="D225" s="158"/>
      <c r="E225" s="158"/>
      <c r="F225" s="158"/>
      <c r="G225" s="158"/>
      <c r="H225" s="158"/>
      <c r="I225" s="145"/>
      <c r="J225" s="158"/>
      <c r="K225" s="158"/>
      <c r="L225" s="126"/>
      <c r="M225" s="126"/>
      <c r="N225" s="126"/>
      <c r="O225" s="126"/>
      <c r="P225" s="126"/>
      <c r="Q225" s="126"/>
      <c r="R225" s="126"/>
      <c r="S225" s="126"/>
      <c r="T225" s="126"/>
      <c r="U225" s="126"/>
      <c r="V225" s="126"/>
      <c r="W225" s="126"/>
      <c r="X225" s="126"/>
      <c r="Y225" s="126"/>
      <c r="Z225" s="126"/>
      <c r="AA225" s="126"/>
      <c r="AB225" s="126"/>
      <c r="AC225" s="126"/>
      <c r="AD225" s="126"/>
      <c r="AE225" s="126"/>
      <c r="AF225" s="126"/>
      <c r="AG225" s="126"/>
      <c r="AH225" s="126"/>
      <c r="AI225" s="126"/>
      <c r="AJ225" s="126"/>
      <c r="AK225" s="126"/>
      <c r="AL225" s="126"/>
      <c r="AM225" s="126"/>
      <c r="AN225" s="126"/>
      <c r="AO225" s="126"/>
    </row>
    <row r="226">
      <c r="A226" s="158"/>
      <c r="B226" s="158"/>
      <c r="C226" s="158"/>
      <c r="D226" s="158"/>
      <c r="E226" s="158"/>
      <c r="F226" s="158"/>
      <c r="G226" s="158"/>
      <c r="H226" s="158"/>
      <c r="I226" s="145"/>
      <c r="J226" s="158"/>
      <c r="K226" s="158"/>
      <c r="L226" s="126"/>
      <c r="M226" s="126"/>
      <c r="N226" s="126"/>
      <c r="O226" s="126"/>
      <c r="P226" s="126"/>
      <c r="Q226" s="126"/>
      <c r="R226" s="126"/>
      <c r="S226" s="126"/>
      <c r="T226" s="126"/>
      <c r="U226" s="126"/>
      <c r="V226" s="126"/>
      <c r="W226" s="126"/>
      <c r="X226" s="126"/>
      <c r="Y226" s="126"/>
      <c r="Z226" s="126"/>
      <c r="AA226" s="126"/>
      <c r="AB226" s="126"/>
      <c r="AC226" s="126"/>
      <c r="AD226" s="126"/>
      <c r="AE226" s="126"/>
      <c r="AF226" s="126"/>
      <c r="AG226" s="126"/>
      <c r="AH226" s="126"/>
      <c r="AI226" s="126"/>
      <c r="AJ226" s="126"/>
      <c r="AK226" s="126"/>
      <c r="AL226" s="126"/>
      <c r="AM226" s="126"/>
      <c r="AN226" s="126"/>
      <c r="AO226" s="126"/>
    </row>
    <row r="227">
      <c r="A227" s="158"/>
      <c r="B227" s="158"/>
      <c r="C227" s="158"/>
      <c r="D227" s="158"/>
      <c r="E227" s="158"/>
      <c r="F227" s="158"/>
      <c r="G227" s="158"/>
      <c r="H227" s="158"/>
      <c r="I227" s="145"/>
      <c r="J227" s="158"/>
      <c r="K227" s="158"/>
      <c r="L227" s="126"/>
      <c r="M227" s="126"/>
      <c r="N227" s="126"/>
      <c r="O227" s="126"/>
      <c r="P227" s="126"/>
      <c r="Q227" s="126"/>
      <c r="R227" s="126"/>
      <c r="S227" s="126"/>
      <c r="T227" s="126"/>
      <c r="U227" s="126"/>
      <c r="V227" s="126"/>
      <c r="W227" s="126"/>
      <c r="X227" s="126"/>
      <c r="Y227" s="126"/>
      <c r="Z227" s="126"/>
      <c r="AA227" s="126"/>
      <c r="AB227" s="126"/>
      <c r="AC227" s="126"/>
      <c r="AD227" s="126"/>
      <c r="AE227" s="126"/>
      <c r="AF227" s="126"/>
      <c r="AG227" s="126"/>
      <c r="AH227" s="126"/>
      <c r="AI227" s="126"/>
      <c r="AJ227" s="126"/>
      <c r="AK227" s="126"/>
      <c r="AL227" s="126"/>
      <c r="AM227" s="126"/>
      <c r="AN227" s="126"/>
      <c r="AO227" s="126"/>
    </row>
    <row r="228">
      <c r="A228" s="158"/>
      <c r="B228" s="158"/>
      <c r="C228" s="158"/>
      <c r="D228" s="158"/>
      <c r="E228" s="158"/>
      <c r="F228" s="158"/>
      <c r="G228" s="158"/>
      <c r="H228" s="158"/>
      <c r="I228" s="145"/>
      <c r="J228" s="158"/>
      <c r="K228" s="158"/>
      <c r="L228" s="126"/>
      <c r="M228" s="126"/>
      <c r="N228" s="126"/>
      <c r="O228" s="126"/>
      <c r="P228" s="126"/>
      <c r="Q228" s="126"/>
      <c r="R228" s="126"/>
      <c r="S228" s="126"/>
      <c r="T228" s="126"/>
      <c r="U228" s="126"/>
      <c r="V228" s="126"/>
      <c r="W228" s="126"/>
      <c r="X228" s="126"/>
      <c r="Y228" s="126"/>
      <c r="Z228" s="126"/>
      <c r="AA228" s="126"/>
      <c r="AB228" s="126"/>
      <c r="AC228" s="126"/>
      <c r="AD228" s="126"/>
      <c r="AE228" s="126"/>
      <c r="AF228" s="126"/>
      <c r="AG228" s="126"/>
      <c r="AH228" s="126"/>
      <c r="AI228" s="126"/>
      <c r="AJ228" s="126"/>
      <c r="AK228" s="126"/>
      <c r="AL228" s="126"/>
      <c r="AM228" s="126"/>
      <c r="AN228" s="126"/>
      <c r="AO228" s="126"/>
    </row>
    <row r="229">
      <c r="A229" s="158"/>
      <c r="B229" s="158"/>
      <c r="C229" s="158"/>
      <c r="D229" s="158"/>
      <c r="E229" s="158"/>
      <c r="F229" s="158"/>
      <c r="G229" s="158"/>
      <c r="H229" s="158"/>
      <c r="I229" s="145"/>
      <c r="J229" s="158"/>
      <c r="K229" s="158"/>
      <c r="L229" s="126"/>
      <c r="M229" s="126"/>
      <c r="N229" s="126"/>
      <c r="O229" s="126"/>
      <c r="P229" s="126"/>
      <c r="Q229" s="126"/>
      <c r="R229" s="126"/>
      <c r="S229" s="126"/>
      <c r="T229" s="126"/>
      <c r="U229" s="126"/>
      <c r="V229" s="126"/>
      <c r="W229" s="126"/>
      <c r="X229" s="126"/>
      <c r="Y229" s="126"/>
      <c r="Z229" s="126"/>
      <c r="AA229" s="126"/>
      <c r="AB229" s="126"/>
      <c r="AC229" s="126"/>
      <c r="AD229" s="126"/>
      <c r="AE229" s="126"/>
      <c r="AF229" s="126"/>
      <c r="AG229" s="126"/>
      <c r="AH229" s="126"/>
      <c r="AI229" s="126"/>
      <c r="AJ229" s="126"/>
      <c r="AK229" s="126"/>
      <c r="AL229" s="126"/>
      <c r="AM229" s="126"/>
      <c r="AN229" s="126"/>
      <c r="AO229" s="126"/>
    </row>
    <row r="230">
      <c r="A230" s="158"/>
      <c r="B230" s="158"/>
      <c r="C230" s="158"/>
      <c r="D230" s="158"/>
      <c r="E230" s="158"/>
      <c r="F230" s="158"/>
      <c r="G230" s="158"/>
      <c r="H230" s="158"/>
      <c r="I230" s="145"/>
      <c r="J230" s="158"/>
      <c r="K230" s="158"/>
      <c r="L230" s="126"/>
      <c r="M230" s="126"/>
      <c r="N230" s="126"/>
      <c r="O230" s="126"/>
      <c r="P230" s="126"/>
      <c r="Q230" s="126"/>
      <c r="R230" s="126"/>
      <c r="S230" s="126"/>
      <c r="T230" s="126"/>
      <c r="U230" s="126"/>
      <c r="V230" s="126"/>
      <c r="W230" s="126"/>
      <c r="X230" s="126"/>
      <c r="Y230" s="126"/>
      <c r="Z230" s="126"/>
      <c r="AA230" s="126"/>
      <c r="AB230" s="126"/>
      <c r="AC230" s="126"/>
      <c r="AD230" s="126"/>
      <c r="AE230" s="126"/>
      <c r="AF230" s="126"/>
      <c r="AG230" s="126"/>
      <c r="AH230" s="126"/>
      <c r="AI230" s="126"/>
      <c r="AJ230" s="126"/>
      <c r="AK230" s="126"/>
      <c r="AL230" s="126"/>
      <c r="AM230" s="126"/>
      <c r="AN230" s="126"/>
      <c r="AO230" s="126"/>
    </row>
    <row r="231">
      <c r="A231" s="158"/>
      <c r="B231" s="158"/>
      <c r="C231" s="158"/>
      <c r="D231" s="158"/>
      <c r="E231" s="158"/>
      <c r="F231" s="158"/>
      <c r="G231" s="158"/>
      <c r="H231" s="158"/>
      <c r="I231" s="145"/>
      <c r="J231" s="158"/>
      <c r="K231" s="158"/>
      <c r="L231" s="126"/>
      <c r="M231" s="126"/>
      <c r="N231" s="126"/>
      <c r="O231" s="126"/>
      <c r="P231" s="126"/>
      <c r="Q231" s="126"/>
      <c r="R231" s="126"/>
      <c r="S231" s="126"/>
      <c r="T231" s="126"/>
      <c r="U231" s="126"/>
      <c r="V231" s="126"/>
      <c r="W231" s="126"/>
      <c r="X231" s="126"/>
      <c r="Y231" s="126"/>
      <c r="Z231" s="126"/>
      <c r="AA231" s="126"/>
      <c r="AB231" s="126"/>
      <c r="AC231" s="126"/>
      <c r="AD231" s="126"/>
      <c r="AE231" s="126"/>
      <c r="AF231" s="126"/>
      <c r="AG231" s="126"/>
      <c r="AH231" s="126"/>
      <c r="AI231" s="126"/>
      <c r="AJ231" s="126"/>
      <c r="AK231" s="126"/>
      <c r="AL231" s="126"/>
      <c r="AM231" s="126"/>
      <c r="AN231" s="126"/>
      <c r="AO231" s="126"/>
    </row>
    <row r="232">
      <c r="A232" s="158"/>
      <c r="B232" s="158"/>
      <c r="C232" s="158"/>
      <c r="D232" s="158"/>
      <c r="E232" s="158"/>
      <c r="F232" s="158"/>
      <c r="G232" s="158"/>
      <c r="H232" s="158"/>
      <c r="I232" s="145"/>
      <c r="J232" s="158"/>
      <c r="K232" s="158"/>
      <c r="L232" s="126"/>
      <c r="M232" s="126"/>
      <c r="N232" s="126"/>
      <c r="O232" s="126"/>
      <c r="P232" s="126"/>
      <c r="Q232" s="126"/>
      <c r="R232" s="126"/>
      <c r="S232" s="126"/>
      <c r="T232" s="126"/>
      <c r="U232" s="126"/>
      <c r="V232" s="126"/>
      <c r="W232" s="126"/>
      <c r="X232" s="126"/>
      <c r="Y232" s="126"/>
      <c r="Z232" s="126"/>
      <c r="AA232" s="126"/>
      <c r="AB232" s="126"/>
      <c r="AC232" s="126"/>
      <c r="AD232" s="126"/>
      <c r="AE232" s="126"/>
      <c r="AF232" s="126"/>
      <c r="AG232" s="126"/>
      <c r="AH232" s="126"/>
      <c r="AI232" s="126"/>
      <c r="AJ232" s="126"/>
      <c r="AK232" s="126"/>
      <c r="AL232" s="126"/>
      <c r="AM232" s="126"/>
      <c r="AN232" s="126"/>
      <c r="AO232" s="126"/>
    </row>
    <row r="233">
      <c r="A233" s="158"/>
      <c r="B233" s="158"/>
      <c r="C233" s="158"/>
      <c r="D233" s="158"/>
      <c r="E233" s="158"/>
      <c r="F233" s="158"/>
      <c r="G233" s="158"/>
      <c r="H233" s="158"/>
      <c r="I233" s="145"/>
      <c r="J233" s="158"/>
      <c r="K233" s="158"/>
      <c r="L233" s="126"/>
      <c r="M233" s="126"/>
      <c r="N233" s="126"/>
      <c r="O233" s="126"/>
      <c r="P233" s="126"/>
      <c r="Q233" s="126"/>
      <c r="R233" s="126"/>
      <c r="S233" s="126"/>
      <c r="T233" s="126"/>
      <c r="U233" s="126"/>
      <c r="V233" s="126"/>
      <c r="W233" s="126"/>
      <c r="X233" s="126"/>
      <c r="Y233" s="126"/>
      <c r="Z233" s="126"/>
      <c r="AA233" s="126"/>
      <c r="AB233" s="126"/>
      <c r="AC233" s="126"/>
      <c r="AD233" s="126"/>
      <c r="AE233" s="126"/>
      <c r="AF233" s="126"/>
      <c r="AG233" s="126"/>
      <c r="AH233" s="126"/>
      <c r="AI233" s="126"/>
      <c r="AJ233" s="126"/>
      <c r="AK233" s="126"/>
      <c r="AL233" s="126"/>
      <c r="AM233" s="126"/>
      <c r="AN233" s="126"/>
      <c r="AO233" s="126"/>
    </row>
    <row r="234">
      <c r="A234" s="158"/>
      <c r="B234" s="158"/>
      <c r="C234" s="158"/>
      <c r="D234" s="158"/>
      <c r="E234" s="158"/>
      <c r="F234" s="158"/>
      <c r="G234" s="158"/>
      <c r="H234" s="158"/>
      <c r="I234" s="145"/>
      <c r="J234" s="158"/>
      <c r="K234" s="158"/>
      <c r="L234" s="126"/>
      <c r="M234" s="126"/>
      <c r="N234" s="126"/>
      <c r="O234" s="126"/>
      <c r="P234" s="126"/>
      <c r="Q234" s="126"/>
      <c r="R234" s="126"/>
      <c r="S234" s="126"/>
      <c r="T234" s="126"/>
      <c r="U234" s="126"/>
      <c r="V234" s="126"/>
      <c r="W234" s="126"/>
      <c r="X234" s="126"/>
      <c r="Y234" s="126"/>
      <c r="Z234" s="126"/>
      <c r="AA234" s="126"/>
      <c r="AB234" s="126"/>
      <c r="AC234" s="126"/>
      <c r="AD234" s="126"/>
      <c r="AE234" s="126"/>
      <c r="AF234" s="126"/>
      <c r="AG234" s="126"/>
      <c r="AH234" s="126"/>
      <c r="AI234" s="126"/>
      <c r="AJ234" s="126"/>
      <c r="AK234" s="126"/>
      <c r="AL234" s="126"/>
      <c r="AM234" s="126"/>
      <c r="AN234" s="126"/>
      <c r="AO234" s="126"/>
    </row>
    <row r="235">
      <c r="A235" s="158"/>
      <c r="B235" s="158"/>
      <c r="C235" s="158"/>
      <c r="D235" s="158"/>
      <c r="E235" s="158"/>
      <c r="F235" s="158"/>
      <c r="G235" s="158"/>
      <c r="H235" s="158"/>
      <c r="I235" s="145"/>
      <c r="J235" s="158"/>
      <c r="K235" s="158"/>
      <c r="L235" s="126"/>
      <c r="M235" s="126"/>
      <c r="N235" s="126"/>
      <c r="O235" s="126"/>
      <c r="P235" s="126"/>
      <c r="Q235" s="126"/>
      <c r="R235" s="126"/>
      <c r="S235" s="126"/>
      <c r="T235" s="126"/>
      <c r="U235" s="126"/>
      <c r="V235" s="126"/>
      <c r="W235" s="126"/>
      <c r="X235" s="126"/>
      <c r="Y235" s="126"/>
      <c r="Z235" s="126"/>
      <c r="AA235" s="126"/>
      <c r="AB235" s="126"/>
      <c r="AC235" s="126"/>
      <c r="AD235" s="126"/>
      <c r="AE235" s="126"/>
      <c r="AF235" s="126"/>
      <c r="AG235" s="126"/>
      <c r="AH235" s="126"/>
      <c r="AI235" s="126"/>
      <c r="AJ235" s="126"/>
      <c r="AK235" s="126"/>
      <c r="AL235" s="126"/>
      <c r="AM235" s="126"/>
      <c r="AN235" s="126"/>
      <c r="AO235" s="126"/>
    </row>
    <row r="236">
      <c r="A236" s="158"/>
      <c r="B236" s="158"/>
      <c r="C236" s="158"/>
      <c r="D236" s="158"/>
      <c r="E236" s="158"/>
      <c r="F236" s="158"/>
      <c r="G236" s="158"/>
      <c r="H236" s="158"/>
      <c r="I236" s="145"/>
      <c r="J236" s="158"/>
      <c r="K236" s="158"/>
      <c r="L236" s="126"/>
      <c r="M236" s="126"/>
      <c r="N236" s="126"/>
      <c r="O236" s="126"/>
      <c r="P236" s="126"/>
      <c r="Q236" s="126"/>
      <c r="R236" s="126"/>
      <c r="S236" s="126"/>
      <c r="T236" s="126"/>
      <c r="U236" s="126"/>
      <c r="V236" s="126"/>
      <c r="W236" s="126"/>
      <c r="X236" s="126"/>
      <c r="Y236" s="126"/>
      <c r="Z236" s="126"/>
      <c r="AA236" s="126"/>
      <c r="AB236" s="126"/>
      <c r="AC236" s="126"/>
      <c r="AD236" s="126"/>
      <c r="AE236" s="126"/>
      <c r="AF236" s="126"/>
      <c r="AG236" s="126"/>
      <c r="AH236" s="126"/>
      <c r="AI236" s="126"/>
      <c r="AJ236" s="126"/>
      <c r="AK236" s="126"/>
      <c r="AL236" s="126"/>
      <c r="AM236" s="126"/>
      <c r="AN236" s="126"/>
      <c r="AO236" s="126"/>
    </row>
    <row r="237">
      <c r="A237" s="158"/>
      <c r="B237" s="158"/>
      <c r="C237" s="158"/>
      <c r="D237" s="158"/>
      <c r="E237" s="158"/>
      <c r="F237" s="158"/>
      <c r="G237" s="158"/>
      <c r="H237" s="158"/>
      <c r="I237" s="145"/>
      <c r="J237" s="158"/>
      <c r="K237" s="158"/>
      <c r="L237" s="126"/>
      <c r="M237" s="126"/>
      <c r="N237" s="126"/>
      <c r="O237" s="126"/>
      <c r="P237" s="126"/>
      <c r="Q237" s="126"/>
      <c r="R237" s="126"/>
      <c r="S237" s="126"/>
      <c r="T237" s="126"/>
      <c r="U237" s="126"/>
      <c r="V237" s="126"/>
      <c r="W237" s="126"/>
      <c r="X237" s="126"/>
      <c r="Y237" s="126"/>
      <c r="Z237" s="126"/>
      <c r="AA237" s="126"/>
      <c r="AB237" s="126"/>
      <c r="AC237" s="126"/>
      <c r="AD237" s="126"/>
      <c r="AE237" s="126"/>
      <c r="AF237" s="126"/>
      <c r="AG237" s="126"/>
      <c r="AH237" s="126"/>
      <c r="AI237" s="126"/>
      <c r="AJ237" s="126"/>
      <c r="AK237" s="126"/>
      <c r="AL237" s="126"/>
      <c r="AM237" s="126"/>
      <c r="AN237" s="126"/>
      <c r="AO237" s="126"/>
    </row>
    <row r="238">
      <c r="A238" s="158"/>
      <c r="B238" s="158"/>
      <c r="C238" s="158"/>
      <c r="D238" s="158"/>
      <c r="E238" s="158"/>
      <c r="F238" s="158"/>
      <c r="G238" s="158"/>
      <c r="H238" s="158"/>
      <c r="I238" s="145"/>
      <c r="J238" s="158"/>
      <c r="K238" s="158"/>
      <c r="L238" s="126"/>
      <c r="M238" s="126"/>
      <c r="N238" s="126"/>
      <c r="O238" s="126"/>
      <c r="P238" s="126"/>
      <c r="Q238" s="126"/>
      <c r="R238" s="126"/>
      <c r="S238" s="126"/>
      <c r="T238" s="126"/>
      <c r="U238" s="126"/>
      <c r="V238" s="126"/>
      <c r="W238" s="126"/>
      <c r="X238" s="126"/>
      <c r="Y238" s="126"/>
      <c r="Z238" s="126"/>
      <c r="AA238" s="126"/>
      <c r="AB238" s="126"/>
      <c r="AC238" s="126"/>
      <c r="AD238" s="126"/>
      <c r="AE238" s="126"/>
      <c r="AF238" s="126"/>
      <c r="AG238" s="126"/>
      <c r="AH238" s="126"/>
      <c r="AI238" s="126"/>
      <c r="AJ238" s="126"/>
      <c r="AK238" s="126"/>
      <c r="AL238" s="126"/>
      <c r="AM238" s="126"/>
      <c r="AN238" s="126"/>
      <c r="AO238" s="126"/>
    </row>
    <row r="239">
      <c r="A239" s="158"/>
      <c r="B239" s="158"/>
      <c r="C239" s="158"/>
      <c r="D239" s="158"/>
      <c r="E239" s="158"/>
      <c r="F239" s="158"/>
      <c r="G239" s="158"/>
      <c r="H239" s="158"/>
      <c r="I239" s="145"/>
      <c r="J239" s="158"/>
      <c r="K239" s="158"/>
      <c r="L239" s="126"/>
      <c r="M239" s="126"/>
      <c r="N239" s="126"/>
      <c r="O239" s="126"/>
      <c r="P239" s="126"/>
      <c r="Q239" s="126"/>
      <c r="R239" s="126"/>
      <c r="S239" s="126"/>
      <c r="T239" s="126"/>
      <c r="U239" s="126"/>
      <c r="V239" s="126"/>
      <c r="W239" s="126"/>
      <c r="X239" s="126"/>
      <c r="Y239" s="126"/>
      <c r="Z239" s="126"/>
      <c r="AA239" s="126"/>
      <c r="AB239" s="126"/>
      <c r="AC239" s="126"/>
      <c r="AD239" s="126"/>
      <c r="AE239" s="126"/>
      <c r="AF239" s="126"/>
      <c r="AG239" s="126"/>
      <c r="AH239" s="126"/>
      <c r="AI239" s="126"/>
      <c r="AJ239" s="126"/>
      <c r="AK239" s="126"/>
      <c r="AL239" s="126"/>
      <c r="AM239" s="126"/>
      <c r="AN239" s="126"/>
      <c r="AO239" s="126"/>
    </row>
    <row r="240">
      <c r="A240" s="158"/>
      <c r="B240" s="158"/>
      <c r="C240" s="158"/>
      <c r="D240" s="158"/>
      <c r="E240" s="158"/>
      <c r="F240" s="158"/>
      <c r="G240" s="158"/>
      <c r="H240" s="158"/>
      <c r="I240" s="145"/>
      <c r="J240" s="158"/>
      <c r="K240" s="158"/>
      <c r="L240" s="126"/>
      <c r="M240" s="126"/>
      <c r="N240" s="126"/>
      <c r="O240" s="126"/>
      <c r="P240" s="126"/>
      <c r="Q240" s="126"/>
      <c r="R240" s="126"/>
      <c r="S240" s="126"/>
      <c r="T240" s="126"/>
      <c r="U240" s="126"/>
      <c r="V240" s="126"/>
      <c r="W240" s="126"/>
      <c r="X240" s="126"/>
      <c r="Y240" s="126"/>
      <c r="Z240" s="126"/>
      <c r="AA240" s="126"/>
      <c r="AB240" s="126"/>
      <c r="AC240" s="126"/>
      <c r="AD240" s="126"/>
      <c r="AE240" s="126"/>
      <c r="AF240" s="126"/>
      <c r="AG240" s="126"/>
      <c r="AH240" s="126"/>
      <c r="AI240" s="126"/>
      <c r="AJ240" s="126"/>
      <c r="AK240" s="126"/>
      <c r="AL240" s="126"/>
      <c r="AM240" s="126"/>
      <c r="AN240" s="126"/>
      <c r="AO240" s="126"/>
    </row>
    <row r="241">
      <c r="A241" s="158"/>
      <c r="B241" s="158"/>
      <c r="C241" s="158"/>
      <c r="D241" s="158"/>
      <c r="E241" s="158"/>
      <c r="F241" s="158"/>
      <c r="G241" s="158"/>
      <c r="H241" s="158"/>
      <c r="I241" s="145"/>
      <c r="J241" s="158"/>
      <c r="K241" s="158"/>
      <c r="L241" s="126"/>
      <c r="M241" s="126"/>
      <c r="N241" s="126"/>
      <c r="O241" s="126"/>
      <c r="P241" s="126"/>
      <c r="Q241" s="126"/>
      <c r="R241" s="126"/>
      <c r="S241" s="126"/>
      <c r="T241" s="126"/>
      <c r="U241" s="126"/>
      <c r="V241" s="126"/>
      <c r="W241" s="126"/>
      <c r="X241" s="126"/>
      <c r="Y241" s="126"/>
      <c r="Z241" s="126"/>
      <c r="AA241" s="126"/>
      <c r="AB241" s="126"/>
      <c r="AC241" s="126"/>
      <c r="AD241" s="126"/>
      <c r="AE241" s="126"/>
      <c r="AF241" s="126"/>
      <c r="AG241" s="126"/>
      <c r="AH241" s="126"/>
      <c r="AI241" s="126"/>
      <c r="AJ241" s="126"/>
      <c r="AK241" s="126"/>
      <c r="AL241" s="126"/>
      <c r="AM241" s="126"/>
      <c r="AN241" s="126"/>
      <c r="AO241" s="126"/>
    </row>
    <row r="242">
      <c r="A242" s="158"/>
      <c r="B242" s="158"/>
      <c r="C242" s="158"/>
      <c r="D242" s="158"/>
      <c r="E242" s="158"/>
      <c r="F242" s="158"/>
      <c r="G242" s="158"/>
      <c r="H242" s="158"/>
      <c r="I242" s="145"/>
      <c r="J242" s="158"/>
      <c r="K242" s="158"/>
      <c r="L242" s="126"/>
      <c r="M242" s="126"/>
      <c r="N242" s="126"/>
      <c r="O242" s="126"/>
      <c r="P242" s="126"/>
      <c r="Q242" s="126"/>
      <c r="R242" s="126"/>
      <c r="S242" s="126"/>
      <c r="T242" s="126"/>
      <c r="U242" s="126"/>
      <c r="V242" s="126"/>
      <c r="W242" s="126"/>
      <c r="X242" s="126"/>
      <c r="Y242" s="126"/>
      <c r="Z242" s="126"/>
      <c r="AA242" s="126"/>
      <c r="AB242" s="126"/>
      <c r="AC242" s="126"/>
      <c r="AD242" s="126"/>
      <c r="AE242" s="126"/>
      <c r="AF242" s="126"/>
      <c r="AG242" s="126"/>
      <c r="AH242" s="126"/>
      <c r="AI242" s="126"/>
      <c r="AJ242" s="126"/>
      <c r="AK242" s="126"/>
      <c r="AL242" s="126"/>
      <c r="AM242" s="126"/>
      <c r="AN242" s="126"/>
      <c r="AO242" s="126"/>
    </row>
    <row r="243">
      <c r="A243" s="158"/>
      <c r="B243" s="158"/>
      <c r="C243" s="158"/>
      <c r="D243" s="158"/>
      <c r="E243" s="158"/>
      <c r="F243" s="158"/>
      <c r="G243" s="158"/>
      <c r="H243" s="158"/>
      <c r="I243" s="145"/>
      <c r="J243" s="158"/>
      <c r="K243" s="158"/>
      <c r="L243" s="126"/>
      <c r="M243" s="126"/>
      <c r="N243" s="126"/>
      <c r="O243" s="126"/>
      <c r="P243" s="126"/>
      <c r="Q243" s="126"/>
      <c r="R243" s="126"/>
      <c r="S243" s="126"/>
      <c r="T243" s="126"/>
      <c r="U243" s="126"/>
      <c r="V243" s="126"/>
      <c r="W243" s="126"/>
      <c r="X243" s="126"/>
      <c r="Y243" s="126"/>
      <c r="Z243" s="126"/>
      <c r="AA243" s="126"/>
      <c r="AB243" s="126"/>
      <c r="AC243" s="126"/>
      <c r="AD243" s="126"/>
      <c r="AE243" s="126"/>
      <c r="AF243" s="126"/>
      <c r="AG243" s="126"/>
      <c r="AH243" s="126"/>
      <c r="AI243" s="126"/>
      <c r="AJ243" s="126"/>
      <c r="AK243" s="126"/>
      <c r="AL243" s="126"/>
      <c r="AM243" s="126"/>
      <c r="AN243" s="126"/>
      <c r="AO243" s="126"/>
    </row>
    <row r="244">
      <c r="A244" s="158"/>
      <c r="B244" s="158"/>
      <c r="C244" s="158"/>
      <c r="D244" s="158"/>
      <c r="E244" s="158"/>
      <c r="F244" s="158"/>
      <c r="G244" s="158"/>
      <c r="H244" s="158"/>
      <c r="I244" s="145"/>
      <c r="J244" s="158"/>
      <c r="K244" s="158"/>
      <c r="L244" s="126"/>
      <c r="M244" s="126"/>
      <c r="N244" s="126"/>
      <c r="O244" s="126"/>
      <c r="P244" s="126"/>
      <c r="Q244" s="126"/>
      <c r="R244" s="126"/>
      <c r="S244" s="126"/>
      <c r="T244" s="126"/>
      <c r="U244" s="126"/>
      <c r="V244" s="126"/>
      <c r="W244" s="126"/>
      <c r="X244" s="126"/>
      <c r="Y244" s="126"/>
      <c r="Z244" s="126"/>
      <c r="AA244" s="126"/>
      <c r="AB244" s="126"/>
      <c r="AC244" s="126"/>
      <c r="AD244" s="126"/>
      <c r="AE244" s="126"/>
      <c r="AF244" s="126"/>
      <c r="AG244" s="126"/>
      <c r="AH244" s="126"/>
      <c r="AI244" s="126"/>
      <c r="AJ244" s="126"/>
      <c r="AK244" s="126"/>
      <c r="AL244" s="126"/>
      <c r="AM244" s="126"/>
      <c r="AN244" s="126"/>
      <c r="AO244" s="126"/>
    </row>
    <row r="245">
      <c r="A245" s="158"/>
      <c r="B245" s="158"/>
      <c r="C245" s="158"/>
      <c r="D245" s="158"/>
      <c r="E245" s="158"/>
      <c r="F245" s="158"/>
      <c r="G245" s="158"/>
      <c r="H245" s="158"/>
      <c r="I245" s="145"/>
      <c r="J245" s="158"/>
      <c r="K245" s="158"/>
      <c r="L245" s="126"/>
      <c r="M245" s="126"/>
      <c r="N245" s="126"/>
      <c r="O245" s="126"/>
      <c r="P245" s="126"/>
      <c r="Q245" s="126"/>
      <c r="R245" s="126"/>
      <c r="S245" s="126"/>
      <c r="T245" s="126"/>
      <c r="U245" s="126"/>
      <c r="V245" s="126"/>
      <c r="W245" s="126"/>
      <c r="X245" s="126"/>
      <c r="Y245" s="126"/>
      <c r="Z245" s="126"/>
      <c r="AA245" s="126"/>
      <c r="AB245" s="126"/>
      <c r="AC245" s="126"/>
      <c r="AD245" s="126"/>
      <c r="AE245" s="126"/>
      <c r="AF245" s="126"/>
      <c r="AG245" s="126"/>
      <c r="AH245" s="126"/>
      <c r="AI245" s="126"/>
      <c r="AJ245" s="126"/>
      <c r="AK245" s="126"/>
      <c r="AL245" s="126"/>
      <c r="AM245" s="126"/>
      <c r="AN245" s="126"/>
      <c r="AO245" s="126"/>
    </row>
    <row r="246">
      <c r="A246" s="158"/>
      <c r="B246" s="158"/>
      <c r="C246" s="158"/>
      <c r="D246" s="158"/>
      <c r="E246" s="158"/>
      <c r="F246" s="158"/>
      <c r="G246" s="158"/>
      <c r="H246" s="158"/>
      <c r="I246" s="145"/>
      <c r="J246" s="158"/>
      <c r="K246" s="158"/>
      <c r="L246" s="126"/>
      <c r="M246" s="126"/>
      <c r="N246" s="126"/>
      <c r="O246" s="126"/>
      <c r="P246" s="126"/>
      <c r="Q246" s="126"/>
      <c r="R246" s="126"/>
      <c r="S246" s="126"/>
      <c r="T246" s="126"/>
      <c r="U246" s="126"/>
      <c r="V246" s="126"/>
      <c r="W246" s="126"/>
      <c r="X246" s="126"/>
      <c r="Y246" s="126"/>
      <c r="Z246" s="126"/>
      <c r="AA246" s="126"/>
      <c r="AB246" s="126"/>
      <c r="AC246" s="126"/>
      <c r="AD246" s="126"/>
      <c r="AE246" s="126"/>
      <c r="AF246" s="126"/>
      <c r="AG246" s="126"/>
      <c r="AH246" s="126"/>
      <c r="AI246" s="126"/>
      <c r="AJ246" s="126"/>
      <c r="AK246" s="126"/>
      <c r="AL246" s="126"/>
      <c r="AM246" s="126"/>
      <c r="AN246" s="126"/>
      <c r="AO246" s="126"/>
    </row>
    <row r="247">
      <c r="A247" s="158"/>
      <c r="B247" s="158"/>
      <c r="C247" s="158"/>
      <c r="D247" s="158"/>
      <c r="E247" s="158"/>
      <c r="F247" s="158"/>
      <c r="G247" s="158"/>
      <c r="H247" s="158"/>
      <c r="I247" s="145"/>
      <c r="J247" s="158"/>
      <c r="K247" s="158"/>
      <c r="L247" s="126"/>
      <c r="M247" s="126"/>
      <c r="N247" s="126"/>
      <c r="O247" s="126"/>
      <c r="P247" s="126"/>
      <c r="Q247" s="126"/>
      <c r="R247" s="126"/>
      <c r="S247" s="126"/>
      <c r="T247" s="126"/>
      <c r="U247" s="126"/>
      <c r="V247" s="126"/>
      <c r="W247" s="126"/>
      <c r="X247" s="126"/>
      <c r="Y247" s="126"/>
      <c r="Z247" s="126"/>
      <c r="AA247" s="126"/>
      <c r="AB247" s="126"/>
      <c r="AC247" s="126"/>
      <c r="AD247" s="126"/>
      <c r="AE247" s="126"/>
      <c r="AF247" s="126"/>
      <c r="AG247" s="126"/>
      <c r="AH247" s="126"/>
      <c r="AI247" s="126"/>
      <c r="AJ247" s="126"/>
      <c r="AK247" s="126"/>
      <c r="AL247" s="126"/>
      <c r="AM247" s="126"/>
      <c r="AN247" s="126"/>
      <c r="AO247" s="126"/>
    </row>
    <row r="248">
      <c r="A248" s="158"/>
      <c r="B248" s="158"/>
      <c r="C248" s="158"/>
      <c r="D248" s="158"/>
      <c r="E248" s="158"/>
      <c r="F248" s="158"/>
      <c r="G248" s="158"/>
      <c r="H248" s="158"/>
      <c r="I248" s="145"/>
      <c r="J248" s="158"/>
      <c r="K248" s="158"/>
      <c r="L248" s="126"/>
      <c r="M248" s="126"/>
      <c r="N248" s="126"/>
      <c r="O248" s="126"/>
      <c r="P248" s="126"/>
      <c r="Q248" s="126"/>
      <c r="R248" s="126"/>
      <c r="S248" s="126"/>
      <c r="T248" s="126"/>
      <c r="U248" s="126"/>
      <c r="V248" s="126"/>
      <c r="W248" s="126"/>
      <c r="X248" s="126"/>
      <c r="Y248" s="126"/>
      <c r="Z248" s="126"/>
      <c r="AA248" s="126"/>
      <c r="AB248" s="126"/>
      <c r="AC248" s="126"/>
      <c r="AD248" s="126"/>
      <c r="AE248" s="126"/>
      <c r="AF248" s="126"/>
      <c r="AG248" s="126"/>
      <c r="AH248" s="126"/>
      <c r="AI248" s="126"/>
      <c r="AJ248" s="126"/>
      <c r="AK248" s="126"/>
      <c r="AL248" s="126"/>
      <c r="AM248" s="126"/>
      <c r="AN248" s="126"/>
      <c r="AO248" s="126"/>
    </row>
    <row r="249">
      <c r="A249" s="158"/>
      <c r="B249" s="158"/>
      <c r="C249" s="158"/>
      <c r="D249" s="158"/>
      <c r="E249" s="158"/>
      <c r="F249" s="158"/>
      <c r="G249" s="158"/>
      <c r="H249" s="158"/>
      <c r="I249" s="145"/>
      <c r="J249" s="158"/>
      <c r="K249" s="158"/>
      <c r="L249" s="126"/>
      <c r="M249" s="126"/>
      <c r="N249" s="126"/>
      <c r="O249" s="126"/>
      <c r="P249" s="126"/>
      <c r="Q249" s="126"/>
      <c r="R249" s="126"/>
      <c r="S249" s="126"/>
      <c r="T249" s="126"/>
      <c r="U249" s="126"/>
      <c r="V249" s="126"/>
      <c r="W249" s="126"/>
      <c r="X249" s="126"/>
      <c r="Y249" s="126"/>
      <c r="Z249" s="126"/>
      <c r="AA249" s="126"/>
      <c r="AB249" s="126"/>
      <c r="AC249" s="126"/>
      <c r="AD249" s="126"/>
      <c r="AE249" s="126"/>
      <c r="AF249" s="126"/>
      <c r="AG249" s="126"/>
      <c r="AH249" s="126"/>
      <c r="AI249" s="126"/>
      <c r="AJ249" s="126"/>
      <c r="AK249" s="126"/>
      <c r="AL249" s="126"/>
      <c r="AM249" s="126"/>
      <c r="AN249" s="126"/>
      <c r="AO249" s="126"/>
    </row>
    <row r="250">
      <c r="A250" s="158"/>
      <c r="B250" s="158"/>
      <c r="C250" s="158"/>
      <c r="D250" s="158"/>
      <c r="E250" s="158"/>
      <c r="F250" s="158"/>
      <c r="G250" s="158"/>
      <c r="H250" s="158"/>
      <c r="I250" s="145"/>
      <c r="J250" s="158"/>
      <c r="K250" s="158"/>
      <c r="L250" s="126"/>
      <c r="M250" s="126"/>
      <c r="N250" s="126"/>
      <c r="O250" s="126"/>
      <c r="P250" s="126"/>
      <c r="Q250" s="126"/>
      <c r="R250" s="126"/>
      <c r="S250" s="126"/>
      <c r="T250" s="126"/>
      <c r="U250" s="126"/>
      <c r="V250" s="126"/>
      <c r="W250" s="126"/>
      <c r="X250" s="126"/>
      <c r="Y250" s="126"/>
      <c r="Z250" s="126"/>
      <c r="AA250" s="126"/>
      <c r="AB250" s="126"/>
      <c r="AC250" s="126"/>
      <c r="AD250" s="126"/>
      <c r="AE250" s="126"/>
      <c r="AF250" s="126"/>
      <c r="AG250" s="126"/>
      <c r="AH250" s="126"/>
      <c r="AI250" s="126"/>
      <c r="AJ250" s="126"/>
      <c r="AK250" s="126"/>
      <c r="AL250" s="126"/>
      <c r="AM250" s="126"/>
      <c r="AN250" s="126"/>
      <c r="AO250" s="126"/>
    </row>
    <row r="251">
      <c r="A251" s="158"/>
      <c r="B251" s="158"/>
      <c r="C251" s="158"/>
      <c r="D251" s="158"/>
      <c r="E251" s="158"/>
      <c r="F251" s="158"/>
      <c r="G251" s="158"/>
      <c r="H251" s="158"/>
      <c r="I251" s="145"/>
      <c r="J251" s="158"/>
      <c r="K251" s="158"/>
      <c r="L251" s="126"/>
      <c r="M251" s="126"/>
      <c r="N251" s="126"/>
      <c r="O251" s="126"/>
      <c r="P251" s="126"/>
      <c r="Q251" s="126"/>
      <c r="R251" s="126"/>
      <c r="S251" s="126"/>
      <c r="T251" s="126"/>
      <c r="U251" s="126"/>
      <c r="V251" s="126"/>
      <c r="W251" s="126"/>
      <c r="X251" s="126"/>
      <c r="Y251" s="126"/>
      <c r="Z251" s="126"/>
      <c r="AA251" s="126"/>
      <c r="AB251" s="126"/>
      <c r="AC251" s="126"/>
      <c r="AD251" s="126"/>
      <c r="AE251" s="126"/>
      <c r="AF251" s="126"/>
      <c r="AG251" s="126"/>
      <c r="AH251" s="126"/>
      <c r="AI251" s="126"/>
      <c r="AJ251" s="126"/>
      <c r="AK251" s="126"/>
      <c r="AL251" s="126"/>
      <c r="AM251" s="126"/>
      <c r="AN251" s="126"/>
      <c r="AO251" s="126"/>
    </row>
    <row r="252">
      <c r="A252" s="158"/>
      <c r="B252" s="158"/>
      <c r="C252" s="158"/>
      <c r="D252" s="158"/>
      <c r="E252" s="158"/>
      <c r="F252" s="158"/>
      <c r="G252" s="158"/>
      <c r="H252" s="158"/>
      <c r="I252" s="145"/>
      <c r="J252" s="158"/>
      <c r="K252" s="158"/>
      <c r="L252" s="126"/>
      <c r="M252" s="126"/>
      <c r="N252" s="126"/>
      <c r="O252" s="126"/>
      <c r="P252" s="126"/>
      <c r="Q252" s="126"/>
      <c r="R252" s="126"/>
      <c r="S252" s="126"/>
      <c r="T252" s="126"/>
      <c r="U252" s="126"/>
      <c r="V252" s="126"/>
      <c r="W252" s="126"/>
      <c r="X252" s="126"/>
      <c r="Y252" s="126"/>
      <c r="Z252" s="126"/>
      <c r="AA252" s="126"/>
      <c r="AB252" s="126"/>
      <c r="AC252" s="126"/>
      <c r="AD252" s="126"/>
      <c r="AE252" s="126"/>
      <c r="AF252" s="126"/>
      <c r="AG252" s="126"/>
      <c r="AH252" s="126"/>
      <c r="AI252" s="126"/>
      <c r="AJ252" s="126"/>
      <c r="AK252" s="126"/>
      <c r="AL252" s="126"/>
      <c r="AM252" s="126"/>
      <c r="AN252" s="126"/>
      <c r="AO252" s="126"/>
    </row>
    <row r="253">
      <c r="A253" s="158"/>
      <c r="B253" s="158"/>
      <c r="C253" s="158"/>
      <c r="D253" s="158"/>
      <c r="E253" s="158"/>
      <c r="F253" s="158"/>
      <c r="G253" s="158"/>
      <c r="H253" s="158"/>
      <c r="I253" s="145"/>
      <c r="J253" s="158"/>
      <c r="K253" s="158"/>
      <c r="L253" s="126"/>
      <c r="M253" s="126"/>
      <c r="N253" s="126"/>
      <c r="O253" s="126"/>
      <c r="P253" s="126"/>
      <c r="Q253" s="126"/>
      <c r="R253" s="126"/>
      <c r="S253" s="126"/>
      <c r="T253" s="126"/>
      <c r="U253" s="126"/>
      <c r="V253" s="126"/>
      <c r="W253" s="126"/>
      <c r="X253" s="126"/>
      <c r="Y253" s="126"/>
      <c r="Z253" s="126"/>
      <c r="AA253" s="126"/>
      <c r="AB253" s="126"/>
      <c r="AC253" s="126"/>
      <c r="AD253" s="126"/>
      <c r="AE253" s="126"/>
      <c r="AF253" s="126"/>
      <c r="AG253" s="126"/>
      <c r="AH253" s="126"/>
      <c r="AI253" s="126"/>
      <c r="AJ253" s="126"/>
      <c r="AK253" s="126"/>
      <c r="AL253" s="126"/>
      <c r="AM253" s="126"/>
      <c r="AN253" s="126"/>
      <c r="AO253" s="126"/>
    </row>
    <row r="254">
      <c r="A254" s="158"/>
      <c r="B254" s="158"/>
      <c r="C254" s="158"/>
      <c r="D254" s="158"/>
      <c r="E254" s="158"/>
      <c r="F254" s="158"/>
      <c r="G254" s="158"/>
      <c r="H254" s="158"/>
      <c r="I254" s="145"/>
      <c r="J254" s="158"/>
      <c r="K254" s="158"/>
      <c r="L254" s="126"/>
      <c r="M254" s="126"/>
      <c r="N254" s="126"/>
      <c r="O254" s="126"/>
      <c r="P254" s="126"/>
      <c r="Q254" s="126"/>
      <c r="R254" s="126"/>
      <c r="S254" s="126"/>
      <c r="T254" s="126"/>
      <c r="U254" s="126"/>
      <c r="V254" s="126"/>
      <c r="W254" s="126"/>
      <c r="X254" s="126"/>
      <c r="Y254" s="126"/>
      <c r="Z254" s="126"/>
      <c r="AA254" s="126"/>
      <c r="AB254" s="126"/>
      <c r="AC254" s="126"/>
      <c r="AD254" s="126"/>
      <c r="AE254" s="126"/>
      <c r="AF254" s="126"/>
      <c r="AG254" s="126"/>
      <c r="AH254" s="126"/>
      <c r="AI254" s="126"/>
      <c r="AJ254" s="126"/>
      <c r="AK254" s="126"/>
      <c r="AL254" s="126"/>
      <c r="AM254" s="126"/>
      <c r="AN254" s="126"/>
      <c r="AO254" s="126"/>
    </row>
    <row r="255">
      <c r="A255" s="158"/>
      <c r="B255" s="158"/>
      <c r="C255" s="158"/>
      <c r="D255" s="158"/>
      <c r="E255" s="158"/>
      <c r="F255" s="158"/>
      <c r="G255" s="158"/>
      <c r="H255" s="158"/>
      <c r="I255" s="145"/>
      <c r="J255" s="158"/>
      <c r="K255" s="158"/>
      <c r="L255" s="126"/>
      <c r="M255" s="126"/>
      <c r="N255" s="126"/>
      <c r="O255" s="126"/>
      <c r="P255" s="126"/>
      <c r="Q255" s="126"/>
      <c r="R255" s="126"/>
      <c r="S255" s="126"/>
      <c r="T255" s="126"/>
      <c r="U255" s="126"/>
      <c r="V255" s="126"/>
      <c r="W255" s="126"/>
      <c r="X255" s="126"/>
      <c r="Y255" s="126"/>
      <c r="Z255" s="126"/>
      <c r="AA255" s="126"/>
      <c r="AB255" s="126"/>
      <c r="AC255" s="126"/>
      <c r="AD255" s="126"/>
      <c r="AE255" s="126"/>
      <c r="AF255" s="126"/>
      <c r="AG255" s="126"/>
      <c r="AH255" s="126"/>
      <c r="AI255" s="126"/>
      <c r="AJ255" s="126"/>
      <c r="AK255" s="126"/>
      <c r="AL255" s="126"/>
      <c r="AM255" s="126"/>
      <c r="AN255" s="126"/>
      <c r="AO255" s="126"/>
    </row>
    <row r="256">
      <c r="A256" s="158"/>
      <c r="B256" s="158"/>
      <c r="C256" s="158"/>
      <c r="D256" s="158"/>
      <c r="E256" s="158"/>
      <c r="F256" s="158"/>
      <c r="G256" s="158"/>
      <c r="H256" s="158"/>
      <c r="I256" s="145"/>
      <c r="J256" s="158"/>
      <c r="K256" s="158"/>
      <c r="L256" s="126"/>
      <c r="M256" s="126"/>
      <c r="N256" s="126"/>
      <c r="O256" s="126"/>
      <c r="P256" s="126"/>
      <c r="Q256" s="126"/>
      <c r="R256" s="126"/>
      <c r="S256" s="126"/>
      <c r="T256" s="126"/>
      <c r="U256" s="126"/>
      <c r="V256" s="126"/>
      <c r="W256" s="126"/>
      <c r="X256" s="126"/>
      <c r="Y256" s="126"/>
      <c r="Z256" s="126"/>
      <c r="AA256" s="126"/>
      <c r="AB256" s="126"/>
      <c r="AC256" s="126"/>
      <c r="AD256" s="126"/>
      <c r="AE256" s="126"/>
      <c r="AF256" s="126"/>
      <c r="AG256" s="126"/>
      <c r="AH256" s="126"/>
      <c r="AI256" s="126"/>
      <c r="AJ256" s="126"/>
      <c r="AK256" s="126"/>
      <c r="AL256" s="126"/>
      <c r="AM256" s="126"/>
      <c r="AN256" s="126"/>
      <c r="AO256" s="126"/>
    </row>
    <row r="257">
      <c r="A257" s="158"/>
      <c r="B257" s="158"/>
      <c r="C257" s="158"/>
      <c r="D257" s="158"/>
      <c r="E257" s="158"/>
      <c r="F257" s="158"/>
      <c r="G257" s="158"/>
      <c r="H257" s="158"/>
      <c r="I257" s="145"/>
      <c r="J257" s="158"/>
      <c r="K257" s="158"/>
      <c r="L257" s="126"/>
      <c r="M257" s="126"/>
      <c r="N257" s="126"/>
      <c r="O257" s="126"/>
      <c r="P257" s="126"/>
      <c r="Q257" s="126"/>
      <c r="R257" s="126"/>
      <c r="S257" s="126"/>
      <c r="T257" s="126"/>
      <c r="U257" s="126"/>
      <c r="V257" s="126"/>
      <c r="W257" s="126"/>
      <c r="X257" s="126"/>
      <c r="Y257" s="126"/>
      <c r="Z257" s="126"/>
      <c r="AA257" s="126"/>
      <c r="AB257" s="126"/>
      <c r="AC257" s="126"/>
      <c r="AD257" s="126"/>
      <c r="AE257" s="126"/>
      <c r="AF257" s="126"/>
      <c r="AG257" s="126"/>
      <c r="AH257" s="126"/>
      <c r="AI257" s="126"/>
      <c r="AJ257" s="126"/>
      <c r="AK257" s="126"/>
      <c r="AL257" s="126"/>
      <c r="AM257" s="126"/>
      <c r="AN257" s="126"/>
      <c r="AO257" s="126"/>
    </row>
    <row r="258">
      <c r="A258" s="158"/>
      <c r="B258" s="158"/>
      <c r="C258" s="158"/>
      <c r="D258" s="158"/>
      <c r="E258" s="158"/>
      <c r="F258" s="158"/>
      <c r="G258" s="158"/>
      <c r="H258" s="158"/>
      <c r="I258" s="145"/>
      <c r="J258" s="158"/>
      <c r="K258" s="158"/>
      <c r="L258" s="126"/>
      <c r="M258" s="126"/>
      <c r="N258" s="126"/>
      <c r="O258" s="126"/>
      <c r="P258" s="126"/>
      <c r="Q258" s="126"/>
      <c r="R258" s="126"/>
      <c r="S258" s="126"/>
      <c r="T258" s="126"/>
      <c r="U258" s="126"/>
      <c r="V258" s="126"/>
      <c r="W258" s="126"/>
      <c r="X258" s="126"/>
      <c r="Y258" s="126"/>
      <c r="Z258" s="126"/>
      <c r="AA258" s="126"/>
      <c r="AB258" s="126"/>
      <c r="AC258" s="126"/>
      <c r="AD258" s="126"/>
      <c r="AE258" s="126"/>
      <c r="AF258" s="126"/>
      <c r="AG258" s="126"/>
      <c r="AH258" s="126"/>
      <c r="AI258" s="126"/>
      <c r="AJ258" s="126"/>
      <c r="AK258" s="126"/>
      <c r="AL258" s="126"/>
      <c r="AM258" s="126"/>
      <c r="AN258" s="126"/>
      <c r="AO258" s="126"/>
    </row>
    <row r="259">
      <c r="A259" s="158"/>
      <c r="B259" s="158"/>
      <c r="C259" s="158"/>
      <c r="D259" s="158"/>
      <c r="E259" s="158"/>
      <c r="F259" s="158"/>
      <c r="G259" s="158"/>
      <c r="H259" s="158"/>
      <c r="I259" s="145"/>
      <c r="J259" s="158"/>
      <c r="K259" s="158"/>
      <c r="L259" s="126"/>
      <c r="M259" s="126"/>
      <c r="N259" s="126"/>
      <c r="O259" s="126"/>
      <c r="P259" s="126"/>
      <c r="Q259" s="126"/>
      <c r="R259" s="126"/>
      <c r="S259" s="126"/>
      <c r="T259" s="126"/>
      <c r="U259" s="126"/>
      <c r="V259" s="126"/>
      <c r="W259" s="126"/>
      <c r="X259" s="126"/>
      <c r="Y259" s="126"/>
      <c r="Z259" s="126"/>
      <c r="AA259" s="126"/>
      <c r="AB259" s="126"/>
      <c r="AC259" s="126"/>
      <c r="AD259" s="126"/>
      <c r="AE259" s="126"/>
      <c r="AF259" s="126"/>
      <c r="AG259" s="126"/>
      <c r="AH259" s="126"/>
      <c r="AI259" s="126"/>
      <c r="AJ259" s="126"/>
      <c r="AK259" s="126"/>
      <c r="AL259" s="126"/>
      <c r="AM259" s="126"/>
      <c r="AN259" s="126"/>
      <c r="AO259" s="126"/>
    </row>
    <row r="260">
      <c r="A260" s="158"/>
      <c r="B260" s="158"/>
      <c r="C260" s="158"/>
      <c r="D260" s="158"/>
      <c r="E260" s="158"/>
      <c r="F260" s="158"/>
      <c r="G260" s="158"/>
      <c r="H260" s="158"/>
      <c r="I260" s="145"/>
      <c r="J260" s="158"/>
      <c r="K260" s="158"/>
      <c r="L260" s="126"/>
      <c r="M260" s="126"/>
      <c r="N260" s="126"/>
      <c r="O260" s="126"/>
      <c r="P260" s="126"/>
      <c r="Q260" s="126"/>
      <c r="R260" s="126"/>
      <c r="S260" s="126"/>
      <c r="T260" s="126"/>
      <c r="U260" s="126"/>
      <c r="V260" s="126"/>
      <c r="W260" s="126"/>
      <c r="X260" s="126"/>
      <c r="Y260" s="126"/>
      <c r="Z260" s="126"/>
      <c r="AA260" s="126"/>
      <c r="AB260" s="126"/>
      <c r="AC260" s="126"/>
      <c r="AD260" s="126"/>
      <c r="AE260" s="126"/>
      <c r="AF260" s="126"/>
      <c r="AG260" s="126"/>
      <c r="AH260" s="126"/>
      <c r="AI260" s="126"/>
      <c r="AJ260" s="126"/>
      <c r="AK260" s="126"/>
      <c r="AL260" s="126"/>
      <c r="AM260" s="126"/>
      <c r="AN260" s="126"/>
      <c r="AO260" s="126"/>
    </row>
    <row r="261">
      <c r="A261" s="158"/>
      <c r="B261" s="158"/>
      <c r="C261" s="158"/>
      <c r="D261" s="158"/>
      <c r="E261" s="158"/>
      <c r="F261" s="158"/>
      <c r="G261" s="158"/>
      <c r="H261" s="158"/>
      <c r="I261" s="145"/>
      <c r="J261" s="158"/>
      <c r="K261" s="158"/>
      <c r="L261" s="126"/>
      <c r="M261" s="126"/>
      <c r="N261" s="126"/>
      <c r="O261" s="126"/>
      <c r="P261" s="126"/>
      <c r="Q261" s="126"/>
      <c r="R261" s="126"/>
      <c r="S261" s="126"/>
      <c r="T261" s="126"/>
      <c r="U261" s="126"/>
      <c r="V261" s="126"/>
      <c r="W261" s="126"/>
      <c r="X261" s="126"/>
      <c r="Y261" s="126"/>
      <c r="Z261" s="126"/>
      <c r="AA261" s="126"/>
      <c r="AB261" s="126"/>
      <c r="AC261" s="126"/>
      <c r="AD261" s="126"/>
      <c r="AE261" s="126"/>
      <c r="AF261" s="126"/>
      <c r="AG261" s="126"/>
      <c r="AH261" s="126"/>
      <c r="AI261" s="126"/>
      <c r="AJ261" s="126"/>
      <c r="AK261" s="126"/>
      <c r="AL261" s="126"/>
      <c r="AM261" s="126"/>
      <c r="AN261" s="126"/>
      <c r="AO261" s="126"/>
    </row>
    <row r="262">
      <c r="A262" s="158"/>
      <c r="B262" s="158"/>
      <c r="C262" s="158"/>
      <c r="D262" s="158"/>
      <c r="E262" s="158"/>
      <c r="F262" s="158"/>
      <c r="G262" s="158"/>
      <c r="H262" s="158"/>
      <c r="I262" s="145"/>
      <c r="J262" s="158"/>
      <c r="K262" s="158"/>
      <c r="L262" s="126"/>
      <c r="M262" s="126"/>
      <c r="N262" s="126"/>
      <c r="O262" s="126"/>
      <c r="P262" s="126"/>
      <c r="Q262" s="126"/>
      <c r="R262" s="126"/>
      <c r="S262" s="126"/>
      <c r="T262" s="126"/>
      <c r="U262" s="126"/>
      <c r="V262" s="126"/>
      <c r="W262" s="126"/>
      <c r="X262" s="126"/>
      <c r="Y262" s="126"/>
      <c r="Z262" s="126"/>
      <c r="AA262" s="126"/>
      <c r="AB262" s="126"/>
      <c r="AC262" s="126"/>
      <c r="AD262" s="126"/>
      <c r="AE262" s="126"/>
      <c r="AF262" s="126"/>
      <c r="AG262" s="126"/>
      <c r="AH262" s="126"/>
      <c r="AI262" s="126"/>
      <c r="AJ262" s="126"/>
      <c r="AK262" s="126"/>
      <c r="AL262" s="126"/>
      <c r="AM262" s="126"/>
      <c r="AN262" s="126"/>
      <c r="AO262" s="126"/>
    </row>
    <row r="263">
      <c r="A263" s="158"/>
      <c r="B263" s="158"/>
      <c r="C263" s="158"/>
      <c r="D263" s="158"/>
      <c r="E263" s="158"/>
      <c r="F263" s="158"/>
      <c r="G263" s="158"/>
      <c r="H263" s="158"/>
      <c r="I263" s="145"/>
      <c r="J263" s="158"/>
      <c r="K263" s="158"/>
      <c r="L263" s="126"/>
      <c r="M263" s="126"/>
      <c r="N263" s="126"/>
      <c r="O263" s="126"/>
      <c r="P263" s="126"/>
      <c r="Q263" s="126"/>
      <c r="R263" s="126"/>
      <c r="S263" s="126"/>
      <c r="T263" s="126"/>
      <c r="U263" s="126"/>
      <c r="V263" s="126"/>
      <c r="W263" s="126"/>
      <c r="X263" s="126"/>
      <c r="Y263" s="126"/>
      <c r="Z263" s="126"/>
      <c r="AA263" s="126"/>
      <c r="AB263" s="126"/>
      <c r="AC263" s="126"/>
      <c r="AD263" s="126"/>
      <c r="AE263" s="126"/>
      <c r="AF263" s="126"/>
      <c r="AG263" s="126"/>
      <c r="AH263" s="126"/>
      <c r="AI263" s="126"/>
      <c r="AJ263" s="126"/>
      <c r="AK263" s="126"/>
      <c r="AL263" s="126"/>
      <c r="AM263" s="126"/>
      <c r="AN263" s="126"/>
      <c r="AO263" s="126"/>
    </row>
    <row r="264">
      <c r="A264" s="158"/>
      <c r="B264" s="158"/>
      <c r="C264" s="158"/>
      <c r="D264" s="158"/>
      <c r="E264" s="158"/>
      <c r="F264" s="158"/>
      <c r="G264" s="158"/>
      <c r="H264" s="158"/>
      <c r="I264" s="145"/>
      <c r="J264" s="158"/>
      <c r="K264" s="158"/>
      <c r="L264" s="126"/>
      <c r="M264" s="126"/>
      <c r="N264" s="126"/>
      <c r="O264" s="126"/>
      <c r="P264" s="126"/>
      <c r="Q264" s="126"/>
      <c r="R264" s="126"/>
      <c r="S264" s="126"/>
      <c r="T264" s="126"/>
      <c r="U264" s="126"/>
      <c r="V264" s="126"/>
      <c r="W264" s="126"/>
      <c r="X264" s="126"/>
      <c r="Y264" s="126"/>
      <c r="Z264" s="126"/>
      <c r="AA264" s="126"/>
      <c r="AB264" s="126"/>
      <c r="AC264" s="126"/>
      <c r="AD264" s="126"/>
      <c r="AE264" s="126"/>
      <c r="AF264" s="126"/>
      <c r="AG264" s="126"/>
      <c r="AH264" s="126"/>
      <c r="AI264" s="126"/>
      <c r="AJ264" s="126"/>
      <c r="AK264" s="126"/>
      <c r="AL264" s="126"/>
      <c r="AM264" s="126"/>
      <c r="AN264" s="126"/>
      <c r="AO264" s="126"/>
    </row>
    <row r="265">
      <c r="A265" s="158"/>
      <c r="B265" s="158"/>
      <c r="C265" s="158"/>
      <c r="D265" s="158"/>
      <c r="E265" s="158"/>
      <c r="F265" s="158"/>
      <c r="G265" s="158"/>
      <c r="H265" s="158"/>
      <c r="I265" s="145"/>
      <c r="J265" s="158"/>
      <c r="K265" s="158"/>
      <c r="L265" s="126"/>
      <c r="M265" s="126"/>
      <c r="N265" s="126"/>
      <c r="O265" s="126"/>
      <c r="P265" s="126"/>
      <c r="Q265" s="126"/>
      <c r="R265" s="126"/>
      <c r="S265" s="126"/>
      <c r="T265" s="126"/>
      <c r="U265" s="126"/>
      <c r="V265" s="126"/>
      <c r="W265" s="126"/>
      <c r="X265" s="126"/>
      <c r="Y265" s="126"/>
      <c r="Z265" s="126"/>
      <c r="AA265" s="126"/>
      <c r="AB265" s="126"/>
      <c r="AC265" s="126"/>
      <c r="AD265" s="126"/>
      <c r="AE265" s="126"/>
      <c r="AF265" s="126"/>
      <c r="AG265" s="126"/>
      <c r="AH265" s="126"/>
      <c r="AI265" s="126"/>
      <c r="AJ265" s="126"/>
      <c r="AK265" s="126"/>
      <c r="AL265" s="126"/>
      <c r="AM265" s="126"/>
      <c r="AN265" s="126"/>
      <c r="AO265" s="126"/>
    </row>
    <row r="266">
      <c r="A266" s="158"/>
      <c r="B266" s="158"/>
      <c r="C266" s="158"/>
      <c r="D266" s="158"/>
      <c r="E266" s="158"/>
      <c r="F266" s="158"/>
      <c r="G266" s="158"/>
      <c r="H266" s="158"/>
      <c r="I266" s="145"/>
      <c r="J266" s="158"/>
      <c r="K266" s="158"/>
      <c r="L266" s="126"/>
      <c r="M266" s="126"/>
      <c r="N266" s="126"/>
      <c r="O266" s="126"/>
      <c r="P266" s="126"/>
      <c r="Q266" s="126"/>
      <c r="R266" s="126"/>
      <c r="S266" s="126"/>
      <c r="T266" s="126"/>
      <c r="U266" s="126"/>
      <c r="V266" s="126"/>
      <c r="W266" s="126"/>
      <c r="X266" s="126"/>
      <c r="Y266" s="126"/>
      <c r="Z266" s="126"/>
      <c r="AA266" s="126"/>
      <c r="AB266" s="126"/>
      <c r="AC266" s="126"/>
      <c r="AD266" s="126"/>
      <c r="AE266" s="126"/>
      <c r="AF266" s="126"/>
      <c r="AG266" s="126"/>
      <c r="AH266" s="126"/>
      <c r="AI266" s="126"/>
      <c r="AJ266" s="126"/>
      <c r="AK266" s="126"/>
      <c r="AL266" s="126"/>
      <c r="AM266" s="126"/>
      <c r="AN266" s="126"/>
      <c r="AO266" s="126"/>
    </row>
    <row r="267">
      <c r="A267" s="158"/>
      <c r="B267" s="158"/>
      <c r="C267" s="158"/>
      <c r="D267" s="158"/>
      <c r="E267" s="158"/>
      <c r="F267" s="158"/>
      <c r="G267" s="158"/>
      <c r="H267" s="158"/>
      <c r="I267" s="145"/>
      <c r="J267" s="158"/>
      <c r="K267" s="158"/>
      <c r="L267" s="126"/>
      <c r="M267" s="126"/>
      <c r="N267" s="126"/>
      <c r="O267" s="126"/>
      <c r="P267" s="126"/>
      <c r="Q267" s="126"/>
      <c r="R267" s="126"/>
      <c r="S267" s="126"/>
      <c r="T267" s="126"/>
      <c r="U267" s="126"/>
      <c r="V267" s="126"/>
      <c r="W267" s="126"/>
      <c r="X267" s="126"/>
      <c r="Y267" s="126"/>
      <c r="Z267" s="126"/>
      <c r="AA267" s="126"/>
      <c r="AB267" s="126"/>
      <c r="AC267" s="126"/>
      <c r="AD267" s="126"/>
      <c r="AE267" s="126"/>
      <c r="AF267" s="126"/>
      <c r="AG267" s="126"/>
      <c r="AH267" s="126"/>
      <c r="AI267" s="126"/>
      <c r="AJ267" s="126"/>
      <c r="AK267" s="126"/>
      <c r="AL267" s="126"/>
      <c r="AM267" s="126"/>
      <c r="AN267" s="126"/>
      <c r="AO267" s="126"/>
    </row>
    <row r="268">
      <c r="A268" s="158"/>
      <c r="B268" s="158"/>
      <c r="C268" s="158"/>
      <c r="D268" s="158"/>
      <c r="E268" s="158"/>
      <c r="F268" s="158"/>
      <c r="G268" s="158"/>
      <c r="H268" s="158"/>
      <c r="I268" s="145"/>
      <c r="J268" s="158"/>
      <c r="K268" s="158"/>
      <c r="L268" s="126"/>
      <c r="M268" s="126"/>
      <c r="N268" s="126"/>
      <c r="O268" s="126"/>
      <c r="P268" s="126"/>
      <c r="Q268" s="126"/>
      <c r="R268" s="126"/>
      <c r="S268" s="126"/>
      <c r="T268" s="126"/>
      <c r="U268" s="126"/>
      <c r="V268" s="126"/>
      <c r="W268" s="126"/>
      <c r="X268" s="126"/>
      <c r="Y268" s="126"/>
      <c r="Z268" s="126"/>
      <c r="AA268" s="126"/>
      <c r="AB268" s="126"/>
      <c r="AC268" s="126"/>
      <c r="AD268" s="126"/>
      <c r="AE268" s="126"/>
      <c r="AF268" s="126"/>
      <c r="AG268" s="126"/>
      <c r="AH268" s="126"/>
      <c r="AI268" s="126"/>
      <c r="AJ268" s="126"/>
      <c r="AK268" s="126"/>
      <c r="AL268" s="126"/>
      <c r="AM268" s="126"/>
      <c r="AN268" s="126"/>
      <c r="AO268" s="126"/>
    </row>
    <row r="269">
      <c r="A269" s="158"/>
      <c r="B269" s="158"/>
      <c r="C269" s="158"/>
      <c r="D269" s="158"/>
      <c r="E269" s="158"/>
      <c r="F269" s="158"/>
      <c r="G269" s="158"/>
      <c r="H269" s="158"/>
      <c r="I269" s="145"/>
      <c r="J269" s="158"/>
      <c r="K269" s="158"/>
      <c r="L269" s="126"/>
      <c r="M269" s="126"/>
      <c r="N269" s="126"/>
      <c r="O269" s="126"/>
      <c r="P269" s="126"/>
      <c r="Q269" s="126"/>
      <c r="R269" s="126"/>
      <c r="S269" s="126"/>
      <c r="T269" s="126"/>
      <c r="U269" s="126"/>
      <c r="V269" s="126"/>
      <c r="W269" s="126"/>
      <c r="X269" s="126"/>
      <c r="Y269" s="126"/>
      <c r="Z269" s="126"/>
      <c r="AA269" s="126"/>
      <c r="AB269" s="126"/>
      <c r="AC269" s="126"/>
      <c r="AD269" s="126"/>
      <c r="AE269" s="126"/>
      <c r="AF269" s="126"/>
      <c r="AG269" s="126"/>
      <c r="AH269" s="126"/>
      <c r="AI269" s="126"/>
      <c r="AJ269" s="126"/>
      <c r="AK269" s="126"/>
      <c r="AL269" s="126"/>
      <c r="AM269" s="126"/>
      <c r="AN269" s="126"/>
      <c r="AO269" s="126"/>
    </row>
    <row r="270">
      <c r="A270" s="158"/>
      <c r="B270" s="158"/>
      <c r="C270" s="158"/>
      <c r="D270" s="158"/>
      <c r="E270" s="158"/>
      <c r="F270" s="158"/>
      <c r="G270" s="158"/>
      <c r="H270" s="158"/>
      <c r="I270" s="145"/>
      <c r="J270" s="158"/>
      <c r="K270" s="158"/>
      <c r="L270" s="126"/>
      <c r="M270" s="126"/>
      <c r="N270" s="126"/>
      <c r="O270" s="126"/>
      <c r="P270" s="126"/>
      <c r="Q270" s="126"/>
      <c r="R270" s="126"/>
      <c r="S270" s="126"/>
      <c r="T270" s="126"/>
      <c r="U270" s="126"/>
      <c r="V270" s="126"/>
      <c r="W270" s="126"/>
      <c r="X270" s="126"/>
      <c r="Y270" s="126"/>
      <c r="Z270" s="126"/>
      <c r="AA270" s="126"/>
      <c r="AB270" s="126"/>
      <c r="AC270" s="126"/>
      <c r="AD270" s="126"/>
      <c r="AE270" s="126"/>
      <c r="AF270" s="126"/>
      <c r="AG270" s="126"/>
      <c r="AH270" s="126"/>
      <c r="AI270" s="126"/>
      <c r="AJ270" s="126"/>
      <c r="AK270" s="126"/>
      <c r="AL270" s="126"/>
      <c r="AM270" s="126"/>
      <c r="AN270" s="126"/>
      <c r="AO270" s="126"/>
    </row>
    <row r="271">
      <c r="A271" s="158"/>
      <c r="B271" s="158"/>
      <c r="C271" s="158"/>
      <c r="D271" s="158"/>
      <c r="E271" s="158"/>
      <c r="F271" s="158"/>
      <c r="G271" s="158"/>
      <c r="H271" s="158"/>
      <c r="I271" s="145"/>
      <c r="J271" s="158"/>
      <c r="K271" s="158"/>
      <c r="L271" s="126"/>
      <c r="M271" s="126"/>
      <c r="N271" s="126"/>
      <c r="O271" s="126"/>
      <c r="P271" s="126"/>
      <c r="Q271" s="126"/>
      <c r="R271" s="126"/>
      <c r="S271" s="126"/>
      <c r="T271" s="126"/>
      <c r="U271" s="126"/>
      <c r="V271" s="126"/>
      <c r="W271" s="126"/>
      <c r="X271" s="126"/>
      <c r="Y271" s="126"/>
      <c r="Z271" s="126"/>
      <c r="AA271" s="126"/>
      <c r="AB271" s="126"/>
      <c r="AC271" s="126"/>
      <c r="AD271" s="126"/>
      <c r="AE271" s="126"/>
      <c r="AF271" s="126"/>
      <c r="AG271" s="126"/>
      <c r="AH271" s="126"/>
      <c r="AI271" s="126"/>
      <c r="AJ271" s="126"/>
      <c r="AK271" s="126"/>
      <c r="AL271" s="126"/>
      <c r="AM271" s="126"/>
      <c r="AN271" s="126"/>
      <c r="AO271" s="126"/>
    </row>
    <row r="272">
      <c r="A272" s="158"/>
      <c r="B272" s="158"/>
      <c r="C272" s="158"/>
      <c r="D272" s="158"/>
      <c r="E272" s="158"/>
      <c r="F272" s="158"/>
      <c r="G272" s="158"/>
      <c r="H272" s="158"/>
      <c r="I272" s="145"/>
      <c r="J272" s="158"/>
      <c r="K272" s="158"/>
      <c r="L272" s="126"/>
      <c r="M272" s="126"/>
      <c r="N272" s="126"/>
      <c r="O272" s="126"/>
      <c r="P272" s="126"/>
      <c r="Q272" s="126"/>
      <c r="R272" s="126"/>
      <c r="S272" s="126"/>
      <c r="T272" s="126"/>
      <c r="U272" s="126"/>
      <c r="V272" s="126"/>
      <c r="W272" s="126"/>
      <c r="X272" s="126"/>
      <c r="Y272" s="126"/>
      <c r="Z272" s="126"/>
      <c r="AA272" s="126"/>
      <c r="AB272" s="126"/>
      <c r="AC272" s="126"/>
      <c r="AD272" s="126"/>
      <c r="AE272" s="126"/>
      <c r="AF272" s="126"/>
      <c r="AG272" s="126"/>
      <c r="AH272" s="126"/>
      <c r="AI272" s="126"/>
      <c r="AJ272" s="126"/>
      <c r="AK272" s="126"/>
      <c r="AL272" s="126"/>
      <c r="AM272" s="126"/>
      <c r="AN272" s="126"/>
      <c r="AO272" s="126"/>
    </row>
    <row r="273">
      <c r="A273" s="158"/>
      <c r="B273" s="158"/>
      <c r="C273" s="158"/>
      <c r="D273" s="158"/>
      <c r="E273" s="158"/>
      <c r="F273" s="158"/>
      <c r="G273" s="158"/>
      <c r="H273" s="158"/>
      <c r="I273" s="145"/>
      <c r="J273" s="158"/>
      <c r="K273" s="158"/>
      <c r="L273" s="126"/>
      <c r="M273" s="126"/>
      <c r="N273" s="126"/>
      <c r="O273" s="126"/>
      <c r="P273" s="126"/>
      <c r="Q273" s="126"/>
      <c r="R273" s="126"/>
      <c r="S273" s="126"/>
      <c r="T273" s="126"/>
      <c r="U273" s="126"/>
      <c r="V273" s="126"/>
      <c r="W273" s="126"/>
      <c r="X273" s="126"/>
      <c r="Y273" s="126"/>
      <c r="Z273" s="126"/>
      <c r="AA273" s="126"/>
      <c r="AB273" s="126"/>
      <c r="AC273" s="126"/>
      <c r="AD273" s="126"/>
      <c r="AE273" s="126"/>
      <c r="AF273" s="126"/>
      <c r="AG273" s="126"/>
      <c r="AH273" s="126"/>
      <c r="AI273" s="126"/>
      <c r="AJ273" s="126"/>
      <c r="AK273" s="126"/>
      <c r="AL273" s="126"/>
      <c r="AM273" s="126"/>
      <c r="AN273" s="126"/>
      <c r="AO273" s="126"/>
    </row>
    <row r="274">
      <c r="A274" s="158"/>
      <c r="B274" s="158"/>
      <c r="C274" s="158"/>
      <c r="D274" s="158"/>
      <c r="E274" s="158"/>
      <c r="F274" s="158"/>
      <c r="G274" s="158"/>
      <c r="H274" s="158"/>
      <c r="I274" s="145"/>
      <c r="J274" s="158"/>
      <c r="K274" s="158"/>
      <c r="L274" s="126"/>
      <c r="M274" s="126"/>
      <c r="N274" s="126"/>
      <c r="O274" s="126"/>
      <c r="P274" s="126"/>
      <c r="Q274" s="126"/>
      <c r="R274" s="126"/>
      <c r="S274" s="126"/>
      <c r="T274" s="126"/>
      <c r="U274" s="126"/>
      <c r="V274" s="126"/>
      <c r="W274" s="126"/>
      <c r="X274" s="126"/>
      <c r="Y274" s="126"/>
      <c r="Z274" s="126"/>
      <c r="AA274" s="126"/>
      <c r="AB274" s="126"/>
      <c r="AC274" s="126"/>
      <c r="AD274" s="126"/>
      <c r="AE274" s="126"/>
      <c r="AF274" s="126"/>
      <c r="AG274" s="126"/>
      <c r="AH274" s="126"/>
      <c r="AI274" s="126"/>
      <c r="AJ274" s="126"/>
      <c r="AK274" s="126"/>
      <c r="AL274" s="126"/>
      <c r="AM274" s="126"/>
      <c r="AN274" s="126"/>
      <c r="AO274" s="126"/>
    </row>
    <row r="275">
      <c r="A275" s="158"/>
      <c r="B275" s="158"/>
      <c r="C275" s="158"/>
      <c r="D275" s="158"/>
      <c r="E275" s="158"/>
      <c r="F275" s="158"/>
      <c r="G275" s="158"/>
      <c r="H275" s="158"/>
      <c r="I275" s="145"/>
      <c r="J275" s="158"/>
      <c r="K275" s="158"/>
      <c r="L275" s="126"/>
      <c r="M275" s="126"/>
      <c r="N275" s="126"/>
      <c r="O275" s="126"/>
      <c r="P275" s="126"/>
      <c r="Q275" s="126"/>
      <c r="R275" s="126"/>
      <c r="S275" s="126"/>
      <c r="T275" s="126"/>
      <c r="U275" s="126"/>
      <c r="V275" s="126"/>
      <c r="W275" s="126"/>
      <c r="X275" s="126"/>
      <c r="Y275" s="126"/>
      <c r="Z275" s="126"/>
      <c r="AA275" s="126"/>
      <c r="AB275" s="126"/>
      <c r="AC275" s="126"/>
      <c r="AD275" s="126"/>
      <c r="AE275" s="126"/>
      <c r="AF275" s="126"/>
      <c r="AG275" s="126"/>
      <c r="AH275" s="126"/>
      <c r="AI275" s="126"/>
      <c r="AJ275" s="126"/>
      <c r="AK275" s="126"/>
      <c r="AL275" s="126"/>
      <c r="AM275" s="126"/>
      <c r="AN275" s="126"/>
      <c r="AO275" s="126"/>
    </row>
    <row r="276">
      <c r="A276" s="158"/>
      <c r="B276" s="158"/>
      <c r="C276" s="158"/>
      <c r="D276" s="158"/>
      <c r="E276" s="158"/>
      <c r="F276" s="158"/>
      <c r="G276" s="158"/>
      <c r="H276" s="158"/>
      <c r="I276" s="145"/>
      <c r="J276" s="158"/>
      <c r="K276" s="158"/>
      <c r="L276" s="126"/>
      <c r="M276" s="126"/>
      <c r="N276" s="126"/>
      <c r="O276" s="126"/>
      <c r="P276" s="126"/>
      <c r="Q276" s="126"/>
      <c r="R276" s="126"/>
      <c r="S276" s="126"/>
      <c r="T276" s="126"/>
      <c r="U276" s="126"/>
      <c r="V276" s="126"/>
      <c r="W276" s="126"/>
      <c r="X276" s="126"/>
      <c r="Y276" s="126"/>
      <c r="Z276" s="126"/>
      <c r="AA276" s="126"/>
      <c r="AB276" s="126"/>
      <c r="AC276" s="126"/>
      <c r="AD276" s="126"/>
      <c r="AE276" s="126"/>
      <c r="AF276" s="126"/>
      <c r="AG276" s="126"/>
      <c r="AH276" s="126"/>
      <c r="AI276" s="126"/>
      <c r="AJ276" s="126"/>
      <c r="AK276" s="126"/>
      <c r="AL276" s="126"/>
      <c r="AM276" s="126"/>
      <c r="AN276" s="126"/>
      <c r="AO276" s="126"/>
    </row>
    <row r="277">
      <c r="A277" s="158"/>
      <c r="B277" s="158"/>
      <c r="C277" s="158"/>
      <c r="D277" s="158"/>
      <c r="E277" s="158"/>
      <c r="F277" s="158"/>
      <c r="G277" s="158"/>
      <c r="H277" s="158"/>
      <c r="I277" s="145"/>
      <c r="J277" s="158"/>
      <c r="K277" s="158"/>
      <c r="L277" s="126"/>
      <c r="M277" s="126"/>
      <c r="N277" s="126"/>
      <c r="O277" s="126"/>
      <c r="P277" s="126"/>
      <c r="Q277" s="126"/>
      <c r="R277" s="126"/>
      <c r="S277" s="126"/>
      <c r="T277" s="126"/>
      <c r="U277" s="126"/>
      <c r="V277" s="126"/>
      <c r="W277" s="126"/>
      <c r="X277" s="126"/>
      <c r="Y277" s="126"/>
      <c r="Z277" s="126"/>
      <c r="AA277" s="126"/>
      <c r="AB277" s="126"/>
      <c r="AC277" s="126"/>
      <c r="AD277" s="126"/>
      <c r="AE277" s="126"/>
      <c r="AF277" s="126"/>
      <c r="AG277" s="126"/>
      <c r="AH277" s="126"/>
      <c r="AI277" s="126"/>
      <c r="AJ277" s="126"/>
      <c r="AK277" s="126"/>
      <c r="AL277" s="126"/>
      <c r="AM277" s="126"/>
      <c r="AN277" s="126"/>
      <c r="AO277" s="126"/>
    </row>
    <row r="278">
      <c r="A278" s="158"/>
      <c r="B278" s="158"/>
      <c r="C278" s="158"/>
      <c r="D278" s="158"/>
      <c r="E278" s="158"/>
      <c r="F278" s="158"/>
      <c r="G278" s="158"/>
      <c r="H278" s="158"/>
      <c r="I278" s="145"/>
      <c r="J278" s="158"/>
      <c r="K278" s="158"/>
      <c r="L278" s="126"/>
      <c r="M278" s="126"/>
      <c r="N278" s="126"/>
      <c r="O278" s="126"/>
      <c r="P278" s="126"/>
      <c r="Q278" s="126"/>
      <c r="R278" s="126"/>
      <c r="S278" s="126"/>
      <c r="T278" s="126"/>
      <c r="U278" s="126"/>
      <c r="V278" s="126"/>
      <c r="W278" s="126"/>
      <c r="X278" s="126"/>
      <c r="Y278" s="126"/>
      <c r="Z278" s="126"/>
      <c r="AA278" s="126"/>
      <c r="AB278" s="126"/>
      <c r="AC278" s="126"/>
      <c r="AD278" s="126"/>
      <c r="AE278" s="126"/>
      <c r="AF278" s="126"/>
      <c r="AG278" s="126"/>
      <c r="AH278" s="126"/>
      <c r="AI278" s="126"/>
      <c r="AJ278" s="126"/>
      <c r="AK278" s="126"/>
      <c r="AL278" s="126"/>
      <c r="AM278" s="126"/>
      <c r="AN278" s="126"/>
      <c r="AO278" s="126"/>
    </row>
    <row r="279">
      <c r="A279" s="158"/>
      <c r="B279" s="158"/>
      <c r="C279" s="158"/>
      <c r="D279" s="158"/>
      <c r="E279" s="158"/>
      <c r="F279" s="158"/>
      <c r="G279" s="158"/>
      <c r="H279" s="158"/>
      <c r="I279" s="145"/>
      <c r="J279" s="158"/>
      <c r="K279" s="158"/>
      <c r="L279" s="126"/>
      <c r="M279" s="126"/>
      <c r="N279" s="126"/>
      <c r="O279" s="126"/>
      <c r="P279" s="126"/>
      <c r="Q279" s="126"/>
      <c r="R279" s="126"/>
      <c r="S279" s="126"/>
      <c r="T279" s="126"/>
      <c r="U279" s="126"/>
      <c r="V279" s="126"/>
      <c r="W279" s="126"/>
      <c r="X279" s="126"/>
      <c r="Y279" s="126"/>
      <c r="Z279" s="126"/>
      <c r="AA279" s="126"/>
      <c r="AB279" s="126"/>
      <c r="AC279" s="126"/>
      <c r="AD279" s="126"/>
      <c r="AE279" s="126"/>
      <c r="AF279" s="126"/>
      <c r="AG279" s="126"/>
      <c r="AH279" s="126"/>
      <c r="AI279" s="126"/>
      <c r="AJ279" s="126"/>
      <c r="AK279" s="126"/>
      <c r="AL279" s="126"/>
      <c r="AM279" s="126"/>
      <c r="AN279" s="126"/>
      <c r="AO279" s="126"/>
    </row>
    <row r="280">
      <c r="A280" s="158"/>
      <c r="B280" s="158"/>
      <c r="C280" s="158"/>
      <c r="D280" s="158"/>
      <c r="E280" s="158"/>
      <c r="F280" s="158"/>
      <c r="G280" s="158"/>
      <c r="H280" s="158"/>
      <c r="I280" s="145"/>
      <c r="J280" s="158"/>
      <c r="K280" s="158"/>
      <c r="L280" s="126"/>
      <c r="M280" s="126"/>
      <c r="N280" s="126"/>
      <c r="O280" s="126"/>
      <c r="P280" s="126"/>
      <c r="Q280" s="126"/>
      <c r="R280" s="126"/>
      <c r="S280" s="126"/>
      <c r="T280" s="126"/>
      <c r="U280" s="126"/>
      <c r="V280" s="126"/>
      <c r="W280" s="126"/>
      <c r="X280" s="126"/>
      <c r="Y280" s="126"/>
      <c r="Z280" s="126"/>
      <c r="AA280" s="126"/>
      <c r="AB280" s="126"/>
      <c r="AC280" s="126"/>
      <c r="AD280" s="126"/>
      <c r="AE280" s="126"/>
      <c r="AF280" s="126"/>
      <c r="AG280" s="126"/>
      <c r="AH280" s="126"/>
      <c r="AI280" s="126"/>
      <c r="AJ280" s="126"/>
      <c r="AK280" s="126"/>
      <c r="AL280" s="126"/>
      <c r="AM280" s="126"/>
      <c r="AN280" s="126"/>
      <c r="AO280" s="126"/>
    </row>
    <row r="281">
      <c r="A281" s="158"/>
      <c r="B281" s="158"/>
      <c r="C281" s="158"/>
      <c r="D281" s="158"/>
      <c r="E281" s="158"/>
      <c r="F281" s="158"/>
      <c r="G281" s="158"/>
      <c r="H281" s="158"/>
      <c r="I281" s="145"/>
      <c r="J281" s="158"/>
      <c r="K281" s="158"/>
      <c r="L281" s="126"/>
      <c r="M281" s="126"/>
      <c r="N281" s="126"/>
      <c r="O281" s="126"/>
      <c r="P281" s="126"/>
      <c r="Q281" s="126"/>
      <c r="R281" s="126"/>
      <c r="S281" s="126"/>
      <c r="T281" s="126"/>
      <c r="U281" s="126"/>
      <c r="V281" s="126"/>
      <c r="W281" s="126"/>
      <c r="X281" s="126"/>
      <c r="Y281" s="126"/>
      <c r="Z281" s="126"/>
      <c r="AA281" s="126"/>
      <c r="AB281" s="126"/>
      <c r="AC281" s="126"/>
      <c r="AD281" s="126"/>
      <c r="AE281" s="126"/>
      <c r="AF281" s="126"/>
      <c r="AG281" s="126"/>
      <c r="AH281" s="126"/>
      <c r="AI281" s="126"/>
      <c r="AJ281" s="126"/>
      <c r="AK281" s="126"/>
      <c r="AL281" s="126"/>
      <c r="AM281" s="126"/>
      <c r="AN281" s="126"/>
      <c r="AO281" s="126"/>
    </row>
    <row r="282">
      <c r="A282" s="158"/>
      <c r="B282" s="158"/>
      <c r="C282" s="158"/>
      <c r="D282" s="158"/>
      <c r="E282" s="158"/>
      <c r="F282" s="158"/>
      <c r="G282" s="158"/>
      <c r="H282" s="158"/>
      <c r="I282" s="145"/>
      <c r="J282" s="158"/>
      <c r="K282" s="158"/>
      <c r="L282" s="126"/>
      <c r="M282" s="126"/>
      <c r="N282" s="126"/>
      <c r="O282" s="126"/>
      <c r="P282" s="126"/>
      <c r="Q282" s="126"/>
      <c r="R282" s="126"/>
      <c r="S282" s="126"/>
      <c r="T282" s="126"/>
      <c r="U282" s="126"/>
      <c r="V282" s="126"/>
      <c r="W282" s="126"/>
      <c r="X282" s="126"/>
      <c r="Y282" s="126"/>
      <c r="Z282" s="126"/>
      <c r="AA282" s="126"/>
      <c r="AB282" s="126"/>
      <c r="AC282" s="126"/>
      <c r="AD282" s="126"/>
      <c r="AE282" s="126"/>
      <c r="AF282" s="126"/>
      <c r="AG282" s="126"/>
      <c r="AH282" s="126"/>
      <c r="AI282" s="126"/>
      <c r="AJ282" s="126"/>
      <c r="AK282" s="126"/>
      <c r="AL282" s="126"/>
      <c r="AM282" s="126"/>
      <c r="AN282" s="126"/>
      <c r="AO282" s="126"/>
    </row>
    <row r="283">
      <c r="A283" s="158"/>
      <c r="B283" s="158"/>
      <c r="C283" s="158"/>
      <c r="D283" s="158"/>
      <c r="E283" s="158"/>
      <c r="F283" s="158"/>
      <c r="G283" s="158"/>
      <c r="H283" s="158"/>
      <c r="I283" s="145"/>
      <c r="J283" s="158"/>
      <c r="K283" s="158"/>
      <c r="L283" s="126"/>
      <c r="M283" s="126"/>
      <c r="N283" s="126"/>
      <c r="O283" s="126"/>
      <c r="P283" s="126"/>
      <c r="Q283" s="126"/>
      <c r="R283" s="126"/>
      <c r="S283" s="126"/>
      <c r="T283" s="126"/>
      <c r="U283" s="126"/>
      <c r="V283" s="126"/>
      <c r="W283" s="126"/>
      <c r="X283" s="126"/>
      <c r="Y283" s="126"/>
      <c r="Z283" s="126"/>
      <c r="AA283" s="126"/>
      <c r="AB283" s="126"/>
      <c r="AC283" s="126"/>
      <c r="AD283" s="126"/>
      <c r="AE283" s="126"/>
      <c r="AF283" s="126"/>
      <c r="AG283" s="126"/>
      <c r="AH283" s="126"/>
      <c r="AI283" s="126"/>
      <c r="AJ283" s="126"/>
      <c r="AK283" s="126"/>
      <c r="AL283" s="126"/>
      <c r="AM283" s="126"/>
      <c r="AN283" s="126"/>
      <c r="AO283" s="126"/>
    </row>
    <row r="284">
      <c r="A284" s="158"/>
      <c r="B284" s="158"/>
      <c r="C284" s="158"/>
      <c r="D284" s="158"/>
      <c r="E284" s="158"/>
      <c r="F284" s="158"/>
      <c r="G284" s="158"/>
      <c r="H284" s="158"/>
      <c r="I284" s="145"/>
      <c r="J284" s="158"/>
      <c r="K284" s="158"/>
      <c r="L284" s="126"/>
      <c r="M284" s="126"/>
      <c r="N284" s="126"/>
      <c r="O284" s="126"/>
      <c r="P284" s="126"/>
      <c r="Q284" s="126"/>
      <c r="R284" s="126"/>
      <c r="S284" s="126"/>
      <c r="T284" s="126"/>
      <c r="U284" s="126"/>
      <c r="V284" s="126"/>
      <c r="W284" s="126"/>
      <c r="X284" s="126"/>
      <c r="Y284" s="126"/>
      <c r="Z284" s="126"/>
      <c r="AA284" s="126"/>
      <c r="AB284" s="126"/>
      <c r="AC284" s="126"/>
      <c r="AD284" s="126"/>
      <c r="AE284" s="126"/>
      <c r="AF284" s="126"/>
      <c r="AG284" s="126"/>
      <c r="AH284" s="126"/>
      <c r="AI284" s="126"/>
      <c r="AJ284" s="126"/>
      <c r="AK284" s="126"/>
      <c r="AL284" s="126"/>
      <c r="AM284" s="126"/>
      <c r="AN284" s="126"/>
      <c r="AO284" s="126"/>
    </row>
    <row r="285">
      <c r="A285" s="158"/>
      <c r="B285" s="158"/>
      <c r="C285" s="158"/>
      <c r="D285" s="158"/>
      <c r="E285" s="158"/>
      <c r="F285" s="158"/>
      <c r="G285" s="158"/>
      <c r="H285" s="158"/>
      <c r="I285" s="145"/>
      <c r="J285" s="158"/>
      <c r="K285" s="158"/>
      <c r="L285" s="126"/>
      <c r="M285" s="126"/>
      <c r="N285" s="126"/>
      <c r="O285" s="126"/>
      <c r="P285" s="126"/>
      <c r="Q285" s="126"/>
      <c r="R285" s="126"/>
      <c r="S285" s="126"/>
      <c r="T285" s="126"/>
      <c r="U285" s="126"/>
      <c r="V285" s="126"/>
      <c r="W285" s="126"/>
      <c r="X285" s="126"/>
      <c r="Y285" s="126"/>
      <c r="Z285" s="126"/>
      <c r="AA285" s="126"/>
      <c r="AB285" s="126"/>
      <c r="AC285" s="126"/>
      <c r="AD285" s="126"/>
      <c r="AE285" s="126"/>
      <c r="AF285" s="126"/>
      <c r="AG285" s="126"/>
      <c r="AH285" s="126"/>
      <c r="AI285" s="126"/>
      <c r="AJ285" s="126"/>
      <c r="AK285" s="126"/>
      <c r="AL285" s="126"/>
      <c r="AM285" s="126"/>
      <c r="AN285" s="126"/>
      <c r="AO285" s="126"/>
    </row>
    <row r="286">
      <c r="A286" s="158"/>
      <c r="B286" s="158"/>
      <c r="C286" s="158"/>
      <c r="D286" s="158"/>
      <c r="E286" s="158"/>
      <c r="F286" s="158"/>
      <c r="G286" s="158"/>
      <c r="H286" s="158"/>
      <c r="I286" s="145"/>
      <c r="J286" s="158"/>
      <c r="K286" s="158"/>
      <c r="L286" s="126"/>
      <c r="M286" s="126"/>
      <c r="N286" s="126"/>
      <c r="O286" s="126"/>
      <c r="P286" s="126"/>
      <c r="Q286" s="126"/>
      <c r="R286" s="126"/>
      <c r="S286" s="126"/>
      <c r="T286" s="126"/>
      <c r="U286" s="126"/>
      <c r="V286" s="126"/>
      <c r="W286" s="126"/>
      <c r="X286" s="126"/>
      <c r="Y286" s="126"/>
      <c r="Z286" s="126"/>
      <c r="AA286" s="126"/>
      <c r="AB286" s="126"/>
      <c r="AC286" s="126"/>
      <c r="AD286" s="126"/>
      <c r="AE286" s="126"/>
      <c r="AF286" s="126"/>
      <c r="AG286" s="126"/>
      <c r="AH286" s="126"/>
      <c r="AI286" s="126"/>
      <c r="AJ286" s="126"/>
      <c r="AK286" s="126"/>
      <c r="AL286" s="126"/>
      <c r="AM286" s="126"/>
      <c r="AN286" s="126"/>
      <c r="AO286" s="126"/>
    </row>
    <row r="287">
      <c r="A287" s="158"/>
      <c r="B287" s="158"/>
      <c r="C287" s="158"/>
      <c r="D287" s="158"/>
      <c r="E287" s="158"/>
      <c r="F287" s="158"/>
      <c r="G287" s="158"/>
      <c r="H287" s="158"/>
      <c r="I287" s="145"/>
      <c r="J287" s="158"/>
      <c r="K287" s="158"/>
      <c r="L287" s="126"/>
      <c r="M287" s="126"/>
      <c r="N287" s="126"/>
      <c r="O287" s="126"/>
      <c r="P287" s="126"/>
      <c r="Q287" s="126"/>
      <c r="R287" s="126"/>
      <c r="S287" s="126"/>
      <c r="T287" s="126"/>
      <c r="U287" s="126"/>
      <c r="V287" s="126"/>
      <c r="W287" s="126"/>
      <c r="X287" s="126"/>
      <c r="Y287" s="126"/>
      <c r="Z287" s="126"/>
      <c r="AA287" s="126"/>
      <c r="AB287" s="126"/>
      <c r="AC287" s="126"/>
      <c r="AD287" s="126"/>
      <c r="AE287" s="126"/>
      <c r="AF287" s="126"/>
      <c r="AG287" s="126"/>
      <c r="AH287" s="126"/>
      <c r="AI287" s="126"/>
      <c r="AJ287" s="126"/>
      <c r="AK287" s="126"/>
      <c r="AL287" s="126"/>
      <c r="AM287" s="126"/>
      <c r="AN287" s="126"/>
      <c r="AO287" s="126"/>
    </row>
    <row r="288">
      <c r="A288" s="158"/>
      <c r="B288" s="158"/>
      <c r="C288" s="158"/>
      <c r="D288" s="158"/>
      <c r="E288" s="158"/>
      <c r="F288" s="158"/>
      <c r="G288" s="158"/>
      <c r="H288" s="158"/>
      <c r="I288" s="145"/>
      <c r="J288" s="158"/>
      <c r="K288" s="158"/>
      <c r="L288" s="126"/>
      <c r="M288" s="126"/>
      <c r="N288" s="126"/>
      <c r="O288" s="126"/>
      <c r="P288" s="126"/>
      <c r="Q288" s="126"/>
      <c r="R288" s="126"/>
      <c r="S288" s="126"/>
      <c r="T288" s="126"/>
      <c r="U288" s="126"/>
      <c r="V288" s="126"/>
      <c r="W288" s="126"/>
      <c r="X288" s="126"/>
      <c r="Y288" s="126"/>
      <c r="Z288" s="126"/>
      <c r="AA288" s="126"/>
      <c r="AB288" s="126"/>
      <c r="AC288" s="126"/>
      <c r="AD288" s="126"/>
      <c r="AE288" s="126"/>
      <c r="AF288" s="126"/>
      <c r="AG288" s="126"/>
      <c r="AH288" s="126"/>
      <c r="AI288" s="126"/>
      <c r="AJ288" s="126"/>
      <c r="AK288" s="126"/>
      <c r="AL288" s="126"/>
      <c r="AM288" s="126"/>
      <c r="AN288" s="126"/>
      <c r="AO288" s="126"/>
    </row>
    <row r="289">
      <c r="A289" s="158"/>
      <c r="B289" s="158"/>
      <c r="C289" s="158"/>
      <c r="D289" s="158"/>
      <c r="E289" s="158"/>
      <c r="F289" s="158"/>
      <c r="G289" s="158"/>
      <c r="H289" s="158"/>
      <c r="I289" s="145"/>
      <c r="J289" s="158"/>
      <c r="K289" s="158"/>
      <c r="L289" s="126"/>
      <c r="M289" s="126"/>
      <c r="N289" s="126"/>
      <c r="O289" s="126"/>
      <c r="P289" s="126"/>
      <c r="Q289" s="126"/>
      <c r="R289" s="126"/>
      <c r="S289" s="126"/>
      <c r="T289" s="126"/>
      <c r="U289" s="126"/>
      <c r="V289" s="126"/>
      <c r="W289" s="126"/>
      <c r="X289" s="126"/>
      <c r="Y289" s="126"/>
      <c r="Z289" s="126"/>
      <c r="AA289" s="126"/>
      <c r="AB289" s="126"/>
      <c r="AC289" s="126"/>
      <c r="AD289" s="126"/>
      <c r="AE289" s="126"/>
      <c r="AF289" s="126"/>
      <c r="AG289" s="126"/>
      <c r="AH289" s="126"/>
      <c r="AI289" s="126"/>
      <c r="AJ289" s="126"/>
      <c r="AK289" s="126"/>
      <c r="AL289" s="126"/>
      <c r="AM289" s="126"/>
      <c r="AN289" s="126"/>
      <c r="AO289" s="126"/>
    </row>
    <row r="290">
      <c r="A290" s="158"/>
      <c r="B290" s="158"/>
      <c r="C290" s="158"/>
      <c r="D290" s="158"/>
      <c r="E290" s="158"/>
      <c r="F290" s="158"/>
      <c r="G290" s="158"/>
      <c r="H290" s="158"/>
      <c r="I290" s="145"/>
      <c r="J290" s="158"/>
      <c r="K290" s="158"/>
      <c r="L290" s="126"/>
      <c r="M290" s="126"/>
      <c r="N290" s="126"/>
      <c r="O290" s="126"/>
      <c r="P290" s="126"/>
      <c r="Q290" s="126"/>
      <c r="R290" s="126"/>
      <c r="S290" s="126"/>
      <c r="T290" s="126"/>
      <c r="U290" s="126"/>
      <c r="V290" s="126"/>
      <c r="W290" s="126"/>
      <c r="X290" s="126"/>
      <c r="Y290" s="126"/>
      <c r="Z290" s="126"/>
      <c r="AA290" s="126"/>
      <c r="AB290" s="126"/>
      <c r="AC290" s="126"/>
      <c r="AD290" s="126"/>
      <c r="AE290" s="126"/>
      <c r="AF290" s="126"/>
      <c r="AG290" s="126"/>
      <c r="AH290" s="126"/>
      <c r="AI290" s="126"/>
      <c r="AJ290" s="126"/>
      <c r="AK290" s="126"/>
      <c r="AL290" s="126"/>
      <c r="AM290" s="126"/>
      <c r="AN290" s="126"/>
      <c r="AO290" s="126"/>
    </row>
    <row r="291">
      <c r="A291" s="158"/>
      <c r="B291" s="158"/>
      <c r="C291" s="158"/>
      <c r="D291" s="158"/>
      <c r="E291" s="158"/>
      <c r="F291" s="158"/>
      <c r="G291" s="158"/>
      <c r="H291" s="158"/>
      <c r="I291" s="145"/>
      <c r="J291" s="158"/>
      <c r="K291" s="158"/>
      <c r="L291" s="126"/>
      <c r="M291" s="126"/>
      <c r="N291" s="126"/>
      <c r="O291" s="126"/>
      <c r="P291" s="126"/>
      <c r="Q291" s="126"/>
      <c r="R291" s="126"/>
      <c r="S291" s="126"/>
      <c r="T291" s="126"/>
      <c r="U291" s="126"/>
      <c r="V291" s="126"/>
      <c r="W291" s="126"/>
      <c r="X291" s="126"/>
      <c r="Y291" s="126"/>
      <c r="Z291" s="126"/>
      <c r="AA291" s="126"/>
      <c r="AB291" s="126"/>
      <c r="AC291" s="126"/>
      <c r="AD291" s="126"/>
      <c r="AE291" s="126"/>
      <c r="AF291" s="126"/>
      <c r="AG291" s="126"/>
      <c r="AH291" s="126"/>
      <c r="AI291" s="126"/>
      <c r="AJ291" s="126"/>
      <c r="AK291" s="126"/>
      <c r="AL291" s="126"/>
      <c r="AM291" s="126"/>
      <c r="AN291" s="126"/>
      <c r="AO291" s="126"/>
    </row>
    <row r="292">
      <c r="A292" s="158"/>
      <c r="B292" s="158"/>
      <c r="C292" s="158"/>
      <c r="D292" s="158"/>
      <c r="E292" s="158"/>
      <c r="F292" s="158"/>
      <c r="G292" s="158"/>
      <c r="H292" s="158"/>
      <c r="I292" s="145"/>
      <c r="J292" s="158"/>
      <c r="K292" s="158"/>
      <c r="L292" s="126"/>
      <c r="M292" s="126"/>
      <c r="N292" s="126"/>
      <c r="O292" s="126"/>
      <c r="P292" s="126"/>
      <c r="Q292" s="126"/>
      <c r="R292" s="126"/>
      <c r="S292" s="126"/>
      <c r="T292" s="126"/>
      <c r="U292" s="126"/>
      <c r="V292" s="126"/>
      <c r="W292" s="126"/>
      <c r="X292" s="126"/>
      <c r="Y292" s="126"/>
      <c r="Z292" s="126"/>
      <c r="AA292" s="126"/>
      <c r="AB292" s="126"/>
      <c r="AC292" s="126"/>
      <c r="AD292" s="126"/>
      <c r="AE292" s="126"/>
      <c r="AF292" s="126"/>
      <c r="AG292" s="126"/>
      <c r="AH292" s="126"/>
      <c r="AI292" s="126"/>
      <c r="AJ292" s="126"/>
      <c r="AK292" s="126"/>
      <c r="AL292" s="126"/>
      <c r="AM292" s="126"/>
      <c r="AN292" s="126"/>
      <c r="AO292" s="126"/>
    </row>
    <row r="293">
      <c r="A293" s="158"/>
      <c r="B293" s="158"/>
      <c r="C293" s="158"/>
      <c r="D293" s="158"/>
      <c r="E293" s="158"/>
      <c r="F293" s="158"/>
      <c r="G293" s="158"/>
      <c r="H293" s="158"/>
      <c r="I293" s="145"/>
      <c r="J293" s="158"/>
      <c r="K293" s="158"/>
      <c r="L293" s="126"/>
      <c r="M293" s="126"/>
      <c r="N293" s="126"/>
      <c r="O293" s="126"/>
      <c r="P293" s="126"/>
      <c r="Q293" s="126"/>
      <c r="R293" s="126"/>
      <c r="S293" s="126"/>
      <c r="T293" s="126"/>
      <c r="U293" s="126"/>
      <c r="V293" s="126"/>
      <c r="W293" s="126"/>
      <c r="X293" s="126"/>
      <c r="Y293" s="126"/>
      <c r="Z293" s="126"/>
      <c r="AA293" s="126"/>
      <c r="AB293" s="126"/>
      <c r="AC293" s="126"/>
      <c r="AD293" s="126"/>
      <c r="AE293" s="126"/>
      <c r="AF293" s="126"/>
      <c r="AG293" s="126"/>
      <c r="AH293" s="126"/>
      <c r="AI293" s="126"/>
      <c r="AJ293" s="126"/>
      <c r="AK293" s="126"/>
      <c r="AL293" s="126"/>
      <c r="AM293" s="126"/>
      <c r="AN293" s="126"/>
      <c r="AO293" s="126"/>
    </row>
    <row r="294">
      <c r="A294" s="158"/>
      <c r="B294" s="158"/>
      <c r="C294" s="158"/>
      <c r="D294" s="158"/>
      <c r="E294" s="158"/>
      <c r="F294" s="158"/>
      <c r="G294" s="158"/>
      <c r="H294" s="158"/>
      <c r="I294" s="145"/>
      <c r="J294" s="158"/>
      <c r="K294" s="158"/>
      <c r="L294" s="126"/>
      <c r="M294" s="126"/>
      <c r="N294" s="126"/>
      <c r="O294" s="126"/>
      <c r="P294" s="126"/>
      <c r="Q294" s="126"/>
      <c r="R294" s="126"/>
      <c r="S294" s="126"/>
      <c r="T294" s="126"/>
      <c r="U294" s="126"/>
      <c r="V294" s="126"/>
      <c r="W294" s="126"/>
      <c r="X294" s="126"/>
      <c r="Y294" s="126"/>
      <c r="Z294" s="126"/>
      <c r="AA294" s="126"/>
      <c r="AB294" s="126"/>
      <c r="AC294" s="126"/>
      <c r="AD294" s="126"/>
      <c r="AE294" s="126"/>
      <c r="AF294" s="126"/>
      <c r="AG294" s="126"/>
      <c r="AH294" s="126"/>
      <c r="AI294" s="126"/>
      <c r="AJ294" s="126"/>
      <c r="AK294" s="126"/>
      <c r="AL294" s="126"/>
      <c r="AM294" s="126"/>
      <c r="AN294" s="126"/>
      <c r="AO294" s="126"/>
    </row>
    <row r="295">
      <c r="A295" s="158"/>
      <c r="B295" s="158"/>
      <c r="C295" s="158"/>
      <c r="D295" s="158"/>
      <c r="E295" s="158"/>
      <c r="F295" s="158"/>
      <c r="G295" s="158"/>
      <c r="H295" s="158"/>
      <c r="I295" s="145"/>
      <c r="J295" s="158"/>
      <c r="K295" s="158"/>
      <c r="L295" s="126"/>
      <c r="M295" s="126"/>
      <c r="N295" s="126"/>
      <c r="O295" s="126"/>
      <c r="P295" s="126"/>
      <c r="Q295" s="126"/>
      <c r="R295" s="126"/>
      <c r="S295" s="126"/>
      <c r="T295" s="126"/>
      <c r="U295" s="126"/>
      <c r="V295" s="126"/>
      <c r="W295" s="126"/>
      <c r="X295" s="126"/>
      <c r="Y295" s="126"/>
      <c r="Z295" s="126"/>
      <c r="AA295" s="126"/>
      <c r="AB295" s="126"/>
      <c r="AC295" s="126"/>
      <c r="AD295" s="126"/>
      <c r="AE295" s="126"/>
      <c r="AF295" s="126"/>
      <c r="AG295" s="126"/>
      <c r="AH295" s="126"/>
      <c r="AI295" s="126"/>
      <c r="AJ295" s="126"/>
      <c r="AK295" s="126"/>
      <c r="AL295" s="126"/>
      <c r="AM295" s="126"/>
      <c r="AN295" s="126"/>
      <c r="AO295" s="126"/>
    </row>
    <row r="296">
      <c r="A296" s="158"/>
      <c r="B296" s="158"/>
      <c r="C296" s="158"/>
      <c r="D296" s="158"/>
      <c r="E296" s="158"/>
      <c r="F296" s="158"/>
      <c r="G296" s="158"/>
      <c r="H296" s="158"/>
      <c r="I296" s="145"/>
      <c r="J296" s="158"/>
      <c r="K296" s="158"/>
      <c r="L296" s="126"/>
      <c r="M296" s="126"/>
      <c r="N296" s="126"/>
      <c r="O296" s="126"/>
      <c r="P296" s="126"/>
      <c r="Q296" s="126"/>
      <c r="R296" s="126"/>
      <c r="S296" s="126"/>
      <c r="T296" s="126"/>
      <c r="U296" s="126"/>
      <c r="V296" s="126"/>
      <c r="W296" s="126"/>
      <c r="X296" s="126"/>
      <c r="Y296" s="126"/>
      <c r="Z296" s="126"/>
      <c r="AA296" s="126"/>
      <c r="AB296" s="126"/>
      <c r="AC296" s="126"/>
      <c r="AD296" s="126"/>
      <c r="AE296" s="126"/>
      <c r="AF296" s="126"/>
      <c r="AG296" s="126"/>
      <c r="AH296" s="126"/>
      <c r="AI296" s="126"/>
      <c r="AJ296" s="126"/>
      <c r="AK296" s="126"/>
      <c r="AL296" s="126"/>
      <c r="AM296" s="126"/>
      <c r="AN296" s="126"/>
      <c r="AO296" s="126"/>
    </row>
    <row r="297">
      <c r="A297" s="158"/>
      <c r="B297" s="158"/>
      <c r="C297" s="158"/>
      <c r="D297" s="158"/>
      <c r="E297" s="158"/>
      <c r="F297" s="158"/>
      <c r="G297" s="158"/>
      <c r="H297" s="158"/>
      <c r="I297" s="145"/>
      <c r="J297" s="158"/>
      <c r="K297" s="158"/>
      <c r="L297" s="126"/>
      <c r="M297" s="126"/>
      <c r="N297" s="126"/>
      <c r="O297" s="126"/>
      <c r="P297" s="126"/>
      <c r="Q297" s="126"/>
      <c r="R297" s="126"/>
      <c r="S297" s="126"/>
      <c r="T297" s="126"/>
      <c r="U297" s="126"/>
      <c r="V297" s="126"/>
      <c r="W297" s="126"/>
      <c r="X297" s="126"/>
      <c r="Y297" s="126"/>
      <c r="Z297" s="126"/>
      <c r="AA297" s="126"/>
      <c r="AB297" s="126"/>
      <c r="AC297" s="126"/>
      <c r="AD297" s="126"/>
      <c r="AE297" s="126"/>
      <c r="AF297" s="126"/>
      <c r="AG297" s="126"/>
      <c r="AH297" s="126"/>
      <c r="AI297" s="126"/>
      <c r="AJ297" s="126"/>
      <c r="AK297" s="126"/>
      <c r="AL297" s="126"/>
      <c r="AM297" s="126"/>
      <c r="AN297" s="126"/>
      <c r="AO297" s="126"/>
    </row>
    <row r="298">
      <c r="A298" s="158"/>
      <c r="B298" s="158"/>
      <c r="C298" s="158"/>
      <c r="D298" s="158"/>
      <c r="E298" s="158"/>
      <c r="F298" s="158"/>
      <c r="G298" s="158"/>
      <c r="H298" s="158"/>
      <c r="I298" s="145"/>
      <c r="J298" s="158"/>
      <c r="K298" s="158"/>
      <c r="L298" s="126"/>
      <c r="M298" s="126"/>
      <c r="N298" s="126"/>
      <c r="O298" s="126"/>
      <c r="P298" s="126"/>
      <c r="Q298" s="126"/>
      <c r="R298" s="126"/>
      <c r="S298" s="126"/>
      <c r="T298" s="126"/>
      <c r="U298" s="126"/>
      <c r="V298" s="126"/>
      <c r="W298" s="126"/>
      <c r="X298" s="126"/>
      <c r="Y298" s="126"/>
      <c r="Z298" s="126"/>
      <c r="AA298" s="126"/>
      <c r="AB298" s="126"/>
      <c r="AC298" s="126"/>
      <c r="AD298" s="126"/>
      <c r="AE298" s="126"/>
      <c r="AF298" s="126"/>
      <c r="AG298" s="126"/>
      <c r="AH298" s="126"/>
      <c r="AI298" s="126"/>
      <c r="AJ298" s="126"/>
      <c r="AK298" s="126"/>
      <c r="AL298" s="126"/>
      <c r="AM298" s="126"/>
      <c r="AN298" s="126"/>
      <c r="AO298" s="126"/>
    </row>
    <row r="299">
      <c r="A299" s="158"/>
      <c r="B299" s="158"/>
      <c r="C299" s="158"/>
      <c r="D299" s="158"/>
      <c r="E299" s="158"/>
      <c r="F299" s="158"/>
      <c r="G299" s="158"/>
      <c r="H299" s="158"/>
      <c r="I299" s="145"/>
      <c r="J299" s="158"/>
      <c r="K299" s="158"/>
      <c r="L299" s="126"/>
      <c r="M299" s="126"/>
      <c r="N299" s="126"/>
      <c r="O299" s="126"/>
      <c r="P299" s="126"/>
      <c r="Q299" s="126"/>
      <c r="R299" s="126"/>
      <c r="S299" s="126"/>
      <c r="T299" s="126"/>
      <c r="U299" s="126"/>
      <c r="V299" s="126"/>
      <c r="W299" s="126"/>
      <c r="X299" s="126"/>
      <c r="Y299" s="126"/>
      <c r="Z299" s="126"/>
      <c r="AA299" s="126"/>
      <c r="AB299" s="126"/>
      <c r="AC299" s="126"/>
      <c r="AD299" s="126"/>
      <c r="AE299" s="126"/>
      <c r="AF299" s="126"/>
      <c r="AG299" s="126"/>
      <c r="AH299" s="126"/>
      <c r="AI299" s="126"/>
      <c r="AJ299" s="126"/>
      <c r="AK299" s="126"/>
      <c r="AL299" s="126"/>
      <c r="AM299" s="126"/>
      <c r="AN299" s="126"/>
      <c r="AO299" s="126"/>
    </row>
    <row r="300">
      <c r="A300" s="158"/>
      <c r="B300" s="158"/>
      <c r="C300" s="158"/>
      <c r="D300" s="158"/>
      <c r="E300" s="158"/>
      <c r="F300" s="158"/>
      <c r="G300" s="158"/>
      <c r="H300" s="158"/>
      <c r="I300" s="145"/>
      <c r="J300" s="158"/>
      <c r="K300" s="158"/>
      <c r="L300" s="126"/>
      <c r="M300" s="126"/>
      <c r="N300" s="126"/>
      <c r="O300" s="126"/>
      <c r="P300" s="126"/>
      <c r="Q300" s="126"/>
      <c r="R300" s="126"/>
      <c r="S300" s="126"/>
      <c r="T300" s="126"/>
      <c r="U300" s="126"/>
      <c r="V300" s="126"/>
      <c r="W300" s="126"/>
      <c r="X300" s="126"/>
      <c r="Y300" s="126"/>
      <c r="Z300" s="126"/>
      <c r="AA300" s="126"/>
      <c r="AB300" s="126"/>
      <c r="AC300" s="126"/>
      <c r="AD300" s="126"/>
      <c r="AE300" s="126"/>
      <c r="AF300" s="126"/>
      <c r="AG300" s="126"/>
      <c r="AH300" s="126"/>
      <c r="AI300" s="126"/>
      <c r="AJ300" s="126"/>
      <c r="AK300" s="126"/>
      <c r="AL300" s="126"/>
      <c r="AM300" s="126"/>
      <c r="AN300" s="126"/>
      <c r="AO300" s="126"/>
    </row>
    <row r="301">
      <c r="A301" s="158"/>
      <c r="B301" s="158"/>
      <c r="C301" s="158"/>
      <c r="D301" s="158"/>
      <c r="E301" s="158"/>
      <c r="F301" s="158"/>
      <c r="G301" s="158"/>
      <c r="H301" s="158"/>
      <c r="I301" s="145"/>
      <c r="J301" s="158"/>
      <c r="K301" s="158"/>
      <c r="L301" s="126"/>
      <c r="M301" s="126"/>
      <c r="N301" s="126"/>
      <c r="O301" s="126"/>
      <c r="P301" s="126"/>
      <c r="Q301" s="126"/>
      <c r="R301" s="126"/>
      <c r="S301" s="126"/>
      <c r="T301" s="126"/>
      <c r="U301" s="126"/>
      <c r="V301" s="126"/>
      <c r="W301" s="126"/>
      <c r="X301" s="126"/>
      <c r="Y301" s="126"/>
      <c r="Z301" s="126"/>
      <c r="AA301" s="126"/>
      <c r="AB301" s="126"/>
      <c r="AC301" s="126"/>
      <c r="AD301" s="126"/>
      <c r="AE301" s="126"/>
      <c r="AF301" s="126"/>
      <c r="AG301" s="126"/>
      <c r="AH301" s="126"/>
      <c r="AI301" s="126"/>
      <c r="AJ301" s="126"/>
      <c r="AK301" s="126"/>
      <c r="AL301" s="126"/>
      <c r="AM301" s="126"/>
      <c r="AN301" s="126"/>
      <c r="AO301" s="126"/>
    </row>
    <row r="302">
      <c r="A302" s="158"/>
      <c r="B302" s="158"/>
      <c r="C302" s="158"/>
      <c r="D302" s="158"/>
      <c r="E302" s="158"/>
      <c r="F302" s="158"/>
      <c r="G302" s="158"/>
      <c r="H302" s="158"/>
      <c r="I302" s="145"/>
      <c r="J302" s="158"/>
      <c r="K302" s="158"/>
      <c r="L302" s="126"/>
      <c r="M302" s="126"/>
      <c r="N302" s="126"/>
      <c r="O302" s="126"/>
      <c r="P302" s="126"/>
      <c r="Q302" s="126"/>
      <c r="R302" s="126"/>
      <c r="S302" s="126"/>
      <c r="T302" s="126"/>
      <c r="U302" s="126"/>
      <c r="V302" s="126"/>
      <c r="W302" s="126"/>
      <c r="X302" s="126"/>
      <c r="Y302" s="126"/>
      <c r="Z302" s="126"/>
      <c r="AA302" s="126"/>
      <c r="AB302" s="126"/>
      <c r="AC302" s="126"/>
      <c r="AD302" s="126"/>
      <c r="AE302" s="126"/>
      <c r="AF302" s="126"/>
      <c r="AG302" s="126"/>
      <c r="AH302" s="126"/>
      <c r="AI302" s="126"/>
      <c r="AJ302" s="126"/>
      <c r="AK302" s="126"/>
      <c r="AL302" s="126"/>
      <c r="AM302" s="126"/>
      <c r="AN302" s="126"/>
      <c r="AO302" s="126"/>
    </row>
    <row r="303">
      <c r="A303" s="158"/>
      <c r="B303" s="158"/>
      <c r="C303" s="158"/>
      <c r="D303" s="158"/>
      <c r="E303" s="158"/>
      <c r="F303" s="158"/>
      <c r="G303" s="158"/>
      <c r="H303" s="158"/>
      <c r="I303" s="145"/>
      <c r="J303" s="158"/>
      <c r="K303" s="158"/>
      <c r="L303" s="126"/>
      <c r="M303" s="126"/>
      <c r="N303" s="126"/>
      <c r="O303" s="126"/>
      <c r="P303" s="126"/>
      <c r="Q303" s="126"/>
      <c r="R303" s="126"/>
      <c r="S303" s="126"/>
      <c r="T303" s="126"/>
      <c r="U303" s="126"/>
      <c r="V303" s="126"/>
      <c r="W303" s="126"/>
      <c r="X303" s="126"/>
      <c r="Y303" s="126"/>
      <c r="Z303" s="126"/>
      <c r="AA303" s="126"/>
      <c r="AB303" s="126"/>
      <c r="AC303" s="126"/>
      <c r="AD303" s="126"/>
      <c r="AE303" s="126"/>
      <c r="AF303" s="126"/>
      <c r="AG303" s="126"/>
      <c r="AH303" s="126"/>
      <c r="AI303" s="126"/>
      <c r="AJ303" s="126"/>
      <c r="AK303" s="126"/>
      <c r="AL303" s="126"/>
      <c r="AM303" s="126"/>
      <c r="AN303" s="126"/>
      <c r="AO303" s="126"/>
    </row>
    <row r="304">
      <c r="A304" s="158"/>
      <c r="B304" s="158"/>
      <c r="C304" s="158"/>
      <c r="D304" s="158"/>
      <c r="E304" s="158"/>
      <c r="F304" s="158"/>
      <c r="G304" s="158"/>
      <c r="H304" s="158"/>
      <c r="I304" s="145"/>
      <c r="J304" s="158"/>
      <c r="K304" s="158"/>
      <c r="L304" s="126"/>
      <c r="M304" s="126"/>
      <c r="N304" s="126"/>
      <c r="O304" s="126"/>
      <c r="P304" s="126"/>
      <c r="Q304" s="126"/>
      <c r="R304" s="126"/>
      <c r="S304" s="126"/>
      <c r="T304" s="126"/>
      <c r="U304" s="126"/>
      <c r="V304" s="126"/>
      <c r="W304" s="126"/>
      <c r="X304" s="126"/>
      <c r="Y304" s="126"/>
      <c r="Z304" s="126"/>
      <c r="AA304" s="126"/>
      <c r="AB304" s="126"/>
      <c r="AC304" s="126"/>
      <c r="AD304" s="126"/>
      <c r="AE304" s="126"/>
      <c r="AF304" s="126"/>
      <c r="AG304" s="126"/>
      <c r="AH304" s="126"/>
      <c r="AI304" s="126"/>
      <c r="AJ304" s="126"/>
      <c r="AK304" s="126"/>
      <c r="AL304" s="126"/>
      <c r="AM304" s="126"/>
      <c r="AN304" s="126"/>
      <c r="AO304" s="126"/>
    </row>
    <row r="305">
      <c r="A305" s="158"/>
      <c r="B305" s="158"/>
      <c r="C305" s="158"/>
      <c r="D305" s="158"/>
      <c r="E305" s="158"/>
      <c r="F305" s="158"/>
      <c r="G305" s="158"/>
      <c r="H305" s="158"/>
      <c r="I305" s="145"/>
      <c r="J305" s="158"/>
      <c r="K305" s="158"/>
      <c r="L305" s="126"/>
      <c r="M305" s="126"/>
      <c r="N305" s="126"/>
      <c r="O305" s="126"/>
      <c r="P305" s="126"/>
      <c r="Q305" s="126"/>
      <c r="R305" s="126"/>
      <c r="S305" s="126"/>
      <c r="T305" s="126"/>
      <c r="U305" s="126"/>
      <c r="V305" s="126"/>
      <c r="W305" s="126"/>
      <c r="X305" s="126"/>
      <c r="Y305" s="126"/>
      <c r="Z305" s="126"/>
      <c r="AA305" s="126"/>
      <c r="AB305" s="126"/>
      <c r="AC305" s="126"/>
      <c r="AD305" s="126"/>
      <c r="AE305" s="126"/>
      <c r="AF305" s="126"/>
      <c r="AG305" s="126"/>
      <c r="AH305" s="126"/>
      <c r="AI305" s="126"/>
      <c r="AJ305" s="126"/>
      <c r="AK305" s="126"/>
      <c r="AL305" s="126"/>
      <c r="AM305" s="126"/>
      <c r="AN305" s="126"/>
      <c r="AO305" s="126"/>
    </row>
    <row r="306">
      <c r="A306" s="158"/>
      <c r="B306" s="158"/>
      <c r="C306" s="158"/>
      <c r="D306" s="158"/>
      <c r="E306" s="158"/>
      <c r="F306" s="158"/>
      <c r="G306" s="158"/>
      <c r="H306" s="158"/>
      <c r="I306" s="145"/>
      <c r="J306" s="158"/>
      <c r="K306" s="158"/>
      <c r="L306" s="126"/>
      <c r="M306" s="126"/>
      <c r="N306" s="126"/>
      <c r="O306" s="126"/>
      <c r="P306" s="126"/>
      <c r="Q306" s="126"/>
      <c r="R306" s="126"/>
      <c r="S306" s="126"/>
      <c r="T306" s="126"/>
      <c r="U306" s="126"/>
      <c r="V306" s="126"/>
      <c r="W306" s="126"/>
      <c r="X306" s="126"/>
      <c r="Y306" s="126"/>
      <c r="Z306" s="126"/>
      <c r="AA306" s="126"/>
      <c r="AB306" s="126"/>
      <c r="AC306" s="126"/>
      <c r="AD306" s="126"/>
      <c r="AE306" s="126"/>
      <c r="AF306" s="126"/>
      <c r="AG306" s="126"/>
      <c r="AH306" s="126"/>
      <c r="AI306" s="126"/>
      <c r="AJ306" s="126"/>
      <c r="AK306" s="126"/>
      <c r="AL306" s="126"/>
      <c r="AM306" s="126"/>
      <c r="AN306" s="126"/>
      <c r="AO306" s="126"/>
    </row>
    <row r="307">
      <c r="A307" s="158"/>
      <c r="B307" s="158"/>
      <c r="C307" s="158"/>
      <c r="D307" s="158"/>
      <c r="E307" s="158"/>
      <c r="F307" s="158"/>
      <c r="G307" s="158"/>
      <c r="H307" s="158"/>
      <c r="I307" s="145"/>
      <c r="J307" s="158"/>
      <c r="K307" s="158"/>
      <c r="L307" s="126"/>
      <c r="M307" s="126"/>
      <c r="N307" s="126"/>
      <c r="O307" s="126"/>
      <c r="P307" s="126"/>
      <c r="Q307" s="126"/>
      <c r="R307" s="126"/>
      <c r="S307" s="126"/>
      <c r="T307" s="126"/>
      <c r="U307" s="126"/>
      <c r="V307" s="126"/>
      <c r="W307" s="126"/>
      <c r="X307" s="126"/>
      <c r="Y307" s="126"/>
      <c r="Z307" s="126"/>
      <c r="AA307" s="126"/>
      <c r="AB307" s="126"/>
      <c r="AC307" s="126"/>
      <c r="AD307" s="126"/>
      <c r="AE307" s="126"/>
      <c r="AF307" s="126"/>
      <c r="AG307" s="126"/>
      <c r="AH307" s="126"/>
      <c r="AI307" s="126"/>
      <c r="AJ307" s="126"/>
      <c r="AK307" s="126"/>
      <c r="AL307" s="126"/>
      <c r="AM307" s="126"/>
      <c r="AN307" s="126"/>
      <c r="AO307" s="126"/>
    </row>
    <row r="308">
      <c r="A308" s="158"/>
      <c r="B308" s="158"/>
      <c r="C308" s="158"/>
      <c r="D308" s="158"/>
      <c r="E308" s="158"/>
      <c r="F308" s="158"/>
      <c r="G308" s="158"/>
      <c r="H308" s="158"/>
      <c r="I308" s="145"/>
      <c r="J308" s="158"/>
      <c r="K308" s="158"/>
      <c r="L308" s="126"/>
      <c r="M308" s="126"/>
      <c r="N308" s="126"/>
      <c r="O308" s="126"/>
      <c r="P308" s="126"/>
      <c r="Q308" s="126"/>
      <c r="R308" s="126"/>
      <c r="S308" s="126"/>
      <c r="T308" s="126"/>
      <c r="U308" s="126"/>
      <c r="V308" s="126"/>
      <c r="W308" s="126"/>
      <c r="X308" s="126"/>
      <c r="Y308" s="126"/>
      <c r="Z308" s="126"/>
      <c r="AA308" s="126"/>
      <c r="AB308" s="126"/>
      <c r="AC308" s="126"/>
      <c r="AD308" s="126"/>
      <c r="AE308" s="126"/>
      <c r="AF308" s="126"/>
      <c r="AG308" s="126"/>
      <c r="AH308" s="126"/>
      <c r="AI308" s="126"/>
      <c r="AJ308" s="126"/>
      <c r="AK308" s="126"/>
      <c r="AL308" s="126"/>
      <c r="AM308" s="126"/>
      <c r="AN308" s="126"/>
      <c r="AO308" s="126"/>
    </row>
    <row r="309">
      <c r="A309" s="158"/>
      <c r="B309" s="158"/>
      <c r="C309" s="158"/>
      <c r="D309" s="158"/>
      <c r="E309" s="158"/>
      <c r="F309" s="158"/>
      <c r="G309" s="158"/>
      <c r="H309" s="158"/>
      <c r="I309" s="145"/>
      <c r="J309" s="158"/>
      <c r="K309" s="158"/>
      <c r="L309" s="126"/>
      <c r="M309" s="126"/>
      <c r="N309" s="126"/>
      <c r="O309" s="126"/>
      <c r="P309" s="126"/>
      <c r="Q309" s="126"/>
      <c r="R309" s="126"/>
      <c r="S309" s="126"/>
      <c r="T309" s="126"/>
      <c r="U309" s="126"/>
      <c r="V309" s="126"/>
      <c r="W309" s="126"/>
      <c r="X309" s="126"/>
      <c r="Y309" s="126"/>
      <c r="Z309" s="126"/>
      <c r="AA309" s="126"/>
      <c r="AB309" s="126"/>
      <c r="AC309" s="126"/>
      <c r="AD309" s="126"/>
      <c r="AE309" s="126"/>
      <c r="AF309" s="126"/>
      <c r="AG309" s="126"/>
      <c r="AH309" s="126"/>
      <c r="AI309" s="126"/>
      <c r="AJ309" s="126"/>
      <c r="AK309" s="126"/>
      <c r="AL309" s="126"/>
      <c r="AM309" s="126"/>
      <c r="AN309" s="126"/>
      <c r="AO309" s="126"/>
    </row>
    <row r="310">
      <c r="A310" s="158"/>
      <c r="B310" s="158"/>
      <c r="C310" s="158"/>
      <c r="D310" s="158"/>
      <c r="E310" s="158"/>
      <c r="F310" s="158"/>
      <c r="G310" s="158"/>
      <c r="H310" s="158"/>
      <c r="I310" s="145"/>
      <c r="J310" s="158"/>
      <c r="K310" s="158"/>
      <c r="L310" s="126"/>
      <c r="M310" s="126"/>
      <c r="N310" s="126"/>
      <c r="O310" s="126"/>
      <c r="P310" s="126"/>
      <c r="Q310" s="126"/>
      <c r="R310" s="126"/>
      <c r="S310" s="126"/>
      <c r="T310" s="126"/>
      <c r="U310" s="126"/>
      <c r="V310" s="126"/>
      <c r="W310" s="126"/>
      <c r="X310" s="126"/>
      <c r="Y310" s="126"/>
      <c r="Z310" s="126"/>
      <c r="AA310" s="126"/>
      <c r="AB310" s="126"/>
      <c r="AC310" s="126"/>
      <c r="AD310" s="126"/>
      <c r="AE310" s="126"/>
      <c r="AF310" s="126"/>
      <c r="AG310" s="126"/>
      <c r="AH310" s="126"/>
      <c r="AI310" s="126"/>
      <c r="AJ310" s="126"/>
      <c r="AK310" s="126"/>
      <c r="AL310" s="126"/>
      <c r="AM310" s="126"/>
      <c r="AN310" s="126"/>
      <c r="AO310" s="126"/>
    </row>
    <row r="311">
      <c r="A311" s="158"/>
      <c r="B311" s="158"/>
      <c r="C311" s="158"/>
      <c r="D311" s="158"/>
      <c r="E311" s="158"/>
      <c r="F311" s="158"/>
      <c r="G311" s="158"/>
      <c r="H311" s="158"/>
      <c r="I311" s="145"/>
      <c r="J311" s="158"/>
      <c r="K311" s="158"/>
      <c r="L311" s="126"/>
      <c r="M311" s="126"/>
      <c r="N311" s="126"/>
      <c r="O311" s="126"/>
      <c r="P311" s="126"/>
      <c r="Q311" s="126"/>
      <c r="R311" s="126"/>
      <c r="S311" s="126"/>
      <c r="T311" s="126"/>
      <c r="U311" s="126"/>
      <c r="V311" s="126"/>
      <c r="W311" s="126"/>
      <c r="X311" s="126"/>
      <c r="Y311" s="126"/>
      <c r="Z311" s="126"/>
      <c r="AA311" s="126"/>
      <c r="AB311" s="126"/>
      <c r="AC311" s="126"/>
      <c r="AD311" s="126"/>
      <c r="AE311" s="126"/>
      <c r="AF311" s="126"/>
      <c r="AG311" s="126"/>
      <c r="AH311" s="126"/>
      <c r="AI311" s="126"/>
      <c r="AJ311" s="126"/>
      <c r="AK311" s="126"/>
      <c r="AL311" s="126"/>
      <c r="AM311" s="126"/>
      <c r="AN311" s="126"/>
      <c r="AO311" s="126"/>
    </row>
    <row r="312">
      <c r="A312" s="158"/>
      <c r="B312" s="158"/>
      <c r="C312" s="158"/>
      <c r="D312" s="158"/>
      <c r="E312" s="158"/>
      <c r="F312" s="158"/>
      <c r="G312" s="158"/>
      <c r="H312" s="158"/>
      <c r="I312" s="145"/>
      <c r="J312" s="158"/>
      <c r="K312" s="158"/>
      <c r="L312" s="126"/>
      <c r="M312" s="126"/>
      <c r="N312" s="126"/>
      <c r="O312" s="126"/>
      <c r="P312" s="126"/>
      <c r="Q312" s="126"/>
      <c r="R312" s="126"/>
      <c r="S312" s="126"/>
      <c r="T312" s="126"/>
      <c r="U312" s="126"/>
      <c r="V312" s="126"/>
      <c r="W312" s="126"/>
      <c r="X312" s="126"/>
      <c r="Y312" s="126"/>
      <c r="Z312" s="126"/>
      <c r="AA312" s="126"/>
      <c r="AB312" s="126"/>
      <c r="AC312" s="126"/>
      <c r="AD312" s="126"/>
      <c r="AE312" s="126"/>
      <c r="AF312" s="126"/>
      <c r="AG312" s="126"/>
      <c r="AH312" s="126"/>
      <c r="AI312" s="126"/>
      <c r="AJ312" s="126"/>
      <c r="AK312" s="126"/>
      <c r="AL312" s="126"/>
      <c r="AM312" s="126"/>
      <c r="AN312" s="126"/>
      <c r="AO312" s="126"/>
    </row>
    <row r="313">
      <c r="A313" s="158"/>
      <c r="B313" s="158"/>
      <c r="C313" s="158"/>
      <c r="D313" s="158"/>
      <c r="E313" s="158"/>
      <c r="F313" s="158"/>
      <c r="G313" s="158"/>
      <c r="H313" s="158"/>
      <c r="I313" s="145"/>
      <c r="J313" s="158"/>
      <c r="K313" s="158"/>
      <c r="L313" s="126"/>
      <c r="M313" s="126"/>
      <c r="N313" s="126"/>
      <c r="O313" s="126"/>
      <c r="P313" s="126"/>
      <c r="Q313" s="126"/>
      <c r="R313" s="126"/>
      <c r="S313" s="126"/>
      <c r="T313" s="126"/>
      <c r="U313" s="126"/>
      <c r="V313" s="126"/>
      <c r="W313" s="126"/>
      <c r="X313" s="126"/>
      <c r="Y313" s="126"/>
      <c r="Z313" s="126"/>
      <c r="AA313" s="126"/>
      <c r="AB313" s="126"/>
      <c r="AC313" s="126"/>
      <c r="AD313" s="126"/>
      <c r="AE313" s="126"/>
      <c r="AF313" s="126"/>
      <c r="AG313" s="126"/>
      <c r="AH313" s="126"/>
      <c r="AI313" s="126"/>
      <c r="AJ313" s="126"/>
      <c r="AK313" s="126"/>
      <c r="AL313" s="126"/>
      <c r="AM313" s="126"/>
      <c r="AN313" s="126"/>
      <c r="AO313" s="126"/>
    </row>
    <row r="314">
      <c r="A314" s="158"/>
      <c r="B314" s="158"/>
      <c r="C314" s="158"/>
      <c r="D314" s="158"/>
      <c r="E314" s="158"/>
      <c r="F314" s="158"/>
      <c r="G314" s="158"/>
      <c r="H314" s="158"/>
      <c r="I314" s="145"/>
      <c r="J314" s="158"/>
      <c r="K314" s="158"/>
      <c r="L314" s="126"/>
      <c r="M314" s="126"/>
      <c r="N314" s="126"/>
      <c r="O314" s="126"/>
      <c r="P314" s="126"/>
      <c r="Q314" s="126"/>
      <c r="R314" s="126"/>
      <c r="S314" s="126"/>
      <c r="T314" s="126"/>
      <c r="U314" s="126"/>
      <c r="V314" s="126"/>
      <c r="W314" s="126"/>
      <c r="X314" s="126"/>
      <c r="Y314" s="126"/>
      <c r="Z314" s="126"/>
      <c r="AA314" s="126"/>
      <c r="AB314" s="126"/>
      <c r="AC314" s="126"/>
      <c r="AD314" s="126"/>
      <c r="AE314" s="126"/>
      <c r="AF314" s="126"/>
      <c r="AG314" s="126"/>
      <c r="AH314" s="126"/>
      <c r="AI314" s="126"/>
      <c r="AJ314" s="126"/>
      <c r="AK314" s="126"/>
      <c r="AL314" s="126"/>
      <c r="AM314" s="126"/>
      <c r="AN314" s="126"/>
      <c r="AO314" s="126"/>
    </row>
    <row r="315">
      <c r="A315" s="158"/>
      <c r="B315" s="158"/>
      <c r="C315" s="158"/>
      <c r="D315" s="158"/>
      <c r="E315" s="158"/>
      <c r="F315" s="158"/>
      <c r="G315" s="158"/>
      <c r="H315" s="158"/>
      <c r="I315" s="145"/>
      <c r="J315" s="158"/>
      <c r="K315" s="158"/>
      <c r="L315" s="126"/>
      <c r="M315" s="126"/>
      <c r="N315" s="126"/>
      <c r="O315" s="126"/>
      <c r="P315" s="126"/>
      <c r="Q315" s="126"/>
      <c r="R315" s="126"/>
      <c r="S315" s="126"/>
      <c r="T315" s="126"/>
      <c r="U315" s="126"/>
      <c r="V315" s="126"/>
      <c r="W315" s="126"/>
      <c r="X315" s="126"/>
      <c r="Y315" s="126"/>
      <c r="Z315" s="126"/>
      <c r="AA315" s="126"/>
      <c r="AB315" s="126"/>
      <c r="AC315" s="126"/>
      <c r="AD315" s="126"/>
      <c r="AE315" s="126"/>
      <c r="AF315" s="126"/>
      <c r="AG315" s="126"/>
      <c r="AH315" s="126"/>
      <c r="AI315" s="126"/>
      <c r="AJ315" s="126"/>
      <c r="AK315" s="126"/>
      <c r="AL315" s="126"/>
      <c r="AM315" s="126"/>
      <c r="AN315" s="126"/>
      <c r="AO315" s="126"/>
    </row>
    <row r="316">
      <c r="A316" s="158"/>
      <c r="B316" s="158"/>
      <c r="C316" s="158"/>
      <c r="D316" s="158"/>
      <c r="E316" s="158"/>
      <c r="F316" s="158"/>
      <c r="G316" s="158"/>
      <c r="H316" s="158"/>
      <c r="I316" s="145"/>
      <c r="J316" s="158"/>
      <c r="K316" s="158"/>
      <c r="L316" s="126"/>
      <c r="M316" s="126"/>
      <c r="N316" s="126"/>
      <c r="O316" s="126"/>
      <c r="P316" s="126"/>
      <c r="Q316" s="126"/>
      <c r="R316" s="126"/>
      <c r="S316" s="126"/>
      <c r="T316" s="126"/>
      <c r="U316" s="126"/>
      <c r="V316" s="126"/>
      <c r="W316" s="126"/>
      <c r="X316" s="126"/>
      <c r="Y316" s="126"/>
      <c r="Z316" s="126"/>
      <c r="AA316" s="126"/>
      <c r="AB316" s="126"/>
      <c r="AC316" s="126"/>
      <c r="AD316" s="126"/>
      <c r="AE316" s="126"/>
      <c r="AF316" s="126"/>
      <c r="AG316" s="126"/>
      <c r="AH316" s="126"/>
      <c r="AI316" s="126"/>
      <c r="AJ316" s="126"/>
      <c r="AK316" s="126"/>
      <c r="AL316" s="126"/>
      <c r="AM316" s="126"/>
      <c r="AN316" s="126"/>
      <c r="AO316" s="126"/>
    </row>
    <row r="317">
      <c r="A317" s="158"/>
      <c r="B317" s="158"/>
      <c r="C317" s="158"/>
      <c r="D317" s="158"/>
      <c r="E317" s="158"/>
      <c r="F317" s="158"/>
      <c r="G317" s="158"/>
      <c r="H317" s="158"/>
      <c r="I317" s="145"/>
      <c r="J317" s="158"/>
      <c r="K317" s="158"/>
      <c r="L317" s="126"/>
      <c r="M317" s="126"/>
      <c r="N317" s="126"/>
      <c r="O317" s="126"/>
      <c r="P317" s="126"/>
      <c r="Q317" s="126"/>
      <c r="R317" s="126"/>
      <c r="S317" s="126"/>
      <c r="T317" s="126"/>
      <c r="U317" s="126"/>
      <c r="V317" s="126"/>
      <c r="W317" s="126"/>
      <c r="X317" s="126"/>
      <c r="Y317" s="126"/>
      <c r="Z317" s="126"/>
      <c r="AA317" s="126"/>
      <c r="AB317" s="126"/>
      <c r="AC317" s="126"/>
      <c r="AD317" s="126"/>
      <c r="AE317" s="126"/>
      <c r="AF317" s="126"/>
      <c r="AG317" s="126"/>
      <c r="AH317" s="126"/>
      <c r="AI317" s="126"/>
      <c r="AJ317" s="126"/>
      <c r="AK317" s="126"/>
      <c r="AL317" s="126"/>
      <c r="AM317" s="126"/>
      <c r="AN317" s="126"/>
      <c r="AO317" s="126"/>
    </row>
    <row r="318">
      <c r="A318" s="158"/>
      <c r="B318" s="158"/>
      <c r="C318" s="158"/>
      <c r="D318" s="158"/>
      <c r="E318" s="158"/>
      <c r="F318" s="158"/>
      <c r="G318" s="158"/>
      <c r="H318" s="158"/>
      <c r="I318" s="145"/>
      <c r="J318" s="158"/>
      <c r="K318" s="158"/>
      <c r="L318" s="126"/>
      <c r="M318" s="126"/>
      <c r="N318" s="126"/>
      <c r="O318" s="126"/>
      <c r="P318" s="126"/>
      <c r="Q318" s="126"/>
      <c r="R318" s="126"/>
      <c r="S318" s="126"/>
      <c r="T318" s="126"/>
      <c r="U318" s="126"/>
      <c r="V318" s="126"/>
      <c r="W318" s="126"/>
      <c r="X318" s="126"/>
      <c r="Y318" s="126"/>
      <c r="Z318" s="126"/>
      <c r="AA318" s="126"/>
      <c r="AB318" s="126"/>
      <c r="AC318" s="126"/>
      <c r="AD318" s="126"/>
      <c r="AE318" s="126"/>
      <c r="AF318" s="126"/>
      <c r="AG318" s="126"/>
      <c r="AH318" s="126"/>
      <c r="AI318" s="126"/>
      <c r="AJ318" s="126"/>
      <c r="AK318" s="126"/>
      <c r="AL318" s="126"/>
      <c r="AM318" s="126"/>
      <c r="AN318" s="126"/>
      <c r="AO318" s="126"/>
    </row>
    <row r="319">
      <c r="A319" s="158"/>
      <c r="B319" s="158"/>
      <c r="C319" s="158"/>
      <c r="D319" s="158"/>
      <c r="E319" s="158"/>
      <c r="F319" s="158"/>
      <c r="G319" s="158"/>
      <c r="H319" s="158"/>
      <c r="I319" s="145"/>
      <c r="J319" s="158"/>
      <c r="K319" s="158"/>
      <c r="L319" s="126"/>
      <c r="M319" s="126"/>
      <c r="N319" s="126"/>
      <c r="O319" s="126"/>
      <c r="P319" s="126"/>
      <c r="Q319" s="126"/>
      <c r="R319" s="126"/>
      <c r="S319" s="126"/>
      <c r="T319" s="126"/>
      <c r="U319" s="126"/>
      <c r="V319" s="126"/>
      <c r="W319" s="126"/>
      <c r="X319" s="126"/>
      <c r="Y319" s="126"/>
      <c r="Z319" s="126"/>
      <c r="AA319" s="126"/>
      <c r="AB319" s="126"/>
      <c r="AC319" s="126"/>
      <c r="AD319" s="126"/>
      <c r="AE319" s="126"/>
      <c r="AF319" s="126"/>
      <c r="AG319" s="126"/>
      <c r="AH319" s="126"/>
      <c r="AI319" s="126"/>
      <c r="AJ319" s="126"/>
      <c r="AK319" s="126"/>
      <c r="AL319" s="126"/>
      <c r="AM319" s="126"/>
      <c r="AN319" s="126"/>
      <c r="AO319" s="126"/>
    </row>
    <row r="320">
      <c r="A320" s="158"/>
      <c r="B320" s="158"/>
      <c r="C320" s="158"/>
      <c r="D320" s="158"/>
      <c r="E320" s="158"/>
      <c r="F320" s="158"/>
      <c r="G320" s="158"/>
      <c r="H320" s="158"/>
      <c r="I320" s="145"/>
      <c r="J320" s="158"/>
      <c r="K320" s="158"/>
      <c r="L320" s="126"/>
      <c r="M320" s="126"/>
      <c r="N320" s="126"/>
      <c r="O320" s="126"/>
      <c r="P320" s="126"/>
      <c r="Q320" s="126"/>
      <c r="R320" s="126"/>
      <c r="S320" s="126"/>
      <c r="T320" s="126"/>
      <c r="U320" s="126"/>
      <c r="V320" s="126"/>
      <c r="W320" s="126"/>
      <c r="X320" s="126"/>
      <c r="Y320" s="126"/>
      <c r="Z320" s="126"/>
      <c r="AA320" s="126"/>
      <c r="AB320" s="126"/>
      <c r="AC320" s="126"/>
      <c r="AD320" s="126"/>
      <c r="AE320" s="126"/>
      <c r="AF320" s="126"/>
      <c r="AG320" s="126"/>
      <c r="AH320" s="126"/>
      <c r="AI320" s="126"/>
      <c r="AJ320" s="126"/>
      <c r="AK320" s="126"/>
      <c r="AL320" s="126"/>
      <c r="AM320" s="126"/>
      <c r="AN320" s="126"/>
      <c r="AO320" s="126"/>
    </row>
    <row r="321">
      <c r="A321" s="158"/>
      <c r="B321" s="158"/>
      <c r="C321" s="158"/>
      <c r="D321" s="158"/>
      <c r="E321" s="158"/>
      <c r="F321" s="158"/>
      <c r="G321" s="158"/>
      <c r="H321" s="158"/>
      <c r="I321" s="145"/>
      <c r="J321" s="158"/>
      <c r="K321" s="158"/>
      <c r="L321" s="126"/>
      <c r="M321" s="126"/>
      <c r="N321" s="126"/>
      <c r="O321" s="126"/>
      <c r="P321" s="126"/>
      <c r="Q321" s="126"/>
      <c r="R321" s="126"/>
      <c r="S321" s="126"/>
      <c r="T321" s="126"/>
      <c r="U321" s="126"/>
      <c r="V321" s="126"/>
      <c r="W321" s="126"/>
      <c r="X321" s="126"/>
      <c r="Y321" s="126"/>
      <c r="Z321" s="126"/>
      <c r="AA321" s="126"/>
      <c r="AB321" s="126"/>
      <c r="AC321" s="126"/>
      <c r="AD321" s="126"/>
      <c r="AE321" s="126"/>
      <c r="AF321" s="126"/>
      <c r="AG321" s="126"/>
      <c r="AH321" s="126"/>
      <c r="AI321" s="126"/>
      <c r="AJ321" s="126"/>
      <c r="AK321" s="126"/>
      <c r="AL321" s="126"/>
      <c r="AM321" s="126"/>
      <c r="AN321" s="126"/>
      <c r="AO321" s="126"/>
    </row>
    <row r="322">
      <c r="A322" s="158"/>
      <c r="B322" s="158"/>
      <c r="C322" s="158"/>
      <c r="D322" s="158"/>
      <c r="E322" s="158"/>
      <c r="F322" s="158"/>
      <c r="G322" s="158"/>
      <c r="H322" s="158"/>
      <c r="I322" s="145"/>
      <c r="J322" s="158"/>
      <c r="K322" s="158"/>
      <c r="L322" s="126"/>
      <c r="M322" s="126"/>
      <c r="N322" s="126"/>
      <c r="O322" s="126"/>
      <c r="P322" s="126"/>
      <c r="Q322" s="126"/>
      <c r="R322" s="126"/>
      <c r="S322" s="126"/>
      <c r="T322" s="126"/>
      <c r="U322" s="126"/>
      <c r="V322" s="126"/>
      <c r="W322" s="126"/>
      <c r="X322" s="126"/>
      <c r="Y322" s="126"/>
      <c r="Z322" s="126"/>
      <c r="AA322" s="126"/>
      <c r="AB322" s="126"/>
      <c r="AC322" s="126"/>
      <c r="AD322" s="126"/>
      <c r="AE322" s="126"/>
      <c r="AF322" s="126"/>
      <c r="AG322" s="126"/>
      <c r="AH322" s="126"/>
      <c r="AI322" s="126"/>
      <c r="AJ322" s="126"/>
      <c r="AK322" s="126"/>
      <c r="AL322" s="126"/>
      <c r="AM322" s="126"/>
      <c r="AN322" s="126"/>
      <c r="AO322" s="126"/>
    </row>
    <row r="323">
      <c r="A323" s="158"/>
      <c r="B323" s="158"/>
      <c r="C323" s="158"/>
      <c r="D323" s="158"/>
      <c r="E323" s="158"/>
      <c r="F323" s="158"/>
      <c r="G323" s="158"/>
      <c r="H323" s="158"/>
      <c r="I323" s="145"/>
      <c r="J323" s="158"/>
      <c r="K323" s="158"/>
      <c r="L323" s="126"/>
      <c r="M323" s="126"/>
      <c r="N323" s="126"/>
      <c r="O323" s="126"/>
      <c r="P323" s="126"/>
      <c r="Q323" s="126"/>
      <c r="R323" s="126"/>
      <c r="S323" s="126"/>
      <c r="T323" s="126"/>
      <c r="U323" s="126"/>
      <c r="V323" s="126"/>
      <c r="W323" s="126"/>
      <c r="X323" s="126"/>
      <c r="Y323" s="126"/>
      <c r="Z323" s="126"/>
      <c r="AA323" s="126"/>
      <c r="AB323" s="126"/>
      <c r="AC323" s="126"/>
      <c r="AD323" s="126"/>
      <c r="AE323" s="126"/>
      <c r="AF323" s="126"/>
      <c r="AG323" s="126"/>
      <c r="AH323" s="126"/>
      <c r="AI323" s="126"/>
      <c r="AJ323" s="126"/>
      <c r="AK323" s="126"/>
      <c r="AL323" s="126"/>
      <c r="AM323" s="126"/>
      <c r="AN323" s="126"/>
      <c r="AO323" s="126"/>
    </row>
    <row r="324">
      <c r="A324" s="158"/>
      <c r="B324" s="158"/>
      <c r="C324" s="158"/>
      <c r="D324" s="158"/>
      <c r="E324" s="158"/>
      <c r="F324" s="158"/>
      <c r="G324" s="158"/>
      <c r="H324" s="158"/>
      <c r="I324" s="145"/>
      <c r="J324" s="158"/>
      <c r="K324" s="158"/>
      <c r="L324" s="126"/>
      <c r="M324" s="126"/>
      <c r="N324" s="126"/>
      <c r="O324" s="126"/>
      <c r="P324" s="126"/>
      <c r="Q324" s="126"/>
      <c r="R324" s="126"/>
      <c r="S324" s="126"/>
      <c r="T324" s="126"/>
      <c r="U324" s="126"/>
      <c r="V324" s="126"/>
      <c r="W324" s="126"/>
      <c r="X324" s="126"/>
      <c r="Y324" s="126"/>
      <c r="Z324" s="126"/>
      <c r="AA324" s="126"/>
      <c r="AB324" s="126"/>
      <c r="AC324" s="126"/>
      <c r="AD324" s="126"/>
      <c r="AE324" s="126"/>
      <c r="AF324" s="126"/>
      <c r="AG324" s="126"/>
      <c r="AH324" s="126"/>
      <c r="AI324" s="126"/>
      <c r="AJ324" s="126"/>
      <c r="AK324" s="126"/>
      <c r="AL324" s="126"/>
      <c r="AM324" s="126"/>
      <c r="AN324" s="126"/>
      <c r="AO324" s="126"/>
    </row>
    <row r="325">
      <c r="A325" s="158"/>
      <c r="B325" s="158"/>
      <c r="C325" s="158"/>
      <c r="D325" s="158"/>
      <c r="E325" s="158"/>
      <c r="F325" s="158"/>
      <c r="G325" s="158"/>
      <c r="H325" s="158"/>
      <c r="I325" s="145"/>
      <c r="J325" s="158"/>
      <c r="K325" s="158"/>
      <c r="L325" s="126"/>
      <c r="M325" s="126"/>
      <c r="N325" s="126"/>
      <c r="O325" s="126"/>
      <c r="P325" s="126"/>
      <c r="Q325" s="126"/>
      <c r="R325" s="126"/>
      <c r="S325" s="126"/>
      <c r="T325" s="126"/>
      <c r="U325" s="126"/>
      <c r="V325" s="126"/>
      <c r="W325" s="126"/>
      <c r="X325" s="126"/>
      <c r="Y325" s="126"/>
      <c r="Z325" s="126"/>
      <c r="AA325" s="126"/>
      <c r="AB325" s="126"/>
      <c r="AC325" s="126"/>
      <c r="AD325" s="126"/>
      <c r="AE325" s="126"/>
      <c r="AF325" s="126"/>
      <c r="AG325" s="126"/>
      <c r="AH325" s="126"/>
      <c r="AI325" s="126"/>
      <c r="AJ325" s="126"/>
      <c r="AK325" s="126"/>
      <c r="AL325" s="126"/>
      <c r="AM325" s="126"/>
      <c r="AN325" s="126"/>
      <c r="AO325" s="126"/>
    </row>
    <row r="326">
      <c r="A326" s="158"/>
      <c r="B326" s="158"/>
      <c r="C326" s="158"/>
      <c r="D326" s="158"/>
      <c r="E326" s="158"/>
      <c r="F326" s="158"/>
      <c r="G326" s="158"/>
      <c r="H326" s="158"/>
      <c r="I326" s="145"/>
      <c r="J326" s="158"/>
      <c r="K326" s="158"/>
      <c r="L326" s="126"/>
      <c r="M326" s="126"/>
      <c r="N326" s="126"/>
      <c r="O326" s="126"/>
      <c r="P326" s="126"/>
      <c r="Q326" s="126"/>
      <c r="R326" s="126"/>
      <c r="S326" s="126"/>
      <c r="T326" s="126"/>
      <c r="U326" s="126"/>
      <c r="V326" s="126"/>
      <c r="W326" s="126"/>
      <c r="X326" s="126"/>
      <c r="Y326" s="126"/>
      <c r="Z326" s="126"/>
      <c r="AA326" s="126"/>
      <c r="AB326" s="126"/>
      <c r="AC326" s="126"/>
      <c r="AD326" s="126"/>
      <c r="AE326" s="126"/>
      <c r="AF326" s="126"/>
      <c r="AG326" s="126"/>
      <c r="AH326" s="126"/>
      <c r="AI326" s="126"/>
      <c r="AJ326" s="126"/>
      <c r="AK326" s="126"/>
      <c r="AL326" s="126"/>
      <c r="AM326" s="126"/>
      <c r="AN326" s="126"/>
      <c r="AO326" s="126"/>
    </row>
    <row r="327">
      <c r="A327" s="158"/>
      <c r="B327" s="158"/>
      <c r="C327" s="158"/>
      <c r="D327" s="158"/>
      <c r="E327" s="158"/>
      <c r="F327" s="158"/>
      <c r="G327" s="158"/>
      <c r="H327" s="158"/>
      <c r="I327" s="145"/>
      <c r="J327" s="158"/>
      <c r="K327" s="158"/>
      <c r="L327" s="126"/>
      <c r="M327" s="126"/>
      <c r="N327" s="126"/>
      <c r="O327" s="126"/>
      <c r="P327" s="126"/>
      <c r="Q327" s="126"/>
      <c r="R327" s="126"/>
      <c r="S327" s="126"/>
      <c r="T327" s="126"/>
      <c r="U327" s="126"/>
      <c r="V327" s="126"/>
      <c r="W327" s="126"/>
      <c r="X327" s="126"/>
      <c r="Y327" s="126"/>
      <c r="Z327" s="126"/>
      <c r="AA327" s="126"/>
      <c r="AB327" s="126"/>
      <c r="AC327" s="126"/>
      <c r="AD327" s="126"/>
      <c r="AE327" s="126"/>
      <c r="AF327" s="126"/>
      <c r="AG327" s="126"/>
      <c r="AH327" s="126"/>
      <c r="AI327" s="126"/>
      <c r="AJ327" s="126"/>
      <c r="AK327" s="126"/>
      <c r="AL327" s="126"/>
      <c r="AM327" s="126"/>
      <c r="AN327" s="126"/>
      <c r="AO327" s="126"/>
    </row>
    <row r="328">
      <c r="A328" s="158"/>
      <c r="B328" s="158"/>
      <c r="C328" s="158"/>
      <c r="D328" s="158"/>
      <c r="E328" s="158"/>
      <c r="F328" s="158"/>
      <c r="G328" s="158"/>
      <c r="H328" s="158"/>
      <c r="I328" s="145"/>
      <c r="J328" s="158"/>
      <c r="K328" s="158"/>
      <c r="L328" s="126"/>
      <c r="M328" s="126"/>
      <c r="N328" s="126"/>
      <c r="O328" s="126"/>
      <c r="P328" s="126"/>
      <c r="Q328" s="126"/>
      <c r="R328" s="126"/>
      <c r="S328" s="126"/>
      <c r="T328" s="126"/>
      <c r="U328" s="126"/>
      <c r="V328" s="126"/>
      <c r="W328" s="126"/>
      <c r="X328" s="126"/>
      <c r="Y328" s="126"/>
      <c r="Z328" s="126"/>
      <c r="AA328" s="126"/>
      <c r="AB328" s="126"/>
      <c r="AC328" s="126"/>
      <c r="AD328" s="126"/>
      <c r="AE328" s="126"/>
      <c r="AF328" s="126"/>
      <c r="AG328" s="126"/>
      <c r="AH328" s="126"/>
      <c r="AI328" s="126"/>
      <c r="AJ328" s="126"/>
      <c r="AK328" s="126"/>
      <c r="AL328" s="126"/>
      <c r="AM328" s="126"/>
      <c r="AN328" s="126"/>
      <c r="AO328" s="126"/>
    </row>
    <row r="329">
      <c r="A329" s="158"/>
      <c r="B329" s="158"/>
      <c r="C329" s="158"/>
      <c r="D329" s="158"/>
      <c r="E329" s="158"/>
      <c r="F329" s="158"/>
      <c r="G329" s="158"/>
      <c r="H329" s="158"/>
      <c r="I329" s="145"/>
      <c r="J329" s="158"/>
      <c r="K329" s="158"/>
      <c r="L329" s="126"/>
      <c r="M329" s="126"/>
      <c r="N329" s="126"/>
      <c r="O329" s="126"/>
      <c r="P329" s="126"/>
      <c r="Q329" s="126"/>
      <c r="R329" s="126"/>
      <c r="S329" s="126"/>
      <c r="T329" s="126"/>
      <c r="U329" s="126"/>
      <c r="V329" s="126"/>
      <c r="W329" s="126"/>
      <c r="X329" s="126"/>
      <c r="Y329" s="126"/>
      <c r="Z329" s="126"/>
      <c r="AA329" s="126"/>
      <c r="AB329" s="126"/>
      <c r="AC329" s="126"/>
      <c r="AD329" s="126"/>
      <c r="AE329" s="126"/>
      <c r="AF329" s="126"/>
      <c r="AG329" s="126"/>
      <c r="AH329" s="126"/>
      <c r="AI329" s="126"/>
      <c r="AJ329" s="126"/>
      <c r="AK329" s="126"/>
      <c r="AL329" s="126"/>
      <c r="AM329" s="126"/>
      <c r="AN329" s="126"/>
      <c r="AO329" s="126"/>
    </row>
    <row r="330">
      <c r="A330" s="158"/>
      <c r="B330" s="158"/>
      <c r="C330" s="158"/>
      <c r="D330" s="158"/>
      <c r="E330" s="158"/>
      <c r="F330" s="158"/>
      <c r="G330" s="158"/>
      <c r="H330" s="158"/>
      <c r="I330" s="145"/>
      <c r="J330" s="158"/>
      <c r="K330" s="158"/>
      <c r="L330" s="126"/>
      <c r="M330" s="126"/>
      <c r="N330" s="126"/>
      <c r="O330" s="126"/>
      <c r="P330" s="126"/>
      <c r="Q330" s="126"/>
      <c r="R330" s="126"/>
      <c r="S330" s="126"/>
      <c r="T330" s="126"/>
      <c r="U330" s="126"/>
      <c r="V330" s="126"/>
      <c r="W330" s="126"/>
      <c r="X330" s="126"/>
      <c r="Y330" s="126"/>
      <c r="Z330" s="126"/>
      <c r="AA330" s="126"/>
      <c r="AB330" s="126"/>
      <c r="AC330" s="126"/>
      <c r="AD330" s="126"/>
      <c r="AE330" s="126"/>
      <c r="AF330" s="126"/>
      <c r="AG330" s="126"/>
      <c r="AH330" s="126"/>
      <c r="AI330" s="126"/>
      <c r="AJ330" s="126"/>
      <c r="AK330" s="126"/>
      <c r="AL330" s="126"/>
      <c r="AM330" s="126"/>
      <c r="AN330" s="126"/>
      <c r="AO330" s="126"/>
    </row>
    <row r="331">
      <c r="A331" s="158"/>
      <c r="B331" s="158"/>
      <c r="C331" s="158"/>
      <c r="D331" s="158"/>
      <c r="E331" s="158"/>
      <c r="F331" s="158"/>
      <c r="G331" s="158"/>
      <c r="H331" s="158"/>
      <c r="I331" s="145"/>
      <c r="J331" s="158"/>
      <c r="K331" s="158"/>
      <c r="L331" s="126"/>
      <c r="M331" s="126"/>
      <c r="N331" s="126"/>
      <c r="O331" s="126"/>
      <c r="P331" s="126"/>
      <c r="Q331" s="126"/>
      <c r="R331" s="126"/>
      <c r="S331" s="126"/>
      <c r="T331" s="126"/>
      <c r="U331" s="126"/>
      <c r="V331" s="126"/>
      <c r="W331" s="126"/>
      <c r="X331" s="126"/>
      <c r="Y331" s="126"/>
      <c r="Z331" s="126"/>
      <c r="AA331" s="126"/>
      <c r="AB331" s="126"/>
      <c r="AC331" s="126"/>
      <c r="AD331" s="126"/>
      <c r="AE331" s="126"/>
      <c r="AF331" s="126"/>
      <c r="AG331" s="126"/>
      <c r="AH331" s="126"/>
      <c r="AI331" s="126"/>
      <c r="AJ331" s="126"/>
      <c r="AK331" s="126"/>
      <c r="AL331" s="126"/>
      <c r="AM331" s="126"/>
      <c r="AN331" s="126"/>
      <c r="AO331" s="126"/>
    </row>
    <row r="332">
      <c r="A332" s="158"/>
      <c r="B332" s="158"/>
      <c r="C332" s="158"/>
      <c r="D332" s="158"/>
      <c r="E332" s="158"/>
      <c r="F332" s="158"/>
      <c r="G332" s="158"/>
      <c r="H332" s="158"/>
      <c r="I332" s="145"/>
      <c r="J332" s="158"/>
      <c r="K332" s="158"/>
      <c r="L332" s="126"/>
      <c r="M332" s="126"/>
      <c r="N332" s="126"/>
      <c r="O332" s="126"/>
      <c r="P332" s="126"/>
      <c r="Q332" s="126"/>
      <c r="R332" s="126"/>
      <c r="S332" s="126"/>
      <c r="T332" s="126"/>
      <c r="U332" s="126"/>
      <c r="V332" s="126"/>
      <c r="W332" s="126"/>
      <c r="X332" s="126"/>
      <c r="Y332" s="126"/>
      <c r="Z332" s="126"/>
      <c r="AA332" s="126"/>
      <c r="AB332" s="126"/>
      <c r="AC332" s="126"/>
      <c r="AD332" s="126"/>
      <c r="AE332" s="126"/>
      <c r="AF332" s="126"/>
      <c r="AG332" s="126"/>
      <c r="AH332" s="126"/>
      <c r="AI332" s="126"/>
      <c r="AJ332" s="126"/>
      <c r="AK332" s="126"/>
      <c r="AL332" s="126"/>
      <c r="AM332" s="126"/>
      <c r="AN332" s="126"/>
      <c r="AO332" s="126"/>
    </row>
    <row r="333">
      <c r="A333" s="158"/>
      <c r="B333" s="158"/>
      <c r="C333" s="158"/>
      <c r="D333" s="158"/>
      <c r="E333" s="158"/>
      <c r="F333" s="158"/>
      <c r="G333" s="158"/>
      <c r="H333" s="158"/>
      <c r="I333" s="145"/>
      <c r="J333" s="158"/>
      <c r="K333" s="158"/>
      <c r="L333" s="126"/>
      <c r="M333" s="126"/>
      <c r="N333" s="126"/>
      <c r="O333" s="126"/>
      <c r="P333" s="126"/>
      <c r="Q333" s="126"/>
      <c r="R333" s="126"/>
      <c r="S333" s="126"/>
      <c r="T333" s="126"/>
      <c r="U333" s="126"/>
      <c r="V333" s="126"/>
      <c r="W333" s="126"/>
      <c r="X333" s="126"/>
      <c r="Y333" s="126"/>
      <c r="Z333" s="126"/>
      <c r="AA333" s="126"/>
      <c r="AB333" s="126"/>
      <c r="AC333" s="126"/>
      <c r="AD333" s="126"/>
      <c r="AE333" s="126"/>
      <c r="AF333" s="126"/>
      <c r="AG333" s="126"/>
      <c r="AH333" s="126"/>
      <c r="AI333" s="126"/>
      <c r="AJ333" s="126"/>
      <c r="AK333" s="126"/>
      <c r="AL333" s="126"/>
      <c r="AM333" s="126"/>
      <c r="AN333" s="126"/>
      <c r="AO333" s="126"/>
    </row>
    <row r="334">
      <c r="A334" s="158"/>
      <c r="B334" s="158"/>
      <c r="C334" s="158"/>
      <c r="D334" s="158"/>
      <c r="E334" s="158"/>
      <c r="F334" s="158"/>
      <c r="G334" s="158"/>
      <c r="H334" s="158"/>
      <c r="I334" s="145"/>
      <c r="J334" s="158"/>
      <c r="K334" s="158"/>
      <c r="L334" s="126"/>
      <c r="M334" s="126"/>
      <c r="N334" s="126"/>
      <c r="O334" s="126"/>
      <c r="P334" s="126"/>
      <c r="Q334" s="126"/>
      <c r="R334" s="126"/>
      <c r="S334" s="126"/>
      <c r="T334" s="126"/>
      <c r="U334" s="126"/>
      <c r="V334" s="126"/>
      <c r="W334" s="126"/>
      <c r="X334" s="126"/>
      <c r="Y334" s="126"/>
      <c r="Z334" s="126"/>
      <c r="AA334" s="126"/>
      <c r="AB334" s="126"/>
      <c r="AC334" s="126"/>
      <c r="AD334" s="126"/>
      <c r="AE334" s="126"/>
      <c r="AF334" s="126"/>
      <c r="AG334" s="126"/>
      <c r="AH334" s="126"/>
      <c r="AI334" s="126"/>
      <c r="AJ334" s="126"/>
      <c r="AK334" s="126"/>
      <c r="AL334" s="126"/>
      <c r="AM334" s="126"/>
      <c r="AN334" s="126"/>
      <c r="AO334" s="126"/>
    </row>
    <row r="335">
      <c r="A335" s="158"/>
      <c r="B335" s="158"/>
      <c r="C335" s="158"/>
      <c r="D335" s="158"/>
      <c r="E335" s="158"/>
      <c r="F335" s="158"/>
      <c r="G335" s="158"/>
      <c r="H335" s="158"/>
      <c r="I335" s="145"/>
      <c r="J335" s="158"/>
      <c r="K335" s="158"/>
      <c r="L335" s="126"/>
      <c r="M335" s="126"/>
      <c r="N335" s="126"/>
      <c r="O335" s="126"/>
      <c r="P335" s="126"/>
      <c r="Q335" s="126"/>
      <c r="R335" s="126"/>
      <c r="S335" s="126"/>
      <c r="T335" s="126"/>
      <c r="U335" s="126"/>
      <c r="V335" s="126"/>
      <c r="W335" s="126"/>
      <c r="X335" s="126"/>
      <c r="Y335" s="126"/>
      <c r="Z335" s="126"/>
      <c r="AA335" s="126"/>
      <c r="AB335" s="126"/>
      <c r="AC335" s="126"/>
      <c r="AD335" s="126"/>
      <c r="AE335" s="126"/>
      <c r="AF335" s="126"/>
      <c r="AG335" s="126"/>
      <c r="AH335" s="126"/>
      <c r="AI335" s="126"/>
      <c r="AJ335" s="126"/>
      <c r="AK335" s="126"/>
      <c r="AL335" s="126"/>
      <c r="AM335" s="126"/>
      <c r="AN335" s="126"/>
      <c r="AO335" s="126"/>
    </row>
    <row r="336">
      <c r="A336" s="158"/>
      <c r="B336" s="158"/>
      <c r="C336" s="158"/>
      <c r="D336" s="158"/>
      <c r="E336" s="158"/>
      <c r="F336" s="158"/>
      <c r="G336" s="158"/>
      <c r="H336" s="158"/>
      <c r="I336" s="145"/>
      <c r="J336" s="158"/>
      <c r="K336" s="158"/>
      <c r="L336" s="126"/>
      <c r="M336" s="126"/>
      <c r="N336" s="126"/>
      <c r="O336" s="126"/>
      <c r="P336" s="126"/>
      <c r="Q336" s="126"/>
      <c r="R336" s="126"/>
      <c r="S336" s="126"/>
      <c r="T336" s="126"/>
      <c r="U336" s="126"/>
      <c r="V336" s="126"/>
      <c r="W336" s="126"/>
      <c r="X336" s="126"/>
      <c r="Y336" s="126"/>
      <c r="Z336" s="126"/>
      <c r="AA336" s="126"/>
      <c r="AB336" s="126"/>
      <c r="AC336" s="126"/>
      <c r="AD336" s="126"/>
      <c r="AE336" s="126"/>
      <c r="AF336" s="126"/>
      <c r="AG336" s="126"/>
      <c r="AH336" s="126"/>
      <c r="AI336" s="126"/>
      <c r="AJ336" s="126"/>
      <c r="AK336" s="126"/>
      <c r="AL336" s="126"/>
      <c r="AM336" s="126"/>
      <c r="AN336" s="126"/>
      <c r="AO336" s="126"/>
    </row>
    <row r="337">
      <c r="A337" s="158"/>
      <c r="B337" s="158"/>
      <c r="C337" s="158"/>
      <c r="D337" s="158"/>
      <c r="E337" s="158"/>
      <c r="F337" s="158"/>
      <c r="G337" s="158"/>
      <c r="H337" s="158"/>
      <c r="I337" s="145"/>
      <c r="J337" s="158"/>
      <c r="K337" s="158"/>
      <c r="L337" s="126"/>
      <c r="M337" s="126"/>
      <c r="N337" s="126"/>
      <c r="O337" s="126"/>
      <c r="P337" s="126"/>
      <c r="Q337" s="126"/>
      <c r="R337" s="126"/>
      <c r="S337" s="126"/>
      <c r="T337" s="126"/>
      <c r="U337" s="126"/>
      <c r="V337" s="126"/>
      <c r="W337" s="126"/>
      <c r="X337" s="126"/>
      <c r="Y337" s="126"/>
      <c r="Z337" s="126"/>
      <c r="AA337" s="126"/>
      <c r="AB337" s="126"/>
      <c r="AC337" s="126"/>
      <c r="AD337" s="126"/>
      <c r="AE337" s="126"/>
      <c r="AF337" s="126"/>
      <c r="AG337" s="126"/>
      <c r="AH337" s="126"/>
      <c r="AI337" s="126"/>
      <c r="AJ337" s="126"/>
      <c r="AK337" s="126"/>
      <c r="AL337" s="126"/>
      <c r="AM337" s="126"/>
      <c r="AN337" s="126"/>
      <c r="AO337" s="126"/>
    </row>
    <row r="338">
      <c r="A338" s="158"/>
      <c r="B338" s="158"/>
      <c r="C338" s="158"/>
      <c r="D338" s="158"/>
      <c r="E338" s="158"/>
      <c r="F338" s="158"/>
      <c r="G338" s="158"/>
      <c r="H338" s="158"/>
      <c r="I338" s="145"/>
      <c r="J338" s="158"/>
      <c r="K338" s="158"/>
      <c r="L338" s="126"/>
      <c r="M338" s="126"/>
      <c r="N338" s="126"/>
      <c r="O338" s="126"/>
      <c r="P338" s="126"/>
      <c r="Q338" s="126"/>
      <c r="R338" s="126"/>
      <c r="S338" s="126"/>
      <c r="T338" s="126"/>
      <c r="U338" s="126"/>
      <c r="V338" s="126"/>
      <c r="W338" s="126"/>
      <c r="X338" s="126"/>
      <c r="Y338" s="126"/>
      <c r="Z338" s="126"/>
      <c r="AA338" s="126"/>
      <c r="AB338" s="126"/>
      <c r="AC338" s="126"/>
      <c r="AD338" s="126"/>
      <c r="AE338" s="126"/>
      <c r="AF338" s="126"/>
      <c r="AG338" s="126"/>
      <c r="AH338" s="126"/>
      <c r="AI338" s="126"/>
      <c r="AJ338" s="126"/>
      <c r="AK338" s="126"/>
      <c r="AL338" s="126"/>
      <c r="AM338" s="126"/>
      <c r="AN338" s="126"/>
      <c r="AO338" s="126"/>
    </row>
    <row r="339">
      <c r="A339" s="158"/>
      <c r="B339" s="158"/>
      <c r="C339" s="158"/>
      <c r="D339" s="158"/>
      <c r="E339" s="158"/>
      <c r="F339" s="158"/>
      <c r="G339" s="158"/>
      <c r="H339" s="158"/>
      <c r="I339" s="145"/>
      <c r="J339" s="158"/>
      <c r="K339" s="158"/>
      <c r="L339" s="126"/>
      <c r="M339" s="126"/>
      <c r="N339" s="126"/>
      <c r="O339" s="126"/>
      <c r="P339" s="126"/>
      <c r="Q339" s="126"/>
      <c r="R339" s="126"/>
      <c r="S339" s="126"/>
      <c r="T339" s="126"/>
      <c r="U339" s="126"/>
      <c r="V339" s="126"/>
      <c r="W339" s="126"/>
      <c r="X339" s="126"/>
      <c r="Y339" s="126"/>
      <c r="Z339" s="126"/>
      <c r="AA339" s="126"/>
      <c r="AB339" s="126"/>
      <c r="AC339" s="126"/>
      <c r="AD339" s="126"/>
      <c r="AE339" s="126"/>
      <c r="AF339" s="126"/>
      <c r="AG339" s="126"/>
      <c r="AH339" s="126"/>
      <c r="AI339" s="126"/>
      <c r="AJ339" s="126"/>
      <c r="AK339" s="126"/>
      <c r="AL339" s="126"/>
      <c r="AM339" s="126"/>
      <c r="AN339" s="126"/>
      <c r="AO339" s="126"/>
    </row>
    <row r="340">
      <c r="A340" s="158"/>
      <c r="B340" s="158"/>
      <c r="C340" s="158"/>
      <c r="D340" s="158"/>
      <c r="E340" s="158"/>
      <c r="F340" s="158"/>
      <c r="G340" s="158"/>
      <c r="H340" s="158"/>
      <c r="I340" s="145"/>
      <c r="J340" s="158"/>
      <c r="K340" s="158"/>
      <c r="L340" s="126"/>
      <c r="M340" s="126"/>
      <c r="N340" s="126"/>
      <c r="O340" s="126"/>
      <c r="P340" s="126"/>
      <c r="Q340" s="126"/>
      <c r="R340" s="126"/>
      <c r="S340" s="126"/>
      <c r="T340" s="126"/>
      <c r="U340" s="126"/>
      <c r="V340" s="126"/>
      <c r="W340" s="126"/>
      <c r="X340" s="126"/>
      <c r="Y340" s="126"/>
      <c r="Z340" s="126"/>
      <c r="AA340" s="126"/>
      <c r="AB340" s="126"/>
      <c r="AC340" s="126"/>
      <c r="AD340" s="126"/>
      <c r="AE340" s="126"/>
      <c r="AF340" s="126"/>
      <c r="AG340" s="126"/>
      <c r="AH340" s="126"/>
      <c r="AI340" s="126"/>
      <c r="AJ340" s="126"/>
      <c r="AK340" s="126"/>
      <c r="AL340" s="126"/>
      <c r="AM340" s="126"/>
      <c r="AN340" s="126"/>
      <c r="AO340" s="126"/>
    </row>
    <row r="341">
      <c r="A341" s="158"/>
      <c r="B341" s="158"/>
      <c r="C341" s="158"/>
      <c r="D341" s="158"/>
      <c r="E341" s="158"/>
      <c r="F341" s="158"/>
      <c r="G341" s="158"/>
      <c r="H341" s="158"/>
      <c r="I341" s="145"/>
      <c r="J341" s="158"/>
      <c r="K341" s="158"/>
      <c r="L341" s="126"/>
      <c r="M341" s="126"/>
      <c r="N341" s="126"/>
      <c r="O341" s="126"/>
      <c r="P341" s="126"/>
      <c r="Q341" s="126"/>
      <c r="R341" s="126"/>
      <c r="S341" s="126"/>
      <c r="T341" s="126"/>
      <c r="U341" s="126"/>
      <c r="V341" s="126"/>
      <c r="W341" s="126"/>
      <c r="X341" s="126"/>
      <c r="Y341" s="126"/>
      <c r="Z341" s="126"/>
      <c r="AA341" s="126"/>
      <c r="AB341" s="126"/>
      <c r="AC341" s="126"/>
      <c r="AD341" s="126"/>
      <c r="AE341" s="126"/>
      <c r="AF341" s="126"/>
      <c r="AG341" s="126"/>
      <c r="AH341" s="126"/>
      <c r="AI341" s="126"/>
      <c r="AJ341" s="126"/>
      <c r="AK341" s="126"/>
      <c r="AL341" s="126"/>
      <c r="AM341" s="126"/>
      <c r="AN341" s="126"/>
      <c r="AO341" s="126"/>
    </row>
    <row r="342">
      <c r="A342" s="158"/>
      <c r="B342" s="158"/>
      <c r="C342" s="158"/>
      <c r="D342" s="158"/>
      <c r="E342" s="158"/>
      <c r="F342" s="158"/>
      <c r="G342" s="158"/>
      <c r="H342" s="158"/>
      <c r="I342" s="145"/>
      <c r="J342" s="158"/>
      <c r="K342" s="158"/>
      <c r="L342" s="126"/>
      <c r="M342" s="126"/>
      <c r="N342" s="126"/>
      <c r="O342" s="126"/>
      <c r="P342" s="126"/>
      <c r="Q342" s="126"/>
      <c r="R342" s="126"/>
      <c r="S342" s="126"/>
      <c r="T342" s="126"/>
      <c r="U342" s="126"/>
      <c r="V342" s="126"/>
      <c r="W342" s="126"/>
      <c r="X342" s="126"/>
      <c r="Y342" s="126"/>
      <c r="Z342" s="126"/>
      <c r="AA342" s="126"/>
      <c r="AB342" s="126"/>
      <c r="AC342" s="126"/>
      <c r="AD342" s="126"/>
      <c r="AE342" s="126"/>
      <c r="AF342" s="126"/>
      <c r="AG342" s="126"/>
      <c r="AH342" s="126"/>
      <c r="AI342" s="126"/>
      <c r="AJ342" s="126"/>
      <c r="AK342" s="126"/>
      <c r="AL342" s="126"/>
      <c r="AM342" s="126"/>
      <c r="AN342" s="126"/>
      <c r="AO342" s="126"/>
    </row>
    <row r="343">
      <c r="A343" s="158"/>
      <c r="B343" s="158"/>
      <c r="C343" s="158"/>
      <c r="D343" s="158"/>
      <c r="E343" s="158"/>
      <c r="F343" s="158"/>
      <c r="G343" s="158"/>
      <c r="H343" s="158"/>
      <c r="I343" s="145"/>
      <c r="J343" s="158"/>
      <c r="K343" s="158"/>
      <c r="L343" s="126"/>
      <c r="M343" s="126"/>
      <c r="N343" s="126"/>
      <c r="O343" s="126"/>
      <c r="P343" s="126"/>
      <c r="Q343" s="126"/>
      <c r="R343" s="126"/>
      <c r="S343" s="126"/>
      <c r="T343" s="126"/>
      <c r="U343" s="126"/>
      <c r="V343" s="126"/>
      <c r="W343" s="126"/>
      <c r="X343" s="126"/>
      <c r="Y343" s="126"/>
      <c r="Z343" s="126"/>
      <c r="AA343" s="126"/>
      <c r="AB343" s="126"/>
      <c r="AC343" s="126"/>
      <c r="AD343" s="126"/>
      <c r="AE343" s="126"/>
      <c r="AF343" s="126"/>
      <c r="AG343" s="126"/>
      <c r="AH343" s="126"/>
      <c r="AI343" s="126"/>
      <c r="AJ343" s="126"/>
      <c r="AK343" s="126"/>
      <c r="AL343" s="126"/>
      <c r="AM343" s="126"/>
      <c r="AN343" s="126"/>
      <c r="AO343" s="126"/>
    </row>
    <row r="344">
      <c r="A344" s="158"/>
      <c r="B344" s="158"/>
      <c r="C344" s="158"/>
      <c r="D344" s="158"/>
      <c r="E344" s="158"/>
      <c r="F344" s="158"/>
      <c r="G344" s="158"/>
      <c r="H344" s="158"/>
      <c r="I344" s="145"/>
      <c r="J344" s="158"/>
      <c r="K344" s="158"/>
      <c r="L344" s="126"/>
      <c r="M344" s="126"/>
      <c r="N344" s="126"/>
      <c r="O344" s="126"/>
      <c r="P344" s="126"/>
      <c r="Q344" s="126"/>
      <c r="R344" s="126"/>
      <c r="S344" s="126"/>
      <c r="T344" s="126"/>
      <c r="U344" s="126"/>
      <c r="V344" s="126"/>
      <c r="W344" s="126"/>
      <c r="X344" s="126"/>
      <c r="Y344" s="126"/>
      <c r="Z344" s="126"/>
      <c r="AA344" s="126"/>
      <c r="AB344" s="126"/>
      <c r="AC344" s="126"/>
      <c r="AD344" s="126"/>
      <c r="AE344" s="126"/>
      <c r="AF344" s="126"/>
      <c r="AG344" s="126"/>
      <c r="AH344" s="126"/>
      <c r="AI344" s="126"/>
      <c r="AJ344" s="126"/>
      <c r="AK344" s="126"/>
      <c r="AL344" s="126"/>
      <c r="AM344" s="126"/>
      <c r="AN344" s="126"/>
      <c r="AO344" s="126"/>
    </row>
    <row r="345">
      <c r="A345" s="158"/>
      <c r="B345" s="158"/>
      <c r="C345" s="158"/>
      <c r="D345" s="158"/>
      <c r="E345" s="158"/>
      <c r="F345" s="158"/>
      <c r="G345" s="158"/>
      <c r="H345" s="158"/>
      <c r="I345" s="145"/>
      <c r="J345" s="158"/>
      <c r="K345" s="158"/>
      <c r="L345" s="126"/>
      <c r="M345" s="126"/>
      <c r="N345" s="126"/>
      <c r="O345" s="126"/>
      <c r="P345" s="126"/>
      <c r="Q345" s="126"/>
      <c r="R345" s="126"/>
      <c r="S345" s="126"/>
      <c r="T345" s="126"/>
      <c r="U345" s="126"/>
      <c r="V345" s="126"/>
      <c r="W345" s="126"/>
      <c r="X345" s="126"/>
      <c r="Y345" s="126"/>
      <c r="Z345" s="126"/>
      <c r="AA345" s="126"/>
      <c r="AB345" s="126"/>
      <c r="AC345" s="126"/>
      <c r="AD345" s="126"/>
      <c r="AE345" s="126"/>
      <c r="AF345" s="126"/>
      <c r="AG345" s="126"/>
      <c r="AH345" s="126"/>
      <c r="AI345" s="126"/>
      <c r="AJ345" s="126"/>
      <c r="AK345" s="126"/>
      <c r="AL345" s="126"/>
      <c r="AM345" s="126"/>
      <c r="AN345" s="126"/>
      <c r="AO345" s="126"/>
    </row>
    <row r="346">
      <c r="A346" s="158"/>
      <c r="B346" s="158"/>
      <c r="C346" s="158"/>
      <c r="D346" s="158"/>
      <c r="E346" s="158"/>
      <c r="F346" s="158"/>
      <c r="G346" s="158"/>
      <c r="H346" s="158"/>
      <c r="I346" s="145"/>
      <c r="J346" s="158"/>
      <c r="K346" s="158"/>
      <c r="L346" s="126"/>
      <c r="M346" s="126"/>
      <c r="N346" s="126"/>
      <c r="O346" s="126"/>
      <c r="P346" s="126"/>
      <c r="Q346" s="126"/>
      <c r="R346" s="126"/>
      <c r="S346" s="126"/>
      <c r="T346" s="126"/>
      <c r="U346" s="126"/>
      <c r="V346" s="126"/>
      <c r="W346" s="126"/>
      <c r="X346" s="126"/>
      <c r="Y346" s="126"/>
      <c r="Z346" s="126"/>
      <c r="AA346" s="126"/>
      <c r="AB346" s="126"/>
      <c r="AC346" s="126"/>
      <c r="AD346" s="126"/>
      <c r="AE346" s="126"/>
      <c r="AF346" s="126"/>
      <c r="AG346" s="126"/>
      <c r="AH346" s="126"/>
      <c r="AI346" s="126"/>
      <c r="AJ346" s="126"/>
      <c r="AK346" s="126"/>
      <c r="AL346" s="126"/>
      <c r="AM346" s="126"/>
      <c r="AN346" s="126"/>
      <c r="AO346" s="126"/>
    </row>
    <row r="347">
      <c r="A347" s="158"/>
      <c r="B347" s="158"/>
      <c r="C347" s="158"/>
      <c r="D347" s="158"/>
      <c r="E347" s="158"/>
      <c r="F347" s="158"/>
      <c r="G347" s="158"/>
      <c r="H347" s="158"/>
      <c r="I347" s="145"/>
      <c r="J347" s="158"/>
      <c r="K347" s="158"/>
      <c r="L347" s="126"/>
      <c r="M347" s="126"/>
      <c r="N347" s="126"/>
      <c r="O347" s="126"/>
      <c r="P347" s="126"/>
      <c r="Q347" s="126"/>
      <c r="R347" s="126"/>
      <c r="S347" s="126"/>
      <c r="T347" s="126"/>
      <c r="U347" s="126"/>
      <c r="V347" s="126"/>
      <c r="W347" s="126"/>
      <c r="X347" s="126"/>
      <c r="Y347" s="126"/>
      <c r="Z347" s="126"/>
      <c r="AA347" s="126"/>
      <c r="AB347" s="126"/>
      <c r="AC347" s="126"/>
      <c r="AD347" s="126"/>
      <c r="AE347" s="126"/>
      <c r="AF347" s="126"/>
      <c r="AG347" s="126"/>
      <c r="AH347" s="126"/>
      <c r="AI347" s="126"/>
      <c r="AJ347" s="126"/>
      <c r="AK347" s="126"/>
      <c r="AL347" s="126"/>
      <c r="AM347" s="126"/>
      <c r="AN347" s="126"/>
      <c r="AO347" s="126"/>
    </row>
    <row r="348">
      <c r="A348" s="158"/>
      <c r="B348" s="158"/>
      <c r="C348" s="158"/>
      <c r="D348" s="158"/>
      <c r="E348" s="158"/>
      <c r="F348" s="158"/>
      <c r="G348" s="158"/>
      <c r="H348" s="158"/>
      <c r="I348" s="145"/>
      <c r="J348" s="158"/>
      <c r="K348" s="158"/>
      <c r="L348" s="126"/>
      <c r="M348" s="126"/>
      <c r="N348" s="126"/>
      <c r="O348" s="126"/>
      <c r="P348" s="126"/>
      <c r="Q348" s="126"/>
      <c r="R348" s="126"/>
      <c r="S348" s="126"/>
      <c r="T348" s="126"/>
      <c r="U348" s="126"/>
      <c r="V348" s="126"/>
      <c r="W348" s="126"/>
      <c r="X348" s="126"/>
      <c r="Y348" s="126"/>
      <c r="Z348" s="126"/>
      <c r="AA348" s="126"/>
      <c r="AB348" s="126"/>
      <c r="AC348" s="126"/>
      <c r="AD348" s="126"/>
      <c r="AE348" s="126"/>
      <c r="AF348" s="126"/>
      <c r="AG348" s="126"/>
      <c r="AH348" s="126"/>
      <c r="AI348" s="126"/>
      <c r="AJ348" s="126"/>
      <c r="AK348" s="126"/>
      <c r="AL348" s="126"/>
      <c r="AM348" s="126"/>
      <c r="AN348" s="126"/>
      <c r="AO348" s="126"/>
    </row>
    <row r="349">
      <c r="A349" s="158"/>
      <c r="B349" s="158"/>
      <c r="C349" s="158"/>
      <c r="D349" s="158"/>
      <c r="E349" s="158"/>
      <c r="F349" s="158"/>
      <c r="G349" s="158"/>
      <c r="H349" s="158"/>
      <c r="I349" s="145"/>
      <c r="J349" s="158"/>
      <c r="K349" s="158"/>
      <c r="L349" s="126"/>
      <c r="M349" s="126"/>
      <c r="N349" s="126"/>
      <c r="O349" s="126"/>
      <c r="P349" s="126"/>
      <c r="Q349" s="126"/>
      <c r="R349" s="126"/>
      <c r="S349" s="126"/>
      <c r="T349" s="126"/>
      <c r="U349" s="126"/>
      <c r="V349" s="126"/>
      <c r="W349" s="126"/>
      <c r="X349" s="126"/>
      <c r="Y349" s="126"/>
      <c r="Z349" s="126"/>
      <c r="AA349" s="126"/>
      <c r="AB349" s="126"/>
      <c r="AC349" s="126"/>
      <c r="AD349" s="126"/>
      <c r="AE349" s="126"/>
      <c r="AF349" s="126"/>
      <c r="AG349" s="126"/>
      <c r="AH349" s="126"/>
      <c r="AI349" s="126"/>
      <c r="AJ349" s="126"/>
      <c r="AK349" s="126"/>
      <c r="AL349" s="126"/>
      <c r="AM349" s="126"/>
      <c r="AN349" s="126"/>
      <c r="AO349" s="126"/>
    </row>
    <row r="350">
      <c r="A350" s="158"/>
      <c r="B350" s="158"/>
      <c r="C350" s="158"/>
      <c r="D350" s="158"/>
      <c r="E350" s="158"/>
      <c r="F350" s="158"/>
      <c r="G350" s="158"/>
      <c r="H350" s="158"/>
      <c r="I350" s="145"/>
      <c r="J350" s="158"/>
      <c r="K350" s="158"/>
      <c r="L350" s="126"/>
      <c r="M350" s="126"/>
      <c r="N350" s="126"/>
      <c r="O350" s="126"/>
      <c r="P350" s="126"/>
      <c r="Q350" s="126"/>
      <c r="R350" s="126"/>
      <c r="S350" s="126"/>
      <c r="T350" s="126"/>
      <c r="U350" s="126"/>
      <c r="V350" s="126"/>
      <c r="W350" s="126"/>
      <c r="X350" s="126"/>
      <c r="Y350" s="126"/>
      <c r="Z350" s="126"/>
      <c r="AA350" s="126"/>
      <c r="AB350" s="126"/>
      <c r="AC350" s="126"/>
      <c r="AD350" s="126"/>
      <c r="AE350" s="126"/>
      <c r="AF350" s="126"/>
      <c r="AG350" s="126"/>
      <c r="AH350" s="126"/>
      <c r="AI350" s="126"/>
      <c r="AJ350" s="126"/>
      <c r="AK350" s="126"/>
      <c r="AL350" s="126"/>
      <c r="AM350" s="126"/>
      <c r="AN350" s="126"/>
      <c r="AO350" s="126"/>
    </row>
    <row r="351">
      <c r="A351" s="158"/>
      <c r="B351" s="158"/>
      <c r="C351" s="158"/>
      <c r="D351" s="158"/>
      <c r="E351" s="158"/>
      <c r="F351" s="158"/>
      <c r="G351" s="158"/>
      <c r="H351" s="158"/>
      <c r="I351" s="145"/>
      <c r="J351" s="158"/>
      <c r="K351" s="158"/>
      <c r="L351" s="126"/>
      <c r="M351" s="126"/>
      <c r="N351" s="126"/>
      <c r="O351" s="126"/>
      <c r="P351" s="126"/>
      <c r="Q351" s="126"/>
      <c r="R351" s="126"/>
      <c r="S351" s="126"/>
      <c r="T351" s="126"/>
      <c r="U351" s="126"/>
      <c r="V351" s="126"/>
      <c r="W351" s="126"/>
      <c r="X351" s="126"/>
      <c r="Y351" s="126"/>
      <c r="Z351" s="126"/>
      <c r="AA351" s="126"/>
      <c r="AB351" s="126"/>
      <c r="AC351" s="126"/>
      <c r="AD351" s="126"/>
      <c r="AE351" s="126"/>
      <c r="AF351" s="126"/>
      <c r="AG351" s="126"/>
      <c r="AH351" s="126"/>
      <c r="AI351" s="126"/>
      <c r="AJ351" s="126"/>
      <c r="AK351" s="126"/>
      <c r="AL351" s="126"/>
      <c r="AM351" s="126"/>
      <c r="AN351" s="126"/>
      <c r="AO351" s="126"/>
    </row>
    <row r="352">
      <c r="A352" s="158"/>
      <c r="B352" s="158"/>
      <c r="C352" s="158"/>
      <c r="D352" s="158"/>
      <c r="E352" s="158"/>
      <c r="F352" s="158"/>
      <c r="G352" s="158"/>
      <c r="H352" s="158"/>
      <c r="I352" s="145"/>
      <c r="J352" s="158"/>
      <c r="K352" s="158"/>
      <c r="L352" s="126"/>
      <c r="M352" s="126"/>
      <c r="N352" s="126"/>
      <c r="O352" s="126"/>
      <c r="P352" s="126"/>
      <c r="Q352" s="126"/>
      <c r="R352" s="126"/>
      <c r="S352" s="126"/>
      <c r="T352" s="126"/>
      <c r="U352" s="126"/>
      <c r="V352" s="126"/>
      <c r="W352" s="126"/>
      <c r="X352" s="126"/>
      <c r="Y352" s="126"/>
      <c r="Z352" s="126"/>
      <c r="AA352" s="126"/>
      <c r="AB352" s="126"/>
      <c r="AC352" s="126"/>
      <c r="AD352" s="126"/>
      <c r="AE352" s="126"/>
      <c r="AF352" s="126"/>
      <c r="AG352" s="126"/>
      <c r="AH352" s="126"/>
      <c r="AI352" s="126"/>
      <c r="AJ352" s="126"/>
      <c r="AK352" s="126"/>
      <c r="AL352" s="126"/>
      <c r="AM352" s="126"/>
      <c r="AN352" s="126"/>
      <c r="AO352" s="126"/>
    </row>
    <row r="353">
      <c r="A353" s="158"/>
      <c r="B353" s="158"/>
      <c r="C353" s="158"/>
      <c r="D353" s="158"/>
      <c r="E353" s="158"/>
      <c r="F353" s="158"/>
      <c r="G353" s="158"/>
      <c r="H353" s="158"/>
      <c r="I353" s="145"/>
      <c r="J353" s="158"/>
      <c r="K353" s="158"/>
      <c r="L353" s="126"/>
      <c r="M353" s="126"/>
      <c r="N353" s="126"/>
      <c r="O353" s="126"/>
      <c r="P353" s="126"/>
      <c r="Q353" s="126"/>
      <c r="R353" s="126"/>
      <c r="S353" s="126"/>
      <c r="T353" s="126"/>
      <c r="U353" s="126"/>
      <c r="V353" s="126"/>
      <c r="W353" s="126"/>
      <c r="X353" s="126"/>
      <c r="Y353" s="126"/>
      <c r="Z353" s="126"/>
      <c r="AA353" s="126"/>
      <c r="AB353" s="126"/>
      <c r="AC353" s="126"/>
      <c r="AD353" s="126"/>
      <c r="AE353" s="126"/>
      <c r="AF353" s="126"/>
      <c r="AG353" s="126"/>
      <c r="AH353" s="126"/>
      <c r="AI353" s="126"/>
      <c r="AJ353" s="126"/>
      <c r="AK353" s="126"/>
      <c r="AL353" s="126"/>
      <c r="AM353" s="126"/>
      <c r="AN353" s="126"/>
      <c r="AO353" s="126"/>
    </row>
    <row r="354">
      <c r="A354" s="158"/>
      <c r="B354" s="158"/>
      <c r="C354" s="158"/>
      <c r="D354" s="158"/>
      <c r="E354" s="158"/>
      <c r="F354" s="158"/>
      <c r="G354" s="158"/>
      <c r="H354" s="158"/>
      <c r="I354" s="145"/>
      <c r="J354" s="158"/>
      <c r="K354" s="158"/>
      <c r="L354" s="126"/>
      <c r="M354" s="126"/>
      <c r="N354" s="126"/>
      <c r="O354" s="126"/>
      <c r="P354" s="126"/>
      <c r="Q354" s="126"/>
      <c r="R354" s="126"/>
      <c r="S354" s="126"/>
      <c r="T354" s="126"/>
      <c r="U354" s="126"/>
      <c r="V354" s="126"/>
      <c r="W354" s="126"/>
      <c r="X354" s="126"/>
      <c r="Y354" s="126"/>
      <c r="Z354" s="126"/>
      <c r="AA354" s="126"/>
      <c r="AB354" s="126"/>
      <c r="AC354" s="126"/>
      <c r="AD354" s="126"/>
      <c r="AE354" s="126"/>
      <c r="AF354" s="126"/>
      <c r="AG354" s="126"/>
      <c r="AH354" s="126"/>
      <c r="AI354" s="126"/>
      <c r="AJ354" s="126"/>
      <c r="AK354" s="126"/>
      <c r="AL354" s="126"/>
      <c r="AM354" s="126"/>
      <c r="AN354" s="126"/>
      <c r="AO354" s="126"/>
    </row>
    <row r="355">
      <c r="A355" s="158"/>
      <c r="B355" s="158"/>
      <c r="C355" s="158"/>
      <c r="D355" s="158"/>
      <c r="E355" s="158"/>
      <c r="F355" s="158"/>
      <c r="G355" s="158"/>
      <c r="H355" s="158"/>
      <c r="I355" s="145"/>
      <c r="J355" s="158"/>
      <c r="K355" s="158"/>
      <c r="L355" s="126"/>
      <c r="M355" s="126"/>
      <c r="N355" s="126"/>
      <c r="O355" s="126"/>
      <c r="P355" s="126"/>
      <c r="Q355" s="126"/>
      <c r="R355" s="126"/>
      <c r="S355" s="126"/>
      <c r="T355" s="126"/>
      <c r="U355" s="126"/>
      <c r="V355" s="126"/>
      <c r="W355" s="126"/>
      <c r="X355" s="126"/>
      <c r="Y355" s="126"/>
      <c r="Z355" s="126"/>
      <c r="AA355" s="126"/>
      <c r="AB355" s="126"/>
      <c r="AC355" s="126"/>
      <c r="AD355" s="126"/>
      <c r="AE355" s="126"/>
      <c r="AF355" s="126"/>
      <c r="AG355" s="126"/>
      <c r="AH355" s="126"/>
      <c r="AI355" s="126"/>
      <c r="AJ355" s="126"/>
      <c r="AK355" s="126"/>
      <c r="AL355" s="126"/>
      <c r="AM355" s="126"/>
      <c r="AN355" s="126"/>
      <c r="AO355" s="126"/>
    </row>
    <row r="356">
      <c r="A356" s="158"/>
      <c r="B356" s="158"/>
      <c r="C356" s="158"/>
      <c r="D356" s="158"/>
      <c r="E356" s="158"/>
      <c r="F356" s="158"/>
      <c r="G356" s="158"/>
      <c r="H356" s="158"/>
      <c r="I356" s="145"/>
      <c r="J356" s="158"/>
      <c r="K356" s="158"/>
      <c r="L356" s="126"/>
      <c r="M356" s="126"/>
      <c r="N356" s="126"/>
      <c r="O356" s="126"/>
      <c r="P356" s="126"/>
      <c r="Q356" s="126"/>
      <c r="R356" s="126"/>
      <c r="S356" s="126"/>
      <c r="T356" s="126"/>
      <c r="U356" s="126"/>
      <c r="V356" s="126"/>
      <c r="W356" s="126"/>
      <c r="X356" s="126"/>
      <c r="Y356" s="126"/>
      <c r="Z356" s="126"/>
      <c r="AA356" s="126"/>
      <c r="AB356" s="126"/>
      <c r="AC356" s="126"/>
      <c r="AD356" s="126"/>
      <c r="AE356" s="126"/>
      <c r="AF356" s="126"/>
      <c r="AG356" s="126"/>
      <c r="AH356" s="126"/>
      <c r="AI356" s="126"/>
      <c r="AJ356" s="126"/>
      <c r="AK356" s="126"/>
      <c r="AL356" s="126"/>
      <c r="AM356" s="126"/>
      <c r="AN356" s="126"/>
      <c r="AO356" s="126"/>
    </row>
    <row r="357">
      <c r="A357" s="158"/>
      <c r="B357" s="158"/>
      <c r="C357" s="158"/>
      <c r="D357" s="158"/>
      <c r="E357" s="158"/>
      <c r="F357" s="158"/>
      <c r="G357" s="158"/>
      <c r="H357" s="158"/>
      <c r="I357" s="145"/>
      <c r="J357" s="158"/>
      <c r="K357" s="158"/>
      <c r="L357" s="126"/>
      <c r="M357" s="126"/>
      <c r="N357" s="126"/>
      <c r="O357" s="126"/>
      <c r="P357" s="126"/>
      <c r="Q357" s="126"/>
      <c r="R357" s="126"/>
      <c r="S357" s="126"/>
      <c r="T357" s="126"/>
      <c r="U357" s="126"/>
      <c r="V357" s="126"/>
      <c r="W357" s="126"/>
      <c r="X357" s="126"/>
      <c r="Y357" s="126"/>
      <c r="Z357" s="126"/>
      <c r="AA357" s="126"/>
      <c r="AB357" s="126"/>
      <c r="AC357" s="126"/>
      <c r="AD357" s="126"/>
      <c r="AE357" s="126"/>
      <c r="AF357" s="126"/>
      <c r="AG357" s="126"/>
      <c r="AH357" s="126"/>
      <c r="AI357" s="126"/>
      <c r="AJ357" s="126"/>
      <c r="AK357" s="126"/>
      <c r="AL357" s="126"/>
      <c r="AM357" s="126"/>
      <c r="AN357" s="126"/>
      <c r="AO357" s="126"/>
    </row>
    <row r="358">
      <c r="A358" s="158"/>
      <c r="B358" s="158"/>
      <c r="C358" s="158"/>
      <c r="D358" s="158"/>
      <c r="E358" s="158"/>
      <c r="F358" s="158"/>
      <c r="G358" s="158"/>
      <c r="H358" s="158"/>
      <c r="I358" s="145"/>
      <c r="J358" s="158"/>
      <c r="K358" s="158"/>
      <c r="L358" s="126"/>
      <c r="M358" s="126"/>
      <c r="N358" s="126"/>
      <c r="O358" s="126"/>
      <c r="P358" s="126"/>
      <c r="Q358" s="126"/>
      <c r="R358" s="126"/>
      <c r="S358" s="126"/>
      <c r="T358" s="126"/>
      <c r="U358" s="126"/>
      <c r="V358" s="126"/>
      <c r="W358" s="126"/>
      <c r="X358" s="126"/>
      <c r="Y358" s="126"/>
      <c r="Z358" s="126"/>
      <c r="AA358" s="126"/>
      <c r="AB358" s="126"/>
      <c r="AC358" s="126"/>
      <c r="AD358" s="126"/>
      <c r="AE358" s="126"/>
      <c r="AF358" s="126"/>
      <c r="AG358" s="126"/>
      <c r="AH358" s="126"/>
      <c r="AI358" s="126"/>
      <c r="AJ358" s="126"/>
      <c r="AK358" s="126"/>
      <c r="AL358" s="126"/>
      <c r="AM358" s="126"/>
      <c r="AN358" s="126"/>
      <c r="AO358" s="126"/>
    </row>
    <row r="359">
      <c r="A359" s="158"/>
      <c r="B359" s="158"/>
      <c r="C359" s="158"/>
      <c r="D359" s="158"/>
      <c r="E359" s="158"/>
      <c r="F359" s="158"/>
      <c r="G359" s="158"/>
      <c r="H359" s="158"/>
      <c r="I359" s="145"/>
      <c r="J359" s="158"/>
      <c r="K359" s="158"/>
      <c r="L359" s="126"/>
      <c r="M359" s="126"/>
      <c r="N359" s="126"/>
      <c r="O359" s="126"/>
      <c r="P359" s="126"/>
      <c r="Q359" s="126"/>
      <c r="R359" s="126"/>
      <c r="S359" s="126"/>
      <c r="T359" s="126"/>
      <c r="U359" s="126"/>
      <c r="V359" s="126"/>
      <c r="W359" s="126"/>
      <c r="X359" s="126"/>
      <c r="Y359" s="126"/>
      <c r="Z359" s="126"/>
      <c r="AA359" s="126"/>
      <c r="AB359" s="126"/>
      <c r="AC359" s="126"/>
      <c r="AD359" s="126"/>
      <c r="AE359" s="126"/>
      <c r="AF359" s="126"/>
      <c r="AG359" s="126"/>
      <c r="AH359" s="126"/>
      <c r="AI359" s="126"/>
      <c r="AJ359" s="126"/>
      <c r="AK359" s="126"/>
      <c r="AL359" s="126"/>
      <c r="AM359" s="126"/>
      <c r="AN359" s="126"/>
      <c r="AO359" s="126"/>
    </row>
    <row r="360">
      <c r="A360" s="158"/>
      <c r="B360" s="158"/>
      <c r="C360" s="158"/>
      <c r="D360" s="158"/>
      <c r="E360" s="158"/>
      <c r="F360" s="158"/>
      <c r="G360" s="158"/>
      <c r="H360" s="158"/>
      <c r="I360" s="145"/>
      <c r="J360" s="158"/>
      <c r="K360" s="158"/>
      <c r="L360" s="126"/>
      <c r="M360" s="126"/>
      <c r="N360" s="126"/>
      <c r="O360" s="126"/>
      <c r="P360" s="126"/>
      <c r="Q360" s="126"/>
      <c r="R360" s="126"/>
      <c r="S360" s="126"/>
      <c r="T360" s="126"/>
      <c r="U360" s="126"/>
      <c r="V360" s="126"/>
      <c r="W360" s="126"/>
      <c r="X360" s="126"/>
      <c r="Y360" s="126"/>
      <c r="Z360" s="126"/>
      <c r="AA360" s="126"/>
      <c r="AB360" s="126"/>
      <c r="AC360" s="126"/>
      <c r="AD360" s="126"/>
      <c r="AE360" s="126"/>
      <c r="AF360" s="126"/>
      <c r="AG360" s="126"/>
      <c r="AH360" s="126"/>
      <c r="AI360" s="126"/>
      <c r="AJ360" s="126"/>
      <c r="AK360" s="126"/>
      <c r="AL360" s="126"/>
      <c r="AM360" s="126"/>
      <c r="AN360" s="126"/>
      <c r="AO360" s="126"/>
    </row>
    <row r="361">
      <c r="A361" s="158"/>
      <c r="B361" s="158"/>
      <c r="C361" s="158"/>
      <c r="D361" s="158"/>
      <c r="E361" s="158"/>
      <c r="F361" s="158"/>
      <c r="G361" s="158"/>
      <c r="H361" s="158"/>
      <c r="I361" s="145"/>
      <c r="J361" s="158"/>
      <c r="K361" s="158"/>
      <c r="L361" s="126"/>
      <c r="M361" s="126"/>
      <c r="N361" s="126"/>
      <c r="O361" s="126"/>
      <c r="P361" s="126"/>
      <c r="Q361" s="126"/>
      <c r="R361" s="126"/>
      <c r="S361" s="126"/>
      <c r="T361" s="126"/>
      <c r="U361" s="126"/>
      <c r="V361" s="126"/>
      <c r="W361" s="126"/>
      <c r="X361" s="126"/>
      <c r="Y361" s="126"/>
      <c r="Z361" s="126"/>
      <c r="AA361" s="126"/>
      <c r="AB361" s="126"/>
      <c r="AC361" s="126"/>
      <c r="AD361" s="126"/>
      <c r="AE361" s="126"/>
      <c r="AF361" s="126"/>
      <c r="AG361" s="126"/>
      <c r="AH361" s="126"/>
      <c r="AI361" s="126"/>
      <c r="AJ361" s="126"/>
      <c r="AK361" s="126"/>
      <c r="AL361" s="126"/>
      <c r="AM361" s="126"/>
      <c r="AN361" s="126"/>
      <c r="AO361" s="126"/>
    </row>
    <row r="362">
      <c r="A362" s="158"/>
      <c r="B362" s="158"/>
      <c r="C362" s="158"/>
      <c r="D362" s="158"/>
      <c r="E362" s="158"/>
      <c r="F362" s="158"/>
      <c r="G362" s="158"/>
      <c r="H362" s="158"/>
      <c r="I362" s="145"/>
      <c r="J362" s="158"/>
      <c r="K362" s="158"/>
      <c r="L362" s="126"/>
      <c r="M362" s="126"/>
      <c r="N362" s="126"/>
      <c r="O362" s="126"/>
      <c r="P362" s="126"/>
      <c r="Q362" s="126"/>
      <c r="R362" s="126"/>
      <c r="S362" s="126"/>
      <c r="T362" s="126"/>
      <c r="U362" s="126"/>
      <c r="V362" s="126"/>
      <c r="W362" s="126"/>
      <c r="X362" s="126"/>
      <c r="Y362" s="126"/>
      <c r="Z362" s="126"/>
      <c r="AA362" s="126"/>
      <c r="AB362" s="126"/>
      <c r="AC362" s="126"/>
      <c r="AD362" s="126"/>
      <c r="AE362" s="126"/>
      <c r="AF362" s="126"/>
      <c r="AG362" s="126"/>
      <c r="AH362" s="126"/>
      <c r="AI362" s="126"/>
      <c r="AJ362" s="126"/>
      <c r="AK362" s="126"/>
      <c r="AL362" s="126"/>
      <c r="AM362" s="126"/>
      <c r="AN362" s="126"/>
      <c r="AO362" s="126"/>
    </row>
    <row r="363">
      <c r="A363" s="158"/>
      <c r="B363" s="158"/>
      <c r="C363" s="158"/>
      <c r="D363" s="158"/>
      <c r="E363" s="158"/>
      <c r="F363" s="158"/>
      <c r="G363" s="158"/>
      <c r="H363" s="158"/>
      <c r="I363" s="145"/>
      <c r="J363" s="158"/>
      <c r="K363" s="158"/>
      <c r="L363" s="126"/>
      <c r="M363" s="126"/>
      <c r="N363" s="126"/>
      <c r="O363" s="126"/>
      <c r="P363" s="126"/>
      <c r="Q363" s="126"/>
      <c r="R363" s="126"/>
      <c r="S363" s="126"/>
      <c r="T363" s="126"/>
      <c r="U363" s="126"/>
      <c r="V363" s="126"/>
      <c r="W363" s="126"/>
      <c r="X363" s="126"/>
      <c r="Y363" s="126"/>
      <c r="Z363" s="126"/>
      <c r="AA363" s="126"/>
      <c r="AB363" s="126"/>
      <c r="AC363" s="126"/>
      <c r="AD363" s="126"/>
      <c r="AE363" s="126"/>
      <c r="AF363" s="126"/>
      <c r="AG363" s="126"/>
      <c r="AH363" s="126"/>
      <c r="AI363" s="126"/>
      <c r="AJ363" s="126"/>
      <c r="AK363" s="126"/>
      <c r="AL363" s="126"/>
      <c r="AM363" s="126"/>
      <c r="AN363" s="126"/>
      <c r="AO363" s="126"/>
    </row>
    <row r="364">
      <c r="A364" s="158"/>
      <c r="B364" s="158"/>
      <c r="C364" s="158"/>
      <c r="D364" s="158"/>
      <c r="E364" s="158"/>
      <c r="F364" s="158"/>
      <c r="G364" s="158"/>
      <c r="H364" s="158"/>
      <c r="I364" s="145"/>
      <c r="J364" s="158"/>
      <c r="K364" s="158"/>
      <c r="L364" s="126"/>
      <c r="M364" s="126"/>
      <c r="N364" s="126"/>
      <c r="O364" s="126"/>
      <c r="P364" s="126"/>
      <c r="Q364" s="126"/>
      <c r="R364" s="126"/>
      <c r="S364" s="126"/>
      <c r="T364" s="126"/>
      <c r="U364" s="126"/>
      <c r="V364" s="126"/>
      <c r="W364" s="126"/>
      <c r="X364" s="126"/>
      <c r="Y364" s="126"/>
      <c r="Z364" s="126"/>
      <c r="AA364" s="126"/>
      <c r="AB364" s="126"/>
      <c r="AC364" s="126"/>
      <c r="AD364" s="126"/>
      <c r="AE364" s="126"/>
      <c r="AF364" s="126"/>
      <c r="AG364" s="126"/>
      <c r="AH364" s="126"/>
      <c r="AI364" s="126"/>
      <c r="AJ364" s="126"/>
      <c r="AK364" s="126"/>
      <c r="AL364" s="126"/>
      <c r="AM364" s="126"/>
      <c r="AN364" s="126"/>
      <c r="AO364" s="126"/>
    </row>
    <row r="365">
      <c r="A365" s="158"/>
      <c r="B365" s="158"/>
      <c r="C365" s="158"/>
      <c r="D365" s="158"/>
      <c r="E365" s="158"/>
      <c r="F365" s="158"/>
      <c r="G365" s="158"/>
      <c r="H365" s="158"/>
      <c r="I365" s="145"/>
      <c r="J365" s="158"/>
      <c r="K365" s="158"/>
      <c r="L365" s="126"/>
      <c r="M365" s="126"/>
      <c r="N365" s="126"/>
      <c r="O365" s="126"/>
      <c r="P365" s="126"/>
      <c r="Q365" s="126"/>
      <c r="R365" s="126"/>
      <c r="S365" s="126"/>
      <c r="T365" s="126"/>
      <c r="U365" s="126"/>
      <c r="V365" s="126"/>
      <c r="W365" s="126"/>
      <c r="X365" s="126"/>
      <c r="Y365" s="126"/>
      <c r="Z365" s="126"/>
      <c r="AA365" s="126"/>
      <c r="AB365" s="126"/>
      <c r="AC365" s="126"/>
      <c r="AD365" s="126"/>
      <c r="AE365" s="126"/>
      <c r="AF365" s="126"/>
      <c r="AG365" s="126"/>
      <c r="AH365" s="126"/>
      <c r="AI365" s="126"/>
      <c r="AJ365" s="126"/>
      <c r="AK365" s="126"/>
      <c r="AL365" s="126"/>
      <c r="AM365" s="126"/>
      <c r="AN365" s="126"/>
      <c r="AO365" s="126"/>
    </row>
    <row r="366">
      <c r="A366" s="158"/>
      <c r="B366" s="158"/>
      <c r="C366" s="158"/>
      <c r="D366" s="158"/>
      <c r="E366" s="158"/>
      <c r="F366" s="158"/>
      <c r="G366" s="158"/>
      <c r="H366" s="158"/>
      <c r="I366" s="145"/>
      <c r="J366" s="158"/>
      <c r="K366" s="158"/>
      <c r="L366" s="126"/>
      <c r="M366" s="126"/>
      <c r="N366" s="126"/>
      <c r="O366" s="126"/>
      <c r="P366" s="126"/>
      <c r="Q366" s="126"/>
      <c r="R366" s="126"/>
      <c r="S366" s="126"/>
      <c r="T366" s="126"/>
      <c r="U366" s="126"/>
      <c r="V366" s="126"/>
      <c r="W366" s="126"/>
      <c r="X366" s="126"/>
      <c r="Y366" s="126"/>
      <c r="Z366" s="126"/>
      <c r="AA366" s="126"/>
      <c r="AB366" s="126"/>
      <c r="AC366" s="126"/>
      <c r="AD366" s="126"/>
      <c r="AE366" s="126"/>
      <c r="AF366" s="126"/>
      <c r="AG366" s="126"/>
      <c r="AH366" s="126"/>
      <c r="AI366" s="126"/>
      <c r="AJ366" s="126"/>
      <c r="AK366" s="126"/>
      <c r="AL366" s="126"/>
      <c r="AM366" s="126"/>
      <c r="AN366" s="126"/>
      <c r="AO366" s="126"/>
    </row>
    <row r="367">
      <c r="A367" s="158"/>
      <c r="B367" s="158"/>
      <c r="C367" s="158"/>
      <c r="D367" s="158"/>
      <c r="E367" s="158"/>
      <c r="F367" s="158"/>
      <c r="G367" s="158"/>
      <c r="H367" s="158"/>
      <c r="I367" s="145"/>
      <c r="J367" s="158"/>
      <c r="K367" s="158"/>
      <c r="L367" s="126"/>
      <c r="M367" s="126"/>
      <c r="N367" s="126"/>
      <c r="O367" s="126"/>
      <c r="P367" s="126"/>
      <c r="Q367" s="126"/>
      <c r="R367" s="126"/>
      <c r="S367" s="126"/>
      <c r="T367" s="126"/>
      <c r="U367" s="126"/>
      <c r="V367" s="126"/>
      <c r="W367" s="126"/>
      <c r="X367" s="126"/>
      <c r="Y367" s="126"/>
      <c r="Z367" s="126"/>
      <c r="AA367" s="126"/>
      <c r="AB367" s="126"/>
      <c r="AC367" s="126"/>
      <c r="AD367" s="126"/>
      <c r="AE367" s="126"/>
      <c r="AF367" s="126"/>
      <c r="AG367" s="126"/>
      <c r="AH367" s="126"/>
      <c r="AI367" s="126"/>
      <c r="AJ367" s="126"/>
      <c r="AK367" s="126"/>
      <c r="AL367" s="126"/>
      <c r="AM367" s="126"/>
      <c r="AN367" s="126"/>
      <c r="AO367" s="126"/>
    </row>
    <row r="368">
      <c r="A368" s="158"/>
      <c r="B368" s="158"/>
      <c r="C368" s="158"/>
      <c r="D368" s="158"/>
      <c r="E368" s="158"/>
      <c r="F368" s="158"/>
      <c r="G368" s="158"/>
      <c r="H368" s="158"/>
      <c r="I368" s="145"/>
      <c r="J368" s="158"/>
      <c r="K368" s="158"/>
      <c r="L368" s="126"/>
      <c r="M368" s="126"/>
      <c r="N368" s="126"/>
      <c r="O368" s="126"/>
      <c r="P368" s="126"/>
      <c r="Q368" s="126"/>
      <c r="R368" s="126"/>
      <c r="S368" s="126"/>
      <c r="T368" s="126"/>
      <c r="U368" s="126"/>
      <c r="V368" s="126"/>
      <c r="W368" s="126"/>
      <c r="X368" s="126"/>
      <c r="Y368" s="126"/>
      <c r="Z368" s="126"/>
      <c r="AA368" s="126"/>
      <c r="AB368" s="126"/>
      <c r="AC368" s="126"/>
      <c r="AD368" s="126"/>
      <c r="AE368" s="126"/>
      <c r="AF368" s="126"/>
      <c r="AG368" s="126"/>
      <c r="AH368" s="126"/>
      <c r="AI368" s="126"/>
      <c r="AJ368" s="126"/>
      <c r="AK368" s="126"/>
      <c r="AL368" s="126"/>
      <c r="AM368" s="126"/>
      <c r="AN368" s="126"/>
      <c r="AO368" s="126"/>
    </row>
    <row r="369">
      <c r="A369" s="158"/>
      <c r="B369" s="158"/>
      <c r="C369" s="158"/>
      <c r="D369" s="158"/>
      <c r="E369" s="158"/>
      <c r="F369" s="158"/>
      <c r="G369" s="158"/>
      <c r="H369" s="158"/>
      <c r="I369" s="145"/>
      <c r="J369" s="158"/>
      <c r="K369" s="158"/>
      <c r="L369" s="126"/>
      <c r="M369" s="126"/>
      <c r="N369" s="126"/>
      <c r="O369" s="126"/>
      <c r="P369" s="126"/>
      <c r="Q369" s="126"/>
      <c r="R369" s="126"/>
      <c r="S369" s="126"/>
      <c r="T369" s="126"/>
      <c r="U369" s="126"/>
      <c r="V369" s="126"/>
      <c r="W369" s="126"/>
      <c r="X369" s="126"/>
      <c r="Y369" s="126"/>
      <c r="Z369" s="126"/>
      <c r="AA369" s="126"/>
      <c r="AB369" s="126"/>
      <c r="AC369" s="126"/>
      <c r="AD369" s="126"/>
      <c r="AE369" s="126"/>
      <c r="AF369" s="126"/>
      <c r="AG369" s="126"/>
      <c r="AH369" s="126"/>
      <c r="AI369" s="126"/>
      <c r="AJ369" s="126"/>
      <c r="AK369" s="126"/>
      <c r="AL369" s="126"/>
      <c r="AM369" s="126"/>
      <c r="AN369" s="126"/>
      <c r="AO369" s="126"/>
    </row>
    <row r="370">
      <c r="A370" s="158"/>
      <c r="B370" s="158"/>
      <c r="C370" s="158"/>
      <c r="D370" s="158"/>
      <c r="E370" s="158"/>
      <c r="F370" s="158"/>
      <c r="G370" s="158"/>
      <c r="H370" s="158"/>
      <c r="I370" s="145"/>
      <c r="J370" s="158"/>
      <c r="K370" s="158"/>
      <c r="L370" s="126"/>
      <c r="M370" s="126"/>
      <c r="N370" s="126"/>
      <c r="O370" s="126"/>
      <c r="P370" s="126"/>
      <c r="Q370" s="126"/>
      <c r="R370" s="126"/>
      <c r="S370" s="126"/>
      <c r="T370" s="126"/>
      <c r="U370" s="126"/>
      <c r="V370" s="126"/>
      <c r="W370" s="126"/>
      <c r="X370" s="126"/>
      <c r="Y370" s="126"/>
      <c r="Z370" s="126"/>
      <c r="AA370" s="126"/>
      <c r="AB370" s="126"/>
      <c r="AC370" s="126"/>
      <c r="AD370" s="126"/>
      <c r="AE370" s="126"/>
      <c r="AF370" s="126"/>
      <c r="AG370" s="126"/>
      <c r="AH370" s="126"/>
      <c r="AI370" s="126"/>
      <c r="AJ370" s="126"/>
      <c r="AK370" s="126"/>
      <c r="AL370" s="126"/>
      <c r="AM370" s="126"/>
      <c r="AN370" s="126"/>
      <c r="AO370" s="126"/>
    </row>
    <row r="371">
      <c r="A371" s="158"/>
      <c r="B371" s="158"/>
      <c r="C371" s="158"/>
      <c r="D371" s="158"/>
      <c r="E371" s="158"/>
      <c r="F371" s="158"/>
      <c r="G371" s="158"/>
      <c r="H371" s="158"/>
      <c r="I371" s="145"/>
      <c r="J371" s="158"/>
      <c r="K371" s="158"/>
      <c r="L371" s="126"/>
      <c r="M371" s="126"/>
      <c r="N371" s="126"/>
      <c r="O371" s="126"/>
      <c r="P371" s="126"/>
      <c r="Q371" s="126"/>
      <c r="R371" s="126"/>
      <c r="S371" s="126"/>
      <c r="T371" s="126"/>
      <c r="U371" s="126"/>
      <c r="V371" s="126"/>
      <c r="W371" s="126"/>
      <c r="X371" s="126"/>
      <c r="Y371" s="126"/>
      <c r="Z371" s="126"/>
      <c r="AA371" s="126"/>
      <c r="AB371" s="126"/>
      <c r="AC371" s="126"/>
      <c r="AD371" s="126"/>
      <c r="AE371" s="126"/>
      <c r="AF371" s="126"/>
      <c r="AG371" s="126"/>
      <c r="AH371" s="126"/>
      <c r="AI371" s="126"/>
      <c r="AJ371" s="126"/>
      <c r="AK371" s="126"/>
      <c r="AL371" s="126"/>
      <c r="AM371" s="126"/>
      <c r="AN371" s="126"/>
      <c r="AO371" s="126"/>
    </row>
    <row r="372">
      <c r="A372" s="158"/>
      <c r="B372" s="158"/>
      <c r="C372" s="158"/>
      <c r="D372" s="158"/>
      <c r="E372" s="158"/>
      <c r="F372" s="158"/>
      <c r="G372" s="158"/>
      <c r="H372" s="158"/>
      <c r="I372" s="145"/>
      <c r="J372" s="158"/>
      <c r="K372" s="158"/>
      <c r="L372" s="126"/>
      <c r="M372" s="126"/>
      <c r="N372" s="126"/>
      <c r="O372" s="126"/>
      <c r="P372" s="126"/>
      <c r="Q372" s="126"/>
      <c r="R372" s="126"/>
      <c r="S372" s="126"/>
      <c r="T372" s="126"/>
      <c r="U372" s="126"/>
      <c r="V372" s="126"/>
      <c r="W372" s="126"/>
      <c r="X372" s="126"/>
      <c r="Y372" s="126"/>
      <c r="Z372" s="126"/>
      <c r="AA372" s="126"/>
      <c r="AB372" s="126"/>
      <c r="AC372" s="126"/>
      <c r="AD372" s="126"/>
      <c r="AE372" s="126"/>
      <c r="AF372" s="126"/>
      <c r="AG372" s="126"/>
      <c r="AH372" s="126"/>
      <c r="AI372" s="126"/>
      <c r="AJ372" s="126"/>
      <c r="AK372" s="126"/>
      <c r="AL372" s="126"/>
      <c r="AM372" s="126"/>
      <c r="AN372" s="126"/>
      <c r="AO372" s="126"/>
    </row>
    <row r="373">
      <c r="A373" s="158"/>
      <c r="B373" s="158"/>
      <c r="C373" s="158"/>
      <c r="D373" s="158"/>
      <c r="E373" s="158"/>
      <c r="F373" s="158"/>
      <c r="G373" s="158"/>
      <c r="H373" s="158"/>
      <c r="I373" s="145"/>
      <c r="J373" s="158"/>
      <c r="K373" s="158"/>
      <c r="L373" s="126"/>
      <c r="M373" s="126"/>
      <c r="N373" s="126"/>
      <c r="O373" s="126"/>
      <c r="P373" s="126"/>
      <c r="Q373" s="126"/>
      <c r="R373" s="126"/>
      <c r="S373" s="126"/>
      <c r="T373" s="126"/>
      <c r="U373" s="126"/>
      <c r="V373" s="126"/>
      <c r="W373" s="126"/>
      <c r="X373" s="126"/>
      <c r="Y373" s="126"/>
      <c r="Z373" s="126"/>
      <c r="AA373" s="126"/>
      <c r="AB373" s="126"/>
      <c r="AC373" s="126"/>
      <c r="AD373" s="126"/>
      <c r="AE373" s="126"/>
      <c r="AF373" s="126"/>
      <c r="AG373" s="126"/>
      <c r="AH373" s="126"/>
      <c r="AI373" s="126"/>
      <c r="AJ373" s="126"/>
      <c r="AK373" s="126"/>
      <c r="AL373" s="126"/>
      <c r="AM373" s="126"/>
      <c r="AN373" s="126"/>
      <c r="AO373" s="126"/>
    </row>
    <row r="374">
      <c r="A374" s="158"/>
      <c r="B374" s="158"/>
      <c r="C374" s="158"/>
      <c r="D374" s="158"/>
      <c r="E374" s="158"/>
      <c r="F374" s="158"/>
      <c r="G374" s="158"/>
      <c r="H374" s="158"/>
      <c r="I374" s="145"/>
      <c r="J374" s="158"/>
      <c r="K374" s="158"/>
      <c r="L374" s="126"/>
      <c r="M374" s="126"/>
      <c r="N374" s="126"/>
      <c r="O374" s="126"/>
      <c r="P374" s="126"/>
      <c r="Q374" s="126"/>
      <c r="R374" s="126"/>
      <c r="S374" s="126"/>
      <c r="T374" s="126"/>
      <c r="U374" s="126"/>
      <c r="V374" s="126"/>
      <c r="W374" s="126"/>
      <c r="X374" s="126"/>
      <c r="Y374" s="126"/>
      <c r="Z374" s="126"/>
      <c r="AA374" s="126"/>
      <c r="AB374" s="126"/>
      <c r="AC374" s="126"/>
      <c r="AD374" s="126"/>
      <c r="AE374" s="126"/>
      <c r="AF374" s="126"/>
      <c r="AG374" s="126"/>
      <c r="AH374" s="126"/>
      <c r="AI374" s="126"/>
      <c r="AJ374" s="126"/>
      <c r="AK374" s="126"/>
      <c r="AL374" s="126"/>
      <c r="AM374" s="126"/>
      <c r="AN374" s="126"/>
      <c r="AO374" s="126"/>
    </row>
    <row r="375">
      <c r="A375" s="158"/>
      <c r="B375" s="158"/>
      <c r="C375" s="158"/>
      <c r="D375" s="158"/>
      <c r="E375" s="158"/>
      <c r="F375" s="158"/>
      <c r="G375" s="158"/>
      <c r="H375" s="158"/>
      <c r="I375" s="145"/>
      <c r="J375" s="158"/>
      <c r="K375" s="158"/>
      <c r="L375" s="126"/>
      <c r="M375" s="126"/>
      <c r="N375" s="126"/>
      <c r="O375" s="126"/>
      <c r="P375" s="126"/>
      <c r="Q375" s="126"/>
      <c r="R375" s="126"/>
      <c r="S375" s="126"/>
      <c r="T375" s="126"/>
      <c r="U375" s="126"/>
      <c r="V375" s="126"/>
      <c r="W375" s="126"/>
      <c r="X375" s="126"/>
      <c r="Y375" s="126"/>
      <c r="Z375" s="126"/>
      <c r="AA375" s="126"/>
      <c r="AB375" s="126"/>
      <c r="AC375" s="126"/>
      <c r="AD375" s="126"/>
      <c r="AE375" s="126"/>
      <c r="AF375" s="126"/>
      <c r="AG375" s="126"/>
      <c r="AH375" s="126"/>
      <c r="AI375" s="126"/>
      <c r="AJ375" s="126"/>
      <c r="AK375" s="126"/>
      <c r="AL375" s="126"/>
      <c r="AM375" s="126"/>
      <c r="AN375" s="126"/>
      <c r="AO375" s="126"/>
    </row>
    <row r="376">
      <c r="A376" s="158"/>
      <c r="B376" s="158"/>
      <c r="C376" s="158"/>
      <c r="D376" s="158"/>
      <c r="E376" s="158"/>
      <c r="F376" s="158"/>
      <c r="G376" s="158"/>
      <c r="H376" s="158"/>
      <c r="I376" s="145"/>
      <c r="J376" s="158"/>
      <c r="K376" s="158"/>
      <c r="L376" s="126"/>
      <c r="M376" s="126"/>
      <c r="N376" s="126"/>
      <c r="O376" s="126"/>
      <c r="P376" s="126"/>
      <c r="Q376" s="126"/>
      <c r="R376" s="126"/>
      <c r="S376" s="126"/>
      <c r="T376" s="126"/>
      <c r="U376" s="126"/>
      <c r="V376" s="126"/>
      <c r="W376" s="126"/>
      <c r="X376" s="126"/>
      <c r="Y376" s="126"/>
      <c r="Z376" s="126"/>
      <c r="AA376" s="126"/>
      <c r="AB376" s="126"/>
      <c r="AC376" s="126"/>
      <c r="AD376" s="126"/>
      <c r="AE376" s="126"/>
      <c r="AF376" s="126"/>
      <c r="AG376" s="126"/>
      <c r="AH376" s="126"/>
      <c r="AI376" s="126"/>
      <c r="AJ376" s="126"/>
      <c r="AK376" s="126"/>
      <c r="AL376" s="126"/>
      <c r="AM376" s="126"/>
      <c r="AN376" s="126"/>
      <c r="AO376" s="126"/>
    </row>
    <row r="377">
      <c r="A377" s="158"/>
      <c r="B377" s="158"/>
      <c r="C377" s="158"/>
      <c r="D377" s="158"/>
      <c r="E377" s="158"/>
      <c r="F377" s="158"/>
      <c r="G377" s="158"/>
      <c r="H377" s="158"/>
      <c r="I377" s="145"/>
      <c r="J377" s="158"/>
      <c r="K377" s="158"/>
      <c r="L377" s="126"/>
      <c r="M377" s="126"/>
      <c r="N377" s="126"/>
      <c r="O377" s="126"/>
      <c r="P377" s="126"/>
      <c r="Q377" s="126"/>
      <c r="R377" s="126"/>
      <c r="S377" s="126"/>
      <c r="T377" s="126"/>
      <c r="U377" s="126"/>
      <c r="V377" s="126"/>
      <c r="W377" s="126"/>
      <c r="X377" s="126"/>
      <c r="Y377" s="126"/>
      <c r="Z377" s="126"/>
      <c r="AA377" s="126"/>
      <c r="AB377" s="126"/>
      <c r="AC377" s="126"/>
      <c r="AD377" s="126"/>
      <c r="AE377" s="126"/>
      <c r="AF377" s="126"/>
      <c r="AG377" s="126"/>
      <c r="AH377" s="126"/>
      <c r="AI377" s="126"/>
      <c r="AJ377" s="126"/>
      <c r="AK377" s="126"/>
      <c r="AL377" s="126"/>
      <c r="AM377" s="126"/>
      <c r="AN377" s="126"/>
      <c r="AO377" s="126"/>
    </row>
    <row r="378">
      <c r="A378" s="158"/>
      <c r="B378" s="158"/>
      <c r="C378" s="158"/>
      <c r="D378" s="158"/>
      <c r="E378" s="158"/>
      <c r="F378" s="158"/>
      <c r="G378" s="158"/>
      <c r="H378" s="158"/>
      <c r="I378" s="145"/>
      <c r="J378" s="158"/>
      <c r="K378" s="158"/>
      <c r="L378" s="126"/>
      <c r="M378" s="126"/>
      <c r="N378" s="126"/>
      <c r="O378" s="126"/>
      <c r="P378" s="126"/>
      <c r="Q378" s="126"/>
      <c r="R378" s="126"/>
      <c r="S378" s="126"/>
      <c r="T378" s="126"/>
      <c r="U378" s="126"/>
      <c r="V378" s="126"/>
      <c r="W378" s="126"/>
      <c r="X378" s="126"/>
      <c r="Y378" s="126"/>
      <c r="Z378" s="126"/>
      <c r="AA378" s="126"/>
      <c r="AB378" s="126"/>
      <c r="AC378" s="126"/>
      <c r="AD378" s="126"/>
      <c r="AE378" s="126"/>
      <c r="AF378" s="126"/>
      <c r="AG378" s="126"/>
      <c r="AH378" s="126"/>
      <c r="AI378" s="126"/>
      <c r="AJ378" s="126"/>
      <c r="AK378" s="126"/>
      <c r="AL378" s="126"/>
      <c r="AM378" s="126"/>
      <c r="AN378" s="126"/>
      <c r="AO378" s="126"/>
    </row>
    <row r="379">
      <c r="A379" s="158"/>
      <c r="B379" s="158"/>
      <c r="C379" s="158"/>
      <c r="D379" s="158"/>
      <c r="E379" s="158"/>
      <c r="F379" s="158"/>
      <c r="G379" s="158"/>
      <c r="H379" s="158"/>
      <c r="I379" s="145"/>
      <c r="J379" s="158"/>
      <c r="K379" s="158"/>
      <c r="L379" s="126"/>
      <c r="M379" s="126"/>
      <c r="N379" s="126"/>
      <c r="O379" s="126"/>
      <c r="P379" s="126"/>
      <c r="Q379" s="126"/>
      <c r="R379" s="126"/>
      <c r="S379" s="126"/>
      <c r="T379" s="126"/>
      <c r="U379" s="126"/>
      <c r="V379" s="126"/>
      <c r="W379" s="126"/>
      <c r="X379" s="126"/>
      <c r="Y379" s="126"/>
      <c r="Z379" s="126"/>
      <c r="AA379" s="126"/>
      <c r="AB379" s="126"/>
      <c r="AC379" s="126"/>
      <c r="AD379" s="126"/>
      <c r="AE379" s="126"/>
      <c r="AF379" s="126"/>
      <c r="AG379" s="126"/>
      <c r="AH379" s="126"/>
      <c r="AI379" s="126"/>
      <c r="AJ379" s="126"/>
      <c r="AK379" s="126"/>
      <c r="AL379" s="126"/>
      <c r="AM379" s="126"/>
      <c r="AN379" s="126"/>
      <c r="AO379" s="126"/>
    </row>
    <row r="380">
      <c r="A380" s="158"/>
      <c r="B380" s="158"/>
      <c r="C380" s="158"/>
      <c r="D380" s="158"/>
      <c r="E380" s="158"/>
      <c r="F380" s="158"/>
      <c r="G380" s="158"/>
      <c r="H380" s="158"/>
      <c r="I380" s="145"/>
      <c r="J380" s="158"/>
      <c r="K380" s="158"/>
      <c r="L380" s="126"/>
      <c r="M380" s="126"/>
      <c r="N380" s="126"/>
      <c r="O380" s="126"/>
      <c r="P380" s="126"/>
      <c r="Q380" s="126"/>
      <c r="R380" s="126"/>
      <c r="S380" s="126"/>
      <c r="T380" s="126"/>
      <c r="U380" s="126"/>
      <c r="V380" s="126"/>
      <c r="W380" s="126"/>
      <c r="X380" s="126"/>
      <c r="Y380" s="126"/>
      <c r="Z380" s="126"/>
      <c r="AA380" s="126"/>
      <c r="AB380" s="126"/>
      <c r="AC380" s="126"/>
      <c r="AD380" s="126"/>
      <c r="AE380" s="126"/>
      <c r="AF380" s="126"/>
      <c r="AG380" s="126"/>
      <c r="AH380" s="126"/>
      <c r="AI380" s="126"/>
      <c r="AJ380" s="126"/>
      <c r="AK380" s="126"/>
      <c r="AL380" s="126"/>
      <c r="AM380" s="126"/>
      <c r="AN380" s="126"/>
      <c r="AO380" s="126"/>
    </row>
    <row r="381">
      <c r="A381" s="158"/>
      <c r="B381" s="158"/>
      <c r="C381" s="158"/>
      <c r="D381" s="158"/>
      <c r="E381" s="158"/>
      <c r="F381" s="158"/>
      <c r="G381" s="158"/>
      <c r="H381" s="158"/>
      <c r="I381" s="145"/>
      <c r="J381" s="158"/>
      <c r="K381" s="158"/>
      <c r="L381" s="126"/>
      <c r="M381" s="126"/>
      <c r="N381" s="126"/>
      <c r="O381" s="126"/>
      <c r="P381" s="126"/>
      <c r="Q381" s="126"/>
      <c r="R381" s="126"/>
      <c r="S381" s="126"/>
      <c r="T381" s="126"/>
      <c r="U381" s="126"/>
      <c r="V381" s="126"/>
      <c r="W381" s="126"/>
      <c r="X381" s="126"/>
      <c r="Y381" s="126"/>
      <c r="Z381" s="126"/>
      <c r="AA381" s="126"/>
      <c r="AB381" s="126"/>
      <c r="AC381" s="126"/>
      <c r="AD381" s="126"/>
      <c r="AE381" s="126"/>
      <c r="AF381" s="126"/>
      <c r="AG381" s="126"/>
      <c r="AH381" s="126"/>
      <c r="AI381" s="126"/>
      <c r="AJ381" s="126"/>
      <c r="AK381" s="126"/>
      <c r="AL381" s="126"/>
      <c r="AM381" s="126"/>
      <c r="AN381" s="126"/>
      <c r="AO381" s="126"/>
    </row>
    <row r="382">
      <c r="A382" s="158"/>
      <c r="B382" s="158"/>
      <c r="C382" s="158"/>
      <c r="D382" s="158"/>
      <c r="E382" s="158"/>
      <c r="F382" s="158"/>
      <c r="G382" s="158"/>
      <c r="H382" s="158"/>
      <c r="I382" s="145"/>
      <c r="J382" s="158"/>
      <c r="K382" s="158"/>
      <c r="L382" s="126"/>
      <c r="M382" s="126"/>
      <c r="N382" s="126"/>
      <c r="O382" s="126"/>
      <c r="P382" s="126"/>
      <c r="Q382" s="126"/>
      <c r="R382" s="126"/>
      <c r="S382" s="126"/>
      <c r="T382" s="126"/>
      <c r="U382" s="126"/>
      <c r="V382" s="126"/>
      <c r="W382" s="126"/>
      <c r="X382" s="126"/>
      <c r="Y382" s="126"/>
      <c r="Z382" s="126"/>
      <c r="AA382" s="126"/>
      <c r="AB382" s="126"/>
      <c r="AC382" s="126"/>
      <c r="AD382" s="126"/>
      <c r="AE382" s="126"/>
      <c r="AF382" s="126"/>
      <c r="AG382" s="126"/>
      <c r="AH382" s="126"/>
      <c r="AI382" s="126"/>
      <c r="AJ382" s="126"/>
      <c r="AK382" s="126"/>
      <c r="AL382" s="126"/>
      <c r="AM382" s="126"/>
      <c r="AN382" s="126"/>
      <c r="AO382" s="126"/>
    </row>
    <row r="383">
      <c r="A383" s="158"/>
      <c r="B383" s="158"/>
      <c r="C383" s="158"/>
      <c r="D383" s="158"/>
      <c r="E383" s="158"/>
      <c r="F383" s="158"/>
      <c r="G383" s="158"/>
      <c r="H383" s="158"/>
      <c r="I383" s="145"/>
      <c r="J383" s="158"/>
      <c r="K383" s="158"/>
      <c r="L383" s="126"/>
      <c r="M383" s="126"/>
      <c r="N383" s="126"/>
      <c r="O383" s="126"/>
      <c r="P383" s="126"/>
      <c r="Q383" s="126"/>
      <c r="R383" s="126"/>
      <c r="S383" s="126"/>
      <c r="T383" s="126"/>
      <c r="U383" s="126"/>
      <c r="V383" s="126"/>
      <c r="W383" s="126"/>
      <c r="X383" s="126"/>
      <c r="Y383" s="126"/>
      <c r="Z383" s="126"/>
      <c r="AA383" s="126"/>
      <c r="AB383" s="126"/>
      <c r="AC383" s="126"/>
      <c r="AD383" s="126"/>
      <c r="AE383" s="126"/>
      <c r="AF383" s="126"/>
      <c r="AG383" s="126"/>
      <c r="AH383" s="126"/>
      <c r="AI383" s="126"/>
      <c r="AJ383" s="126"/>
      <c r="AK383" s="126"/>
      <c r="AL383" s="126"/>
      <c r="AM383" s="126"/>
      <c r="AN383" s="126"/>
      <c r="AO383" s="126"/>
    </row>
    <row r="384">
      <c r="A384" s="158"/>
      <c r="B384" s="158"/>
      <c r="C384" s="158"/>
      <c r="D384" s="158"/>
      <c r="E384" s="158"/>
      <c r="F384" s="158"/>
      <c r="G384" s="158"/>
      <c r="H384" s="158"/>
      <c r="I384" s="145"/>
      <c r="J384" s="158"/>
      <c r="K384" s="158"/>
      <c r="L384" s="126"/>
      <c r="M384" s="126"/>
      <c r="N384" s="126"/>
      <c r="O384" s="126"/>
      <c r="P384" s="126"/>
      <c r="Q384" s="126"/>
      <c r="R384" s="126"/>
      <c r="S384" s="126"/>
      <c r="T384" s="126"/>
      <c r="U384" s="126"/>
      <c r="V384" s="126"/>
      <c r="W384" s="126"/>
      <c r="X384" s="126"/>
      <c r="Y384" s="126"/>
      <c r="Z384" s="126"/>
      <c r="AA384" s="126"/>
      <c r="AB384" s="126"/>
      <c r="AC384" s="126"/>
      <c r="AD384" s="126"/>
      <c r="AE384" s="126"/>
      <c r="AF384" s="126"/>
      <c r="AG384" s="126"/>
      <c r="AH384" s="126"/>
      <c r="AI384" s="126"/>
      <c r="AJ384" s="126"/>
      <c r="AK384" s="126"/>
      <c r="AL384" s="126"/>
      <c r="AM384" s="126"/>
      <c r="AN384" s="126"/>
      <c r="AO384" s="126"/>
    </row>
    <row r="385">
      <c r="A385" s="158"/>
      <c r="B385" s="158"/>
      <c r="C385" s="158"/>
      <c r="D385" s="158"/>
      <c r="E385" s="158"/>
      <c r="F385" s="158"/>
      <c r="G385" s="158"/>
      <c r="H385" s="158"/>
      <c r="I385" s="145"/>
      <c r="J385" s="158"/>
      <c r="K385" s="158"/>
      <c r="L385" s="126"/>
      <c r="M385" s="126"/>
      <c r="N385" s="126"/>
      <c r="O385" s="126"/>
      <c r="P385" s="126"/>
      <c r="Q385" s="126"/>
      <c r="R385" s="126"/>
      <c r="S385" s="126"/>
      <c r="T385" s="126"/>
      <c r="U385" s="126"/>
      <c r="V385" s="126"/>
      <c r="W385" s="126"/>
      <c r="X385" s="126"/>
      <c r="Y385" s="126"/>
      <c r="Z385" s="126"/>
      <c r="AA385" s="126"/>
      <c r="AB385" s="126"/>
      <c r="AC385" s="126"/>
      <c r="AD385" s="126"/>
      <c r="AE385" s="126"/>
      <c r="AF385" s="126"/>
      <c r="AG385" s="126"/>
      <c r="AH385" s="126"/>
      <c r="AI385" s="126"/>
      <c r="AJ385" s="126"/>
      <c r="AK385" s="126"/>
      <c r="AL385" s="126"/>
      <c r="AM385" s="126"/>
      <c r="AN385" s="126"/>
      <c r="AO385" s="126"/>
    </row>
    <row r="386">
      <c r="A386" s="158"/>
      <c r="B386" s="158"/>
      <c r="C386" s="158"/>
      <c r="D386" s="158"/>
      <c r="E386" s="158"/>
      <c r="F386" s="158"/>
      <c r="G386" s="158"/>
      <c r="H386" s="158"/>
      <c r="I386" s="145"/>
      <c r="J386" s="158"/>
      <c r="K386" s="158"/>
      <c r="L386" s="126"/>
      <c r="M386" s="126"/>
      <c r="N386" s="126"/>
      <c r="O386" s="126"/>
      <c r="P386" s="126"/>
      <c r="Q386" s="126"/>
      <c r="R386" s="126"/>
      <c r="S386" s="126"/>
      <c r="T386" s="126"/>
      <c r="U386" s="126"/>
      <c r="V386" s="126"/>
      <c r="W386" s="126"/>
      <c r="X386" s="126"/>
      <c r="Y386" s="126"/>
      <c r="Z386" s="126"/>
      <c r="AA386" s="126"/>
      <c r="AB386" s="126"/>
      <c r="AC386" s="126"/>
      <c r="AD386" s="126"/>
      <c r="AE386" s="126"/>
      <c r="AF386" s="126"/>
      <c r="AG386" s="126"/>
      <c r="AH386" s="126"/>
      <c r="AI386" s="126"/>
      <c r="AJ386" s="126"/>
      <c r="AK386" s="126"/>
      <c r="AL386" s="126"/>
      <c r="AM386" s="126"/>
      <c r="AN386" s="126"/>
      <c r="AO386" s="126"/>
    </row>
    <row r="387">
      <c r="A387" s="158"/>
      <c r="B387" s="158"/>
      <c r="C387" s="158"/>
      <c r="D387" s="158"/>
      <c r="E387" s="158"/>
      <c r="F387" s="158"/>
      <c r="G387" s="158"/>
      <c r="H387" s="158"/>
      <c r="I387" s="145"/>
      <c r="J387" s="158"/>
      <c r="K387" s="158"/>
      <c r="L387" s="126"/>
      <c r="M387" s="126"/>
      <c r="N387" s="126"/>
      <c r="O387" s="126"/>
      <c r="P387" s="126"/>
      <c r="Q387" s="126"/>
      <c r="R387" s="126"/>
      <c r="S387" s="126"/>
      <c r="T387" s="126"/>
      <c r="U387" s="126"/>
      <c r="V387" s="126"/>
      <c r="W387" s="126"/>
      <c r="X387" s="126"/>
      <c r="Y387" s="126"/>
      <c r="Z387" s="126"/>
      <c r="AA387" s="126"/>
      <c r="AB387" s="126"/>
      <c r="AC387" s="126"/>
      <c r="AD387" s="126"/>
      <c r="AE387" s="126"/>
      <c r="AF387" s="126"/>
      <c r="AG387" s="126"/>
      <c r="AH387" s="126"/>
      <c r="AI387" s="126"/>
      <c r="AJ387" s="126"/>
      <c r="AK387" s="126"/>
      <c r="AL387" s="126"/>
      <c r="AM387" s="126"/>
      <c r="AN387" s="126"/>
      <c r="AO387" s="126"/>
    </row>
    <row r="388">
      <c r="A388" s="158"/>
      <c r="B388" s="158"/>
      <c r="C388" s="158"/>
      <c r="D388" s="158"/>
      <c r="E388" s="158"/>
      <c r="F388" s="158"/>
      <c r="G388" s="158"/>
      <c r="H388" s="158"/>
      <c r="I388" s="145"/>
      <c r="J388" s="158"/>
      <c r="K388" s="158"/>
      <c r="L388" s="126"/>
      <c r="M388" s="126"/>
      <c r="N388" s="126"/>
      <c r="O388" s="126"/>
      <c r="P388" s="126"/>
      <c r="Q388" s="126"/>
      <c r="R388" s="126"/>
      <c r="S388" s="126"/>
      <c r="T388" s="126"/>
      <c r="U388" s="126"/>
      <c r="V388" s="126"/>
      <c r="W388" s="126"/>
      <c r="X388" s="126"/>
      <c r="Y388" s="126"/>
      <c r="Z388" s="126"/>
      <c r="AA388" s="126"/>
      <c r="AB388" s="126"/>
      <c r="AC388" s="126"/>
      <c r="AD388" s="126"/>
      <c r="AE388" s="126"/>
      <c r="AF388" s="126"/>
      <c r="AG388" s="126"/>
      <c r="AH388" s="126"/>
      <c r="AI388" s="126"/>
      <c r="AJ388" s="126"/>
      <c r="AK388" s="126"/>
      <c r="AL388" s="126"/>
      <c r="AM388" s="126"/>
      <c r="AN388" s="126"/>
      <c r="AO388" s="126"/>
    </row>
    <row r="389">
      <c r="A389" s="158"/>
      <c r="B389" s="158"/>
      <c r="C389" s="158"/>
      <c r="D389" s="158"/>
      <c r="E389" s="158"/>
      <c r="F389" s="158"/>
      <c r="G389" s="158"/>
      <c r="H389" s="158"/>
      <c r="I389" s="145"/>
      <c r="J389" s="158"/>
      <c r="K389" s="158"/>
      <c r="L389" s="126"/>
      <c r="M389" s="126"/>
      <c r="N389" s="126"/>
      <c r="O389" s="126"/>
      <c r="P389" s="126"/>
      <c r="Q389" s="126"/>
      <c r="R389" s="126"/>
      <c r="S389" s="126"/>
      <c r="T389" s="126"/>
      <c r="U389" s="126"/>
      <c r="V389" s="126"/>
      <c r="W389" s="126"/>
      <c r="X389" s="126"/>
      <c r="Y389" s="126"/>
      <c r="Z389" s="126"/>
      <c r="AA389" s="126"/>
      <c r="AB389" s="126"/>
      <c r="AC389" s="126"/>
      <c r="AD389" s="126"/>
      <c r="AE389" s="126"/>
      <c r="AF389" s="126"/>
      <c r="AG389" s="126"/>
      <c r="AH389" s="126"/>
      <c r="AI389" s="126"/>
      <c r="AJ389" s="126"/>
      <c r="AK389" s="126"/>
      <c r="AL389" s="126"/>
      <c r="AM389" s="126"/>
      <c r="AN389" s="126"/>
      <c r="AO389" s="126"/>
    </row>
    <row r="390">
      <c r="A390" s="158"/>
      <c r="B390" s="158"/>
      <c r="C390" s="158"/>
      <c r="D390" s="158"/>
      <c r="E390" s="158"/>
      <c r="F390" s="158"/>
      <c r="G390" s="158"/>
      <c r="H390" s="158"/>
      <c r="I390" s="145"/>
      <c r="J390" s="158"/>
      <c r="K390" s="158"/>
      <c r="L390" s="126"/>
      <c r="M390" s="126"/>
      <c r="N390" s="126"/>
      <c r="O390" s="126"/>
      <c r="P390" s="126"/>
      <c r="Q390" s="126"/>
      <c r="R390" s="126"/>
      <c r="S390" s="126"/>
      <c r="T390" s="126"/>
      <c r="U390" s="126"/>
      <c r="V390" s="126"/>
      <c r="W390" s="126"/>
      <c r="X390" s="126"/>
      <c r="Y390" s="126"/>
      <c r="Z390" s="126"/>
      <c r="AA390" s="126"/>
      <c r="AB390" s="126"/>
      <c r="AC390" s="126"/>
      <c r="AD390" s="126"/>
      <c r="AE390" s="126"/>
      <c r="AF390" s="126"/>
      <c r="AG390" s="126"/>
      <c r="AH390" s="126"/>
      <c r="AI390" s="126"/>
      <c r="AJ390" s="126"/>
      <c r="AK390" s="126"/>
      <c r="AL390" s="126"/>
      <c r="AM390" s="126"/>
      <c r="AN390" s="126"/>
      <c r="AO390" s="126"/>
    </row>
    <row r="391">
      <c r="A391" s="158"/>
      <c r="B391" s="158"/>
      <c r="C391" s="158"/>
      <c r="D391" s="158"/>
      <c r="E391" s="158"/>
      <c r="F391" s="158"/>
      <c r="G391" s="158"/>
      <c r="H391" s="158"/>
      <c r="I391" s="145"/>
      <c r="J391" s="158"/>
      <c r="K391" s="158"/>
      <c r="L391" s="126"/>
      <c r="M391" s="126"/>
      <c r="N391" s="126"/>
      <c r="O391" s="126"/>
      <c r="P391" s="126"/>
      <c r="Q391" s="126"/>
      <c r="R391" s="126"/>
      <c r="S391" s="126"/>
      <c r="T391" s="126"/>
      <c r="U391" s="126"/>
      <c r="V391" s="126"/>
      <c r="W391" s="126"/>
      <c r="X391" s="126"/>
      <c r="Y391" s="126"/>
      <c r="Z391" s="126"/>
      <c r="AA391" s="126"/>
      <c r="AB391" s="126"/>
      <c r="AC391" s="126"/>
      <c r="AD391" s="126"/>
      <c r="AE391" s="126"/>
      <c r="AF391" s="126"/>
      <c r="AG391" s="126"/>
      <c r="AH391" s="126"/>
      <c r="AI391" s="126"/>
      <c r="AJ391" s="126"/>
      <c r="AK391" s="126"/>
      <c r="AL391" s="126"/>
      <c r="AM391" s="126"/>
      <c r="AN391" s="126"/>
      <c r="AO391" s="126"/>
    </row>
    <row r="392">
      <c r="A392" s="158"/>
      <c r="B392" s="158"/>
      <c r="C392" s="158"/>
      <c r="D392" s="158"/>
      <c r="E392" s="158"/>
      <c r="F392" s="158"/>
      <c r="G392" s="158"/>
      <c r="H392" s="158"/>
      <c r="I392" s="145"/>
      <c r="J392" s="158"/>
      <c r="K392" s="158"/>
      <c r="L392" s="126"/>
      <c r="M392" s="126"/>
      <c r="N392" s="126"/>
      <c r="O392" s="126"/>
      <c r="P392" s="126"/>
      <c r="Q392" s="126"/>
      <c r="R392" s="126"/>
      <c r="S392" s="126"/>
      <c r="T392" s="126"/>
      <c r="U392" s="126"/>
      <c r="V392" s="126"/>
      <c r="W392" s="126"/>
      <c r="X392" s="126"/>
      <c r="Y392" s="126"/>
      <c r="Z392" s="126"/>
      <c r="AA392" s="126"/>
      <c r="AB392" s="126"/>
      <c r="AC392" s="126"/>
      <c r="AD392" s="126"/>
      <c r="AE392" s="126"/>
      <c r="AF392" s="126"/>
      <c r="AG392" s="126"/>
      <c r="AH392" s="126"/>
      <c r="AI392" s="126"/>
      <c r="AJ392" s="126"/>
      <c r="AK392" s="126"/>
      <c r="AL392" s="126"/>
      <c r="AM392" s="126"/>
      <c r="AN392" s="126"/>
      <c r="AO392" s="126"/>
    </row>
    <row r="393">
      <c r="A393" s="158"/>
      <c r="B393" s="158"/>
      <c r="C393" s="158"/>
      <c r="D393" s="158"/>
      <c r="E393" s="158"/>
      <c r="F393" s="158"/>
      <c r="G393" s="158"/>
      <c r="H393" s="158"/>
      <c r="I393" s="145"/>
      <c r="J393" s="158"/>
      <c r="K393" s="158"/>
      <c r="L393" s="126"/>
      <c r="M393" s="126"/>
      <c r="N393" s="126"/>
      <c r="O393" s="126"/>
      <c r="P393" s="126"/>
      <c r="Q393" s="126"/>
      <c r="R393" s="126"/>
      <c r="S393" s="126"/>
      <c r="T393" s="126"/>
      <c r="U393" s="126"/>
      <c r="V393" s="126"/>
      <c r="W393" s="126"/>
      <c r="X393" s="126"/>
      <c r="Y393" s="126"/>
      <c r="Z393" s="126"/>
      <c r="AA393" s="126"/>
      <c r="AB393" s="126"/>
      <c r="AC393" s="126"/>
      <c r="AD393" s="126"/>
      <c r="AE393" s="126"/>
      <c r="AF393" s="126"/>
      <c r="AG393" s="126"/>
      <c r="AH393" s="126"/>
      <c r="AI393" s="126"/>
      <c r="AJ393" s="126"/>
      <c r="AK393" s="126"/>
      <c r="AL393" s="126"/>
      <c r="AM393" s="126"/>
      <c r="AN393" s="126"/>
      <c r="AO393" s="126"/>
    </row>
    <row r="394">
      <c r="A394" s="158"/>
      <c r="B394" s="158"/>
      <c r="C394" s="158"/>
      <c r="D394" s="158"/>
      <c r="E394" s="158"/>
      <c r="F394" s="158"/>
      <c r="G394" s="158"/>
      <c r="H394" s="158"/>
      <c r="I394" s="145"/>
      <c r="J394" s="158"/>
      <c r="K394" s="158"/>
      <c r="L394" s="126"/>
      <c r="M394" s="126"/>
      <c r="N394" s="126"/>
      <c r="O394" s="126"/>
      <c r="P394" s="126"/>
      <c r="Q394" s="126"/>
      <c r="R394" s="126"/>
      <c r="S394" s="126"/>
      <c r="T394" s="126"/>
      <c r="U394" s="126"/>
      <c r="V394" s="126"/>
      <c r="W394" s="126"/>
      <c r="X394" s="126"/>
      <c r="Y394" s="126"/>
      <c r="Z394" s="126"/>
      <c r="AA394" s="126"/>
      <c r="AB394" s="126"/>
      <c r="AC394" s="126"/>
      <c r="AD394" s="126"/>
      <c r="AE394" s="126"/>
      <c r="AF394" s="126"/>
      <c r="AG394" s="126"/>
      <c r="AH394" s="126"/>
      <c r="AI394" s="126"/>
      <c r="AJ394" s="126"/>
      <c r="AK394" s="126"/>
      <c r="AL394" s="126"/>
      <c r="AM394" s="126"/>
      <c r="AN394" s="126"/>
      <c r="AO394" s="126"/>
    </row>
    <row r="395">
      <c r="A395" s="158"/>
      <c r="B395" s="158"/>
      <c r="C395" s="158"/>
      <c r="D395" s="158"/>
      <c r="E395" s="158"/>
      <c r="F395" s="158"/>
      <c r="G395" s="158"/>
      <c r="H395" s="158"/>
      <c r="I395" s="145"/>
      <c r="J395" s="158"/>
      <c r="K395" s="158"/>
      <c r="L395" s="126"/>
      <c r="M395" s="126"/>
      <c r="N395" s="126"/>
      <c r="O395" s="126"/>
      <c r="P395" s="126"/>
      <c r="Q395" s="126"/>
      <c r="R395" s="126"/>
      <c r="S395" s="126"/>
      <c r="T395" s="126"/>
      <c r="U395" s="126"/>
      <c r="V395" s="126"/>
      <c r="W395" s="126"/>
      <c r="X395" s="126"/>
      <c r="Y395" s="126"/>
      <c r="Z395" s="126"/>
      <c r="AA395" s="126"/>
      <c r="AB395" s="126"/>
      <c r="AC395" s="126"/>
      <c r="AD395" s="126"/>
      <c r="AE395" s="126"/>
      <c r="AF395" s="126"/>
      <c r="AG395" s="126"/>
      <c r="AH395" s="126"/>
      <c r="AI395" s="126"/>
      <c r="AJ395" s="126"/>
      <c r="AK395" s="126"/>
      <c r="AL395" s="126"/>
      <c r="AM395" s="126"/>
      <c r="AN395" s="126"/>
      <c r="AO395" s="126"/>
    </row>
    <row r="396">
      <c r="A396" s="158"/>
      <c r="B396" s="158"/>
      <c r="C396" s="158"/>
      <c r="D396" s="158"/>
      <c r="E396" s="158"/>
      <c r="F396" s="158"/>
      <c r="G396" s="158"/>
      <c r="H396" s="158"/>
      <c r="I396" s="145"/>
      <c r="J396" s="158"/>
      <c r="K396" s="158"/>
      <c r="L396" s="126"/>
      <c r="M396" s="126"/>
      <c r="N396" s="126"/>
      <c r="O396" s="126"/>
      <c r="P396" s="126"/>
      <c r="Q396" s="126"/>
      <c r="R396" s="126"/>
      <c r="S396" s="126"/>
      <c r="T396" s="126"/>
      <c r="U396" s="126"/>
      <c r="V396" s="126"/>
      <c r="W396" s="126"/>
      <c r="X396" s="126"/>
      <c r="Y396" s="126"/>
      <c r="Z396" s="126"/>
      <c r="AA396" s="126"/>
      <c r="AB396" s="126"/>
      <c r="AC396" s="126"/>
      <c r="AD396" s="126"/>
      <c r="AE396" s="126"/>
      <c r="AF396" s="126"/>
      <c r="AG396" s="126"/>
      <c r="AH396" s="126"/>
      <c r="AI396" s="126"/>
      <c r="AJ396" s="126"/>
      <c r="AK396" s="126"/>
      <c r="AL396" s="126"/>
      <c r="AM396" s="126"/>
      <c r="AN396" s="126"/>
      <c r="AO396" s="126"/>
    </row>
    <row r="397">
      <c r="A397" s="158"/>
      <c r="B397" s="158"/>
      <c r="C397" s="158"/>
      <c r="D397" s="158"/>
      <c r="E397" s="158"/>
      <c r="F397" s="158"/>
      <c r="G397" s="158"/>
      <c r="H397" s="158"/>
      <c r="I397" s="145"/>
      <c r="J397" s="158"/>
      <c r="K397" s="158"/>
      <c r="L397" s="126"/>
      <c r="M397" s="126"/>
      <c r="N397" s="126"/>
      <c r="O397" s="126"/>
      <c r="P397" s="126"/>
      <c r="Q397" s="126"/>
      <c r="R397" s="126"/>
      <c r="S397" s="126"/>
      <c r="T397" s="126"/>
      <c r="U397" s="126"/>
      <c r="V397" s="126"/>
      <c r="W397" s="126"/>
      <c r="X397" s="126"/>
      <c r="Y397" s="126"/>
      <c r="Z397" s="126"/>
      <c r="AA397" s="126"/>
      <c r="AB397" s="126"/>
      <c r="AC397" s="126"/>
      <c r="AD397" s="126"/>
      <c r="AE397" s="126"/>
      <c r="AF397" s="126"/>
      <c r="AG397" s="126"/>
      <c r="AH397" s="126"/>
      <c r="AI397" s="126"/>
      <c r="AJ397" s="126"/>
      <c r="AK397" s="126"/>
      <c r="AL397" s="126"/>
      <c r="AM397" s="126"/>
      <c r="AN397" s="126"/>
      <c r="AO397" s="126"/>
    </row>
    <row r="398">
      <c r="A398" s="158"/>
      <c r="B398" s="158"/>
      <c r="C398" s="158"/>
      <c r="D398" s="158"/>
      <c r="E398" s="158"/>
      <c r="F398" s="158"/>
      <c r="G398" s="158"/>
      <c r="H398" s="158"/>
      <c r="I398" s="145"/>
      <c r="J398" s="158"/>
      <c r="K398" s="158"/>
      <c r="L398" s="126"/>
      <c r="M398" s="126"/>
      <c r="N398" s="126"/>
      <c r="O398" s="126"/>
      <c r="P398" s="126"/>
      <c r="Q398" s="126"/>
      <c r="R398" s="126"/>
      <c r="S398" s="126"/>
      <c r="T398" s="126"/>
      <c r="U398" s="126"/>
      <c r="V398" s="126"/>
      <c r="W398" s="126"/>
      <c r="X398" s="126"/>
      <c r="Y398" s="126"/>
      <c r="Z398" s="126"/>
      <c r="AA398" s="126"/>
      <c r="AB398" s="126"/>
      <c r="AC398" s="126"/>
      <c r="AD398" s="126"/>
      <c r="AE398" s="126"/>
      <c r="AF398" s="126"/>
      <c r="AG398" s="126"/>
      <c r="AH398" s="126"/>
      <c r="AI398" s="126"/>
      <c r="AJ398" s="126"/>
      <c r="AK398" s="126"/>
      <c r="AL398" s="126"/>
      <c r="AM398" s="126"/>
      <c r="AN398" s="126"/>
      <c r="AO398" s="126"/>
    </row>
    <row r="399">
      <c r="A399" s="158"/>
      <c r="B399" s="158"/>
      <c r="C399" s="158"/>
      <c r="D399" s="158"/>
      <c r="E399" s="158"/>
      <c r="F399" s="158"/>
      <c r="G399" s="158"/>
      <c r="H399" s="158"/>
      <c r="I399" s="145"/>
      <c r="J399" s="158"/>
      <c r="K399" s="158"/>
      <c r="L399" s="126"/>
      <c r="M399" s="126"/>
      <c r="N399" s="126"/>
      <c r="O399" s="126"/>
      <c r="P399" s="126"/>
      <c r="Q399" s="126"/>
      <c r="R399" s="126"/>
      <c r="S399" s="126"/>
      <c r="T399" s="126"/>
      <c r="U399" s="126"/>
      <c r="V399" s="126"/>
      <c r="W399" s="126"/>
      <c r="X399" s="126"/>
      <c r="Y399" s="126"/>
      <c r="Z399" s="126"/>
      <c r="AA399" s="126"/>
      <c r="AB399" s="126"/>
      <c r="AC399" s="126"/>
      <c r="AD399" s="126"/>
      <c r="AE399" s="126"/>
      <c r="AF399" s="126"/>
      <c r="AG399" s="126"/>
      <c r="AH399" s="126"/>
      <c r="AI399" s="126"/>
      <c r="AJ399" s="126"/>
      <c r="AK399" s="126"/>
      <c r="AL399" s="126"/>
      <c r="AM399" s="126"/>
      <c r="AN399" s="126"/>
      <c r="AO399" s="126"/>
    </row>
    <row r="400">
      <c r="A400" s="158"/>
      <c r="B400" s="158"/>
      <c r="C400" s="158"/>
      <c r="D400" s="158"/>
      <c r="E400" s="158"/>
      <c r="F400" s="158"/>
      <c r="G400" s="158"/>
      <c r="H400" s="158"/>
      <c r="I400" s="145"/>
      <c r="J400" s="158"/>
      <c r="K400" s="158"/>
      <c r="L400" s="126"/>
      <c r="M400" s="126"/>
      <c r="N400" s="126"/>
      <c r="O400" s="126"/>
      <c r="P400" s="126"/>
      <c r="Q400" s="126"/>
      <c r="R400" s="126"/>
      <c r="S400" s="126"/>
      <c r="T400" s="126"/>
      <c r="U400" s="126"/>
      <c r="V400" s="126"/>
      <c r="W400" s="126"/>
      <c r="X400" s="126"/>
      <c r="Y400" s="126"/>
      <c r="Z400" s="126"/>
      <c r="AA400" s="126"/>
      <c r="AB400" s="126"/>
      <c r="AC400" s="126"/>
      <c r="AD400" s="126"/>
      <c r="AE400" s="126"/>
      <c r="AF400" s="126"/>
      <c r="AG400" s="126"/>
      <c r="AH400" s="126"/>
      <c r="AI400" s="126"/>
      <c r="AJ400" s="126"/>
      <c r="AK400" s="126"/>
      <c r="AL400" s="126"/>
      <c r="AM400" s="126"/>
      <c r="AN400" s="126"/>
      <c r="AO400" s="126"/>
    </row>
    <row r="401">
      <c r="A401" s="158"/>
      <c r="B401" s="158"/>
      <c r="C401" s="158"/>
      <c r="D401" s="158"/>
      <c r="E401" s="158"/>
      <c r="F401" s="158"/>
      <c r="G401" s="158"/>
      <c r="H401" s="158"/>
      <c r="I401" s="145"/>
      <c r="J401" s="158"/>
      <c r="K401" s="158"/>
      <c r="L401" s="126"/>
      <c r="M401" s="126"/>
      <c r="N401" s="126"/>
      <c r="O401" s="126"/>
      <c r="P401" s="126"/>
      <c r="Q401" s="126"/>
      <c r="R401" s="126"/>
      <c r="S401" s="126"/>
      <c r="T401" s="126"/>
      <c r="U401" s="126"/>
      <c r="V401" s="126"/>
      <c r="W401" s="126"/>
      <c r="X401" s="126"/>
      <c r="Y401" s="126"/>
      <c r="Z401" s="126"/>
      <c r="AA401" s="126"/>
      <c r="AB401" s="126"/>
      <c r="AC401" s="126"/>
      <c r="AD401" s="126"/>
      <c r="AE401" s="126"/>
      <c r="AF401" s="126"/>
      <c r="AG401" s="126"/>
      <c r="AH401" s="126"/>
      <c r="AI401" s="126"/>
      <c r="AJ401" s="126"/>
      <c r="AK401" s="126"/>
      <c r="AL401" s="126"/>
      <c r="AM401" s="126"/>
      <c r="AN401" s="126"/>
      <c r="AO401" s="126"/>
    </row>
    <row r="402">
      <c r="A402" s="158"/>
      <c r="B402" s="158"/>
      <c r="C402" s="158"/>
      <c r="D402" s="158"/>
      <c r="E402" s="158"/>
      <c r="F402" s="158"/>
      <c r="G402" s="158"/>
      <c r="H402" s="158"/>
      <c r="I402" s="145"/>
      <c r="J402" s="158"/>
      <c r="K402" s="158"/>
      <c r="L402" s="126"/>
      <c r="M402" s="126"/>
      <c r="N402" s="126"/>
      <c r="O402" s="126"/>
      <c r="P402" s="126"/>
      <c r="Q402" s="126"/>
      <c r="R402" s="126"/>
      <c r="S402" s="126"/>
      <c r="T402" s="126"/>
      <c r="U402" s="126"/>
      <c r="V402" s="126"/>
      <c r="W402" s="126"/>
      <c r="X402" s="126"/>
      <c r="Y402" s="126"/>
      <c r="Z402" s="126"/>
      <c r="AA402" s="126"/>
      <c r="AB402" s="126"/>
      <c r="AC402" s="126"/>
      <c r="AD402" s="126"/>
      <c r="AE402" s="126"/>
      <c r="AF402" s="126"/>
      <c r="AG402" s="126"/>
      <c r="AH402" s="126"/>
      <c r="AI402" s="126"/>
      <c r="AJ402" s="126"/>
      <c r="AK402" s="126"/>
      <c r="AL402" s="126"/>
      <c r="AM402" s="126"/>
      <c r="AN402" s="126"/>
      <c r="AO402" s="126"/>
    </row>
    <row r="403">
      <c r="A403" s="158"/>
      <c r="B403" s="158"/>
      <c r="C403" s="158"/>
      <c r="D403" s="158"/>
      <c r="E403" s="158"/>
      <c r="F403" s="158"/>
      <c r="G403" s="158"/>
      <c r="H403" s="158"/>
      <c r="I403" s="145"/>
      <c r="J403" s="158"/>
      <c r="K403" s="158"/>
      <c r="L403" s="126"/>
      <c r="M403" s="126"/>
      <c r="N403" s="126"/>
      <c r="O403" s="126"/>
      <c r="P403" s="126"/>
      <c r="Q403" s="126"/>
      <c r="R403" s="126"/>
      <c r="S403" s="126"/>
      <c r="T403" s="126"/>
      <c r="U403" s="126"/>
      <c r="V403" s="126"/>
      <c r="W403" s="126"/>
      <c r="X403" s="126"/>
      <c r="Y403" s="126"/>
      <c r="Z403" s="126"/>
      <c r="AA403" s="126"/>
      <c r="AB403" s="126"/>
      <c r="AC403" s="126"/>
      <c r="AD403" s="126"/>
      <c r="AE403" s="126"/>
      <c r="AF403" s="126"/>
      <c r="AG403" s="126"/>
      <c r="AH403" s="126"/>
      <c r="AI403" s="126"/>
      <c r="AJ403" s="126"/>
      <c r="AK403" s="126"/>
      <c r="AL403" s="126"/>
      <c r="AM403" s="126"/>
      <c r="AN403" s="126"/>
      <c r="AO403" s="126"/>
    </row>
    <row r="404">
      <c r="A404" s="158"/>
      <c r="B404" s="158"/>
      <c r="C404" s="158"/>
      <c r="D404" s="158"/>
      <c r="E404" s="158"/>
      <c r="F404" s="158"/>
      <c r="G404" s="158"/>
      <c r="H404" s="158"/>
      <c r="I404" s="145"/>
      <c r="J404" s="158"/>
      <c r="K404" s="158"/>
      <c r="L404" s="126"/>
      <c r="M404" s="126"/>
      <c r="N404" s="126"/>
      <c r="O404" s="126"/>
      <c r="P404" s="126"/>
      <c r="Q404" s="126"/>
      <c r="R404" s="126"/>
      <c r="S404" s="126"/>
      <c r="T404" s="126"/>
      <c r="U404" s="126"/>
      <c r="V404" s="126"/>
      <c r="W404" s="126"/>
      <c r="X404" s="126"/>
      <c r="Y404" s="126"/>
      <c r="Z404" s="126"/>
      <c r="AA404" s="126"/>
      <c r="AB404" s="126"/>
      <c r="AC404" s="126"/>
      <c r="AD404" s="126"/>
      <c r="AE404" s="126"/>
      <c r="AF404" s="126"/>
      <c r="AG404" s="126"/>
      <c r="AH404" s="126"/>
      <c r="AI404" s="126"/>
      <c r="AJ404" s="126"/>
      <c r="AK404" s="126"/>
      <c r="AL404" s="126"/>
      <c r="AM404" s="126"/>
      <c r="AN404" s="126"/>
      <c r="AO404" s="126"/>
    </row>
    <row r="405">
      <c r="A405" s="158"/>
      <c r="B405" s="158"/>
      <c r="C405" s="158"/>
      <c r="D405" s="158"/>
      <c r="E405" s="158"/>
      <c r="F405" s="158"/>
      <c r="G405" s="158"/>
      <c r="H405" s="158"/>
      <c r="I405" s="145"/>
      <c r="J405" s="158"/>
      <c r="K405" s="158"/>
      <c r="L405" s="126"/>
      <c r="M405" s="126"/>
      <c r="N405" s="126"/>
      <c r="O405" s="126"/>
      <c r="P405" s="126"/>
      <c r="Q405" s="126"/>
      <c r="R405" s="126"/>
      <c r="S405" s="126"/>
      <c r="T405" s="126"/>
      <c r="U405" s="126"/>
      <c r="V405" s="126"/>
      <c r="W405" s="126"/>
      <c r="X405" s="126"/>
      <c r="Y405" s="126"/>
      <c r="Z405" s="126"/>
      <c r="AA405" s="126"/>
      <c r="AB405" s="126"/>
      <c r="AC405" s="126"/>
      <c r="AD405" s="126"/>
      <c r="AE405" s="126"/>
      <c r="AF405" s="126"/>
      <c r="AG405" s="126"/>
      <c r="AH405" s="126"/>
      <c r="AI405" s="126"/>
      <c r="AJ405" s="126"/>
      <c r="AK405" s="126"/>
      <c r="AL405" s="126"/>
      <c r="AM405" s="126"/>
      <c r="AN405" s="126"/>
      <c r="AO405" s="126"/>
    </row>
    <row r="406">
      <c r="A406" s="158"/>
      <c r="B406" s="158"/>
      <c r="C406" s="158"/>
      <c r="D406" s="158"/>
      <c r="E406" s="158"/>
      <c r="F406" s="158"/>
      <c r="G406" s="158"/>
      <c r="H406" s="158"/>
      <c r="I406" s="145"/>
      <c r="J406" s="158"/>
      <c r="K406" s="158"/>
      <c r="L406" s="126"/>
      <c r="M406" s="126"/>
      <c r="N406" s="126"/>
      <c r="O406" s="126"/>
      <c r="P406" s="126"/>
      <c r="Q406" s="126"/>
      <c r="R406" s="126"/>
      <c r="S406" s="126"/>
      <c r="T406" s="126"/>
      <c r="U406" s="126"/>
      <c r="V406" s="126"/>
      <c r="W406" s="126"/>
      <c r="X406" s="126"/>
      <c r="Y406" s="126"/>
      <c r="Z406" s="126"/>
      <c r="AA406" s="126"/>
      <c r="AB406" s="126"/>
      <c r="AC406" s="126"/>
      <c r="AD406" s="126"/>
      <c r="AE406" s="126"/>
      <c r="AF406" s="126"/>
      <c r="AG406" s="126"/>
      <c r="AH406" s="126"/>
      <c r="AI406" s="126"/>
      <c r="AJ406" s="126"/>
      <c r="AK406" s="126"/>
      <c r="AL406" s="126"/>
      <c r="AM406" s="126"/>
      <c r="AN406" s="126"/>
      <c r="AO406" s="126"/>
    </row>
    <row r="407">
      <c r="A407" s="158"/>
      <c r="B407" s="158"/>
      <c r="C407" s="158"/>
      <c r="D407" s="158"/>
      <c r="E407" s="158"/>
      <c r="F407" s="158"/>
      <c r="G407" s="158"/>
      <c r="H407" s="158"/>
      <c r="I407" s="145"/>
      <c r="J407" s="158"/>
      <c r="K407" s="158"/>
      <c r="L407" s="126"/>
      <c r="M407" s="126"/>
      <c r="N407" s="126"/>
      <c r="O407" s="126"/>
      <c r="P407" s="126"/>
      <c r="Q407" s="126"/>
      <c r="R407" s="126"/>
      <c r="S407" s="126"/>
      <c r="T407" s="126"/>
      <c r="U407" s="126"/>
      <c r="V407" s="126"/>
      <c r="W407" s="126"/>
      <c r="X407" s="126"/>
      <c r="Y407" s="126"/>
      <c r="Z407" s="126"/>
      <c r="AA407" s="126"/>
      <c r="AB407" s="126"/>
      <c r="AC407" s="126"/>
      <c r="AD407" s="126"/>
      <c r="AE407" s="126"/>
      <c r="AF407" s="126"/>
      <c r="AG407" s="126"/>
      <c r="AH407" s="126"/>
      <c r="AI407" s="126"/>
      <c r="AJ407" s="126"/>
      <c r="AK407" s="126"/>
      <c r="AL407" s="126"/>
      <c r="AM407" s="126"/>
      <c r="AN407" s="126"/>
      <c r="AO407" s="126"/>
    </row>
    <row r="408">
      <c r="A408" s="158"/>
      <c r="B408" s="158"/>
      <c r="C408" s="158"/>
      <c r="D408" s="158"/>
      <c r="E408" s="158"/>
      <c r="F408" s="158"/>
      <c r="G408" s="158"/>
      <c r="H408" s="158"/>
      <c r="I408" s="145"/>
      <c r="J408" s="158"/>
      <c r="K408" s="158"/>
      <c r="L408" s="126"/>
      <c r="M408" s="126"/>
      <c r="N408" s="126"/>
      <c r="O408" s="126"/>
      <c r="P408" s="126"/>
      <c r="Q408" s="126"/>
      <c r="R408" s="126"/>
      <c r="S408" s="126"/>
      <c r="T408" s="126"/>
      <c r="U408" s="126"/>
      <c r="V408" s="126"/>
      <c r="W408" s="126"/>
      <c r="X408" s="126"/>
      <c r="Y408" s="126"/>
      <c r="Z408" s="126"/>
      <c r="AA408" s="126"/>
      <c r="AB408" s="126"/>
      <c r="AC408" s="126"/>
      <c r="AD408" s="126"/>
      <c r="AE408" s="126"/>
      <c r="AF408" s="126"/>
      <c r="AG408" s="126"/>
      <c r="AH408" s="126"/>
      <c r="AI408" s="126"/>
      <c r="AJ408" s="126"/>
      <c r="AK408" s="126"/>
      <c r="AL408" s="126"/>
      <c r="AM408" s="126"/>
      <c r="AN408" s="126"/>
      <c r="AO408" s="126"/>
    </row>
    <row r="409">
      <c r="A409" s="158"/>
      <c r="B409" s="158"/>
      <c r="C409" s="158"/>
      <c r="D409" s="158"/>
      <c r="E409" s="158"/>
      <c r="F409" s="158"/>
      <c r="G409" s="158"/>
      <c r="H409" s="158"/>
      <c r="I409" s="145"/>
      <c r="J409" s="158"/>
      <c r="K409" s="158"/>
      <c r="L409" s="126"/>
      <c r="M409" s="126"/>
      <c r="N409" s="126"/>
      <c r="O409" s="126"/>
      <c r="P409" s="126"/>
      <c r="Q409" s="126"/>
      <c r="R409" s="126"/>
      <c r="S409" s="126"/>
      <c r="T409" s="126"/>
      <c r="U409" s="126"/>
      <c r="V409" s="126"/>
      <c r="W409" s="126"/>
      <c r="X409" s="126"/>
      <c r="Y409" s="126"/>
      <c r="Z409" s="126"/>
      <c r="AA409" s="126"/>
      <c r="AB409" s="126"/>
      <c r="AC409" s="126"/>
      <c r="AD409" s="126"/>
      <c r="AE409" s="126"/>
      <c r="AF409" s="126"/>
      <c r="AG409" s="126"/>
      <c r="AH409" s="126"/>
      <c r="AI409" s="126"/>
      <c r="AJ409" s="126"/>
      <c r="AK409" s="126"/>
      <c r="AL409" s="126"/>
      <c r="AM409" s="126"/>
      <c r="AN409" s="126"/>
      <c r="AO409" s="126"/>
    </row>
    <row r="410">
      <c r="A410" s="158"/>
      <c r="B410" s="158"/>
      <c r="C410" s="158"/>
      <c r="D410" s="158"/>
      <c r="E410" s="158"/>
      <c r="F410" s="158"/>
      <c r="G410" s="158"/>
      <c r="H410" s="158"/>
      <c r="I410" s="145"/>
      <c r="J410" s="158"/>
      <c r="K410" s="158"/>
      <c r="L410" s="126"/>
      <c r="M410" s="126"/>
      <c r="N410" s="126"/>
      <c r="O410" s="126"/>
      <c r="P410" s="126"/>
      <c r="Q410" s="126"/>
      <c r="R410" s="126"/>
      <c r="S410" s="126"/>
      <c r="T410" s="126"/>
      <c r="U410" s="126"/>
      <c r="V410" s="126"/>
      <c r="W410" s="126"/>
      <c r="X410" s="126"/>
      <c r="Y410" s="126"/>
      <c r="Z410" s="126"/>
      <c r="AA410" s="126"/>
      <c r="AB410" s="126"/>
      <c r="AC410" s="126"/>
      <c r="AD410" s="126"/>
      <c r="AE410" s="126"/>
      <c r="AF410" s="126"/>
      <c r="AG410" s="126"/>
      <c r="AH410" s="126"/>
      <c r="AI410" s="126"/>
      <c r="AJ410" s="126"/>
      <c r="AK410" s="126"/>
      <c r="AL410" s="126"/>
      <c r="AM410" s="126"/>
      <c r="AN410" s="126"/>
      <c r="AO410" s="126"/>
    </row>
    <row r="411">
      <c r="A411" s="158"/>
      <c r="B411" s="158"/>
      <c r="C411" s="158"/>
      <c r="D411" s="158"/>
      <c r="E411" s="158"/>
      <c r="F411" s="158"/>
      <c r="G411" s="158"/>
      <c r="H411" s="158"/>
      <c r="I411" s="145"/>
      <c r="J411" s="158"/>
      <c r="K411" s="158"/>
      <c r="L411" s="126"/>
      <c r="M411" s="126"/>
      <c r="N411" s="126"/>
      <c r="O411" s="126"/>
      <c r="P411" s="126"/>
      <c r="Q411" s="126"/>
      <c r="R411" s="126"/>
      <c r="S411" s="126"/>
      <c r="T411" s="126"/>
      <c r="U411" s="126"/>
      <c r="V411" s="126"/>
      <c r="W411" s="126"/>
      <c r="X411" s="126"/>
      <c r="Y411" s="126"/>
      <c r="Z411" s="126"/>
      <c r="AA411" s="126"/>
      <c r="AB411" s="126"/>
      <c r="AC411" s="126"/>
      <c r="AD411" s="126"/>
      <c r="AE411" s="126"/>
      <c r="AF411" s="126"/>
      <c r="AG411" s="126"/>
      <c r="AH411" s="126"/>
      <c r="AI411" s="126"/>
      <c r="AJ411" s="126"/>
      <c r="AK411" s="126"/>
      <c r="AL411" s="126"/>
      <c r="AM411" s="126"/>
      <c r="AN411" s="126"/>
      <c r="AO411" s="126"/>
    </row>
    <row r="412">
      <c r="A412" s="158"/>
      <c r="B412" s="158"/>
      <c r="C412" s="158"/>
      <c r="D412" s="158"/>
      <c r="E412" s="158"/>
      <c r="F412" s="158"/>
      <c r="G412" s="158"/>
      <c r="H412" s="158"/>
      <c r="I412" s="145"/>
      <c r="J412" s="158"/>
      <c r="K412" s="158"/>
      <c r="L412" s="126"/>
      <c r="M412" s="126"/>
      <c r="N412" s="126"/>
      <c r="O412" s="126"/>
      <c r="P412" s="126"/>
      <c r="Q412" s="126"/>
      <c r="R412" s="126"/>
      <c r="S412" s="126"/>
      <c r="T412" s="126"/>
      <c r="U412" s="126"/>
      <c r="V412" s="126"/>
      <c r="W412" s="126"/>
      <c r="X412" s="126"/>
      <c r="Y412" s="126"/>
      <c r="Z412" s="126"/>
      <c r="AA412" s="126"/>
      <c r="AB412" s="126"/>
      <c r="AC412" s="126"/>
      <c r="AD412" s="126"/>
      <c r="AE412" s="126"/>
      <c r="AF412" s="126"/>
      <c r="AG412" s="126"/>
      <c r="AH412" s="126"/>
      <c r="AI412" s="126"/>
      <c r="AJ412" s="126"/>
      <c r="AK412" s="126"/>
      <c r="AL412" s="126"/>
      <c r="AM412" s="126"/>
      <c r="AN412" s="126"/>
      <c r="AO412" s="126"/>
    </row>
    <row r="413">
      <c r="A413" s="158"/>
      <c r="B413" s="158"/>
      <c r="C413" s="158"/>
      <c r="D413" s="158"/>
      <c r="E413" s="158"/>
      <c r="F413" s="158"/>
      <c r="G413" s="158"/>
      <c r="H413" s="158"/>
      <c r="I413" s="145"/>
      <c r="J413" s="158"/>
      <c r="K413" s="158"/>
      <c r="L413" s="126"/>
      <c r="M413" s="126"/>
      <c r="N413" s="126"/>
      <c r="O413" s="126"/>
      <c r="P413" s="126"/>
      <c r="Q413" s="126"/>
      <c r="R413" s="126"/>
      <c r="S413" s="126"/>
      <c r="T413" s="126"/>
      <c r="U413" s="126"/>
      <c r="V413" s="126"/>
      <c r="W413" s="126"/>
      <c r="X413" s="126"/>
      <c r="Y413" s="126"/>
      <c r="Z413" s="126"/>
      <c r="AA413" s="126"/>
      <c r="AB413" s="126"/>
      <c r="AC413" s="126"/>
      <c r="AD413" s="126"/>
      <c r="AE413" s="126"/>
      <c r="AF413" s="126"/>
      <c r="AG413" s="126"/>
      <c r="AH413" s="126"/>
      <c r="AI413" s="126"/>
      <c r="AJ413" s="126"/>
      <c r="AK413" s="126"/>
      <c r="AL413" s="126"/>
      <c r="AM413" s="126"/>
      <c r="AN413" s="126"/>
      <c r="AO413" s="126"/>
    </row>
    <row r="414">
      <c r="A414" s="158"/>
      <c r="B414" s="158"/>
      <c r="C414" s="158"/>
      <c r="D414" s="158"/>
      <c r="E414" s="158"/>
      <c r="F414" s="158"/>
      <c r="G414" s="158"/>
      <c r="H414" s="158"/>
      <c r="I414" s="145"/>
      <c r="J414" s="158"/>
      <c r="K414" s="158"/>
      <c r="L414" s="126"/>
      <c r="M414" s="126"/>
      <c r="N414" s="126"/>
      <c r="O414" s="126"/>
      <c r="P414" s="126"/>
      <c r="Q414" s="126"/>
      <c r="R414" s="126"/>
      <c r="S414" s="126"/>
      <c r="T414" s="126"/>
      <c r="U414" s="126"/>
      <c r="V414" s="126"/>
      <c r="W414" s="126"/>
      <c r="X414" s="126"/>
      <c r="Y414" s="126"/>
      <c r="Z414" s="126"/>
      <c r="AA414" s="126"/>
      <c r="AB414" s="126"/>
      <c r="AC414" s="126"/>
      <c r="AD414" s="126"/>
      <c r="AE414" s="126"/>
      <c r="AF414" s="126"/>
      <c r="AG414" s="126"/>
      <c r="AH414" s="126"/>
      <c r="AI414" s="126"/>
      <c r="AJ414" s="126"/>
      <c r="AK414" s="126"/>
      <c r="AL414" s="126"/>
      <c r="AM414" s="126"/>
      <c r="AN414" s="126"/>
      <c r="AO414" s="126"/>
    </row>
    <row r="415">
      <c r="A415" s="158"/>
      <c r="B415" s="158"/>
      <c r="C415" s="158"/>
      <c r="D415" s="158"/>
      <c r="E415" s="158"/>
      <c r="F415" s="158"/>
      <c r="G415" s="158"/>
      <c r="H415" s="158"/>
      <c r="I415" s="145"/>
      <c r="J415" s="158"/>
      <c r="K415" s="158"/>
      <c r="L415" s="126"/>
      <c r="M415" s="126"/>
      <c r="N415" s="126"/>
      <c r="O415" s="126"/>
      <c r="P415" s="126"/>
      <c r="Q415" s="126"/>
      <c r="R415" s="126"/>
      <c r="S415" s="126"/>
      <c r="T415" s="126"/>
      <c r="U415" s="126"/>
      <c r="V415" s="126"/>
      <c r="W415" s="126"/>
      <c r="X415" s="126"/>
      <c r="Y415" s="126"/>
      <c r="Z415" s="126"/>
      <c r="AA415" s="126"/>
      <c r="AB415" s="126"/>
      <c r="AC415" s="126"/>
      <c r="AD415" s="126"/>
      <c r="AE415" s="126"/>
      <c r="AF415" s="126"/>
      <c r="AG415" s="126"/>
      <c r="AH415" s="126"/>
      <c r="AI415" s="126"/>
      <c r="AJ415" s="126"/>
      <c r="AK415" s="126"/>
      <c r="AL415" s="126"/>
      <c r="AM415" s="126"/>
      <c r="AN415" s="126"/>
      <c r="AO415" s="126"/>
    </row>
    <row r="416">
      <c r="A416" s="158"/>
      <c r="B416" s="158"/>
      <c r="C416" s="158"/>
      <c r="D416" s="158"/>
      <c r="E416" s="158"/>
      <c r="F416" s="158"/>
      <c r="G416" s="158"/>
      <c r="H416" s="158"/>
      <c r="I416" s="145"/>
      <c r="J416" s="158"/>
      <c r="K416" s="158"/>
      <c r="L416" s="126"/>
      <c r="M416" s="126"/>
      <c r="N416" s="126"/>
      <c r="O416" s="126"/>
      <c r="P416" s="126"/>
      <c r="Q416" s="126"/>
      <c r="R416" s="126"/>
      <c r="S416" s="126"/>
      <c r="T416" s="126"/>
      <c r="U416" s="126"/>
      <c r="V416" s="126"/>
      <c r="W416" s="126"/>
      <c r="X416" s="126"/>
      <c r="Y416" s="126"/>
      <c r="Z416" s="126"/>
      <c r="AA416" s="126"/>
      <c r="AB416" s="126"/>
      <c r="AC416" s="126"/>
      <c r="AD416" s="126"/>
      <c r="AE416" s="126"/>
      <c r="AF416" s="126"/>
      <c r="AG416" s="126"/>
      <c r="AH416" s="126"/>
      <c r="AI416" s="126"/>
      <c r="AJ416" s="126"/>
      <c r="AK416" s="126"/>
      <c r="AL416" s="126"/>
      <c r="AM416" s="126"/>
      <c r="AN416" s="126"/>
      <c r="AO416" s="126"/>
    </row>
    <row r="417">
      <c r="A417" s="158"/>
      <c r="B417" s="158"/>
      <c r="C417" s="158"/>
      <c r="D417" s="158"/>
      <c r="E417" s="158"/>
      <c r="F417" s="158"/>
      <c r="G417" s="158"/>
      <c r="H417" s="158"/>
      <c r="I417" s="145"/>
      <c r="J417" s="158"/>
      <c r="K417" s="158"/>
      <c r="L417" s="126"/>
      <c r="M417" s="126"/>
      <c r="N417" s="126"/>
      <c r="O417" s="126"/>
      <c r="P417" s="126"/>
      <c r="Q417" s="126"/>
      <c r="R417" s="126"/>
      <c r="S417" s="126"/>
      <c r="T417" s="126"/>
      <c r="U417" s="126"/>
      <c r="V417" s="126"/>
      <c r="W417" s="126"/>
      <c r="X417" s="126"/>
      <c r="Y417" s="126"/>
      <c r="Z417" s="126"/>
      <c r="AA417" s="126"/>
      <c r="AB417" s="126"/>
      <c r="AC417" s="126"/>
      <c r="AD417" s="126"/>
      <c r="AE417" s="126"/>
      <c r="AF417" s="126"/>
      <c r="AG417" s="126"/>
      <c r="AH417" s="126"/>
      <c r="AI417" s="126"/>
      <c r="AJ417" s="126"/>
      <c r="AK417" s="126"/>
      <c r="AL417" s="126"/>
      <c r="AM417" s="126"/>
      <c r="AN417" s="126"/>
      <c r="AO417" s="126"/>
    </row>
    <row r="418">
      <c r="A418" s="158"/>
      <c r="B418" s="158"/>
      <c r="C418" s="158"/>
      <c r="D418" s="158"/>
      <c r="E418" s="158"/>
      <c r="F418" s="158"/>
      <c r="G418" s="158"/>
      <c r="H418" s="158"/>
      <c r="I418" s="145"/>
      <c r="J418" s="158"/>
      <c r="K418" s="158"/>
      <c r="L418" s="126"/>
      <c r="M418" s="126"/>
      <c r="N418" s="126"/>
      <c r="O418" s="126"/>
      <c r="P418" s="126"/>
      <c r="Q418" s="126"/>
      <c r="R418" s="126"/>
      <c r="S418" s="126"/>
      <c r="T418" s="126"/>
      <c r="U418" s="126"/>
      <c r="V418" s="126"/>
      <c r="W418" s="126"/>
      <c r="X418" s="126"/>
      <c r="Y418" s="126"/>
      <c r="Z418" s="126"/>
      <c r="AA418" s="126"/>
      <c r="AB418" s="126"/>
      <c r="AC418" s="126"/>
      <c r="AD418" s="126"/>
      <c r="AE418" s="126"/>
      <c r="AF418" s="126"/>
      <c r="AG418" s="126"/>
      <c r="AH418" s="126"/>
      <c r="AI418" s="126"/>
      <c r="AJ418" s="126"/>
      <c r="AK418" s="126"/>
      <c r="AL418" s="126"/>
      <c r="AM418" s="126"/>
      <c r="AN418" s="126"/>
      <c r="AO418" s="126"/>
    </row>
    <row r="419">
      <c r="A419" s="158"/>
      <c r="B419" s="158"/>
      <c r="C419" s="158"/>
      <c r="D419" s="158"/>
      <c r="E419" s="158"/>
      <c r="F419" s="158"/>
      <c r="G419" s="158"/>
      <c r="H419" s="158"/>
      <c r="I419" s="145"/>
      <c r="J419" s="158"/>
      <c r="K419" s="158"/>
      <c r="L419" s="126"/>
      <c r="M419" s="126"/>
      <c r="N419" s="126"/>
      <c r="O419" s="126"/>
      <c r="P419" s="126"/>
      <c r="Q419" s="126"/>
      <c r="R419" s="126"/>
      <c r="S419" s="126"/>
      <c r="T419" s="126"/>
      <c r="U419" s="126"/>
      <c r="V419" s="126"/>
      <c r="W419" s="126"/>
      <c r="X419" s="126"/>
      <c r="Y419" s="126"/>
      <c r="Z419" s="126"/>
      <c r="AA419" s="126"/>
      <c r="AB419" s="126"/>
      <c r="AC419" s="126"/>
      <c r="AD419" s="126"/>
      <c r="AE419" s="126"/>
      <c r="AF419" s="126"/>
      <c r="AG419" s="126"/>
      <c r="AH419" s="126"/>
      <c r="AI419" s="126"/>
      <c r="AJ419" s="126"/>
      <c r="AK419" s="126"/>
      <c r="AL419" s="126"/>
      <c r="AM419" s="126"/>
      <c r="AN419" s="126"/>
      <c r="AO419" s="126"/>
    </row>
    <row r="420">
      <c r="A420" s="158"/>
      <c r="B420" s="158"/>
      <c r="C420" s="158"/>
      <c r="D420" s="158"/>
      <c r="E420" s="158"/>
      <c r="F420" s="158"/>
      <c r="G420" s="158"/>
      <c r="H420" s="158"/>
      <c r="I420" s="145"/>
      <c r="J420" s="158"/>
      <c r="K420" s="158"/>
      <c r="L420" s="126"/>
      <c r="M420" s="126"/>
      <c r="N420" s="126"/>
      <c r="O420" s="126"/>
      <c r="P420" s="126"/>
      <c r="Q420" s="126"/>
      <c r="R420" s="126"/>
      <c r="S420" s="126"/>
      <c r="T420" s="126"/>
      <c r="U420" s="126"/>
      <c r="V420" s="126"/>
      <c r="W420" s="126"/>
      <c r="X420" s="126"/>
      <c r="Y420" s="126"/>
      <c r="Z420" s="126"/>
      <c r="AA420" s="126"/>
      <c r="AB420" s="126"/>
      <c r="AC420" s="126"/>
      <c r="AD420" s="126"/>
      <c r="AE420" s="126"/>
      <c r="AF420" s="126"/>
      <c r="AG420" s="126"/>
      <c r="AH420" s="126"/>
      <c r="AI420" s="126"/>
      <c r="AJ420" s="126"/>
      <c r="AK420" s="126"/>
      <c r="AL420" s="126"/>
      <c r="AM420" s="126"/>
      <c r="AN420" s="126"/>
      <c r="AO420" s="126"/>
    </row>
    <row r="421">
      <c r="A421" s="158"/>
      <c r="B421" s="158"/>
      <c r="C421" s="158"/>
      <c r="D421" s="158"/>
      <c r="E421" s="158"/>
      <c r="F421" s="158"/>
      <c r="G421" s="158"/>
      <c r="H421" s="158"/>
      <c r="I421" s="145"/>
      <c r="J421" s="158"/>
      <c r="K421" s="158"/>
      <c r="L421" s="126"/>
      <c r="M421" s="126"/>
      <c r="N421" s="126"/>
      <c r="O421" s="126"/>
      <c r="P421" s="126"/>
      <c r="Q421" s="126"/>
      <c r="R421" s="126"/>
      <c r="S421" s="126"/>
      <c r="T421" s="126"/>
      <c r="U421" s="126"/>
      <c r="V421" s="126"/>
      <c r="W421" s="126"/>
      <c r="X421" s="126"/>
      <c r="Y421" s="126"/>
      <c r="Z421" s="126"/>
      <c r="AA421" s="126"/>
      <c r="AB421" s="126"/>
      <c r="AC421" s="126"/>
      <c r="AD421" s="126"/>
      <c r="AE421" s="126"/>
      <c r="AF421" s="126"/>
      <c r="AG421" s="126"/>
      <c r="AH421" s="126"/>
      <c r="AI421" s="126"/>
      <c r="AJ421" s="126"/>
      <c r="AK421" s="126"/>
      <c r="AL421" s="126"/>
      <c r="AM421" s="126"/>
      <c r="AN421" s="126"/>
      <c r="AO421" s="126"/>
    </row>
    <row r="422">
      <c r="A422" s="158"/>
      <c r="B422" s="158"/>
      <c r="C422" s="158"/>
      <c r="D422" s="158"/>
      <c r="E422" s="158"/>
      <c r="F422" s="158"/>
      <c r="G422" s="158"/>
      <c r="H422" s="158"/>
      <c r="I422" s="145"/>
      <c r="J422" s="158"/>
      <c r="K422" s="158"/>
      <c r="L422" s="126"/>
      <c r="M422" s="126"/>
      <c r="N422" s="126"/>
      <c r="O422" s="126"/>
      <c r="P422" s="126"/>
      <c r="Q422" s="126"/>
      <c r="R422" s="126"/>
      <c r="S422" s="126"/>
      <c r="T422" s="126"/>
      <c r="U422" s="126"/>
      <c r="V422" s="126"/>
      <c r="W422" s="126"/>
      <c r="X422" s="126"/>
      <c r="Y422" s="126"/>
      <c r="Z422" s="126"/>
      <c r="AA422" s="126"/>
      <c r="AB422" s="126"/>
      <c r="AC422" s="126"/>
      <c r="AD422" s="126"/>
      <c r="AE422" s="126"/>
      <c r="AF422" s="126"/>
      <c r="AG422" s="126"/>
      <c r="AH422" s="126"/>
      <c r="AI422" s="126"/>
      <c r="AJ422" s="126"/>
      <c r="AK422" s="126"/>
      <c r="AL422" s="126"/>
      <c r="AM422" s="126"/>
      <c r="AN422" s="126"/>
      <c r="AO422" s="126"/>
    </row>
    <row r="423">
      <c r="A423" s="158"/>
      <c r="B423" s="158"/>
      <c r="C423" s="158"/>
      <c r="D423" s="158"/>
      <c r="E423" s="158"/>
      <c r="F423" s="158"/>
      <c r="G423" s="158"/>
      <c r="H423" s="158"/>
      <c r="I423" s="145"/>
      <c r="J423" s="158"/>
      <c r="K423" s="158"/>
      <c r="L423" s="126"/>
      <c r="M423" s="126"/>
      <c r="N423" s="126"/>
      <c r="O423" s="126"/>
      <c r="P423" s="126"/>
      <c r="Q423" s="126"/>
      <c r="R423" s="126"/>
      <c r="S423" s="126"/>
      <c r="T423" s="126"/>
      <c r="U423" s="126"/>
      <c r="V423" s="126"/>
      <c r="W423" s="126"/>
      <c r="X423" s="126"/>
      <c r="Y423" s="126"/>
      <c r="Z423" s="126"/>
      <c r="AA423" s="126"/>
      <c r="AB423" s="126"/>
      <c r="AC423" s="126"/>
      <c r="AD423" s="126"/>
      <c r="AE423" s="126"/>
      <c r="AF423" s="126"/>
      <c r="AG423" s="126"/>
      <c r="AH423" s="126"/>
      <c r="AI423" s="126"/>
      <c r="AJ423" s="126"/>
      <c r="AK423" s="126"/>
      <c r="AL423" s="126"/>
      <c r="AM423" s="126"/>
      <c r="AN423" s="126"/>
      <c r="AO423" s="126"/>
    </row>
    <row r="424">
      <c r="A424" s="158"/>
      <c r="B424" s="158"/>
      <c r="C424" s="158"/>
      <c r="D424" s="158"/>
      <c r="E424" s="158"/>
      <c r="F424" s="158"/>
      <c r="G424" s="158"/>
      <c r="H424" s="158"/>
      <c r="I424" s="145"/>
      <c r="J424" s="158"/>
      <c r="K424" s="158"/>
      <c r="L424" s="126"/>
      <c r="M424" s="126"/>
      <c r="N424" s="126"/>
      <c r="O424" s="126"/>
      <c r="P424" s="126"/>
      <c r="Q424" s="126"/>
      <c r="R424" s="126"/>
      <c r="S424" s="126"/>
      <c r="T424" s="126"/>
      <c r="U424" s="126"/>
      <c r="V424" s="126"/>
      <c r="W424" s="126"/>
      <c r="X424" s="126"/>
      <c r="Y424" s="126"/>
      <c r="Z424" s="126"/>
      <c r="AA424" s="126"/>
      <c r="AB424" s="126"/>
      <c r="AC424" s="126"/>
      <c r="AD424" s="126"/>
      <c r="AE424" s="126"/>
      <c r="AF424" s="126"/>
      <c r="AG424" s="126"/>
      <c r="AH424" s="126"/>
      <c r="AI424" s="126"/>
      <c r="AJ424" s="126"/>
      <c r="AK424" s="126"/>
      <c r="AL424" s="126"/>
      <c r="AM424" s="126"/>
      <c r="AN424" s="126"/>
      <c r="AO424" s="126"/>
    </row>
    <row r="425">
      <c r="A425" s="158"/>
      <c r="B425" s="158"/>
      <c r="C425" s="158"/>
      <c r="D425" s="158"/>
      <c r="E425" s="158"/>
      <c r="F425" s="158"/>
      <c r="G425" s="158"/>
      <c r="H425" s="158"/>
      <c r="I425" s="145"/>
      <c r="J425" s="158"/>
      <c r="K425" s="158"/>
      <c r="L425" s="126"/>
      <c r="M425" s="126"/>
      <c r="N425" s="126"/>
      <c r="O425" s="126"/>
      <c r="P425" s="126"/>
      <c r="Q425" s="126"/>
      <c r="R425" s="126"/>
      <c r="S425" s="126"/>
      <c r="T425" s="126"/>
      <c r="U425" s="126"/>
      <c r="V425" s="126"/>
      <c r="W425" s="126"/>
      <c r="X425" s="126"/>
      <c r="Y425" s="126"/>
      <c r="Z425" s="126"/>
      <c r="AA425" s="126"/>
      <c r="AB425" s="126"/>
      <c r="AC425" s="126"/>
      <c r="AD425" s="126"/>
      <c r="AE425" s="126"/>
      <c r="AF425" s="126"/>
      <c r="AG425" s="126"/>
      <c r="AH425" s="126"/>
      <c r="AI425" s="126"/>
      <c r="AJ425" s="126"/>
      <c r="AK425" s="126"/>
      <c r="AL425" s="126"/>
      <c r="AM425" s="126"/>
      <c r="AN425" s="126"/>
      <c r="AO425" s="126"/>
    </row>
    <row r="426">
      <c r="A426" s="158"/>
      <c r="B426" s="158"/>
      <c r="C426" s="158"/>
      <c r="D426" s="158"/>
      <c r="E426" s="158"/>
      <c r="F426" s="158"/>
      <c r="G426" s="158"/>
      <c r="H426" s="158"/>
      <c r="I426" s="145"/>
      <c r="J426" s="158"/>
      <c r="K426" s="158"/>
      <c r="L426" s="126"/>
      <c r="M426" s="126"/>
      <c r="N426" s="126"/>
      <c r="O426" s="126"/>
      <c r="P426" s="126"/>
      <c r="Q426" s="126"/>
      <c r="R426" s="126"/>
      <c r="S426" s="126"/>
      <c r="T426" s="126"/>
      <c r="U426" s="126"/>
      <c r="V426" s="126"/>
      <c r="W426" s="126"/>
      <c r="X426" s="126"/>
      <c r="Y426" s="126"/>
      <c r="Z426" s="126"/>
      <c r="AA426" s="126"/>
      <c r="AB426" s="126"/>
      <c r="AC426" s="126"/>
      <c r="AD426" s="126"/>
      <c r="AE426" s="126"/>
      <c r="AF426" s="126"/>
      <c r="AG426" s="126"/>
      <c r="AH426" s="126"/>
      <c r="AI426" s="126"/>
      <c r="AJ426" s="126"/>
      <c r="AK426" s="126"/>
      <c r="AL426" s="126"/>
      <c r="AM426" s="126"/>
      <c r="AN426" s="126"/>
      <c r="AO426" s="126"/>
    </row>
    <row r="427">
      <c r="A427" s="158"/>
      <c r="B427" s="158"/>
      <c r="C427" s="158"/>
      <c r="D427" s="158"/>
      <c r="E427" s="158"/>
      <c r="F427" s="158"/>
      <c r="G427" s="158"/>
      <c r="H427" s="158"/>
      <c r="I427" s="145"/>
      <c r="J427" s="158"/>
      <c r="K427" s="158"/>
      <c r="L427" s="126"/>
      <c r="M427" s="126"/>
      <c r="N427" s="126"/>
      <c r="O427" s="126"/>
      <c r="P427" s="126"/>
      <c r="Q427" s="126"/>
      <c r="R427" s="126"/>
      <c r="S427" s="126"/>
      <c r="T427" s="126"/>
      <c r="U427" s="126"/>
      <c r="V427" s="126"/>
      <c r="W427" s="126"/>
      <c r="X427" s="126"/>
      <c r="Y427" s="126"/>
      <c r="Z427" s="126"/>
      <c r="AA427" s="126"/>
      <c r="AB427" s="126"/>
      <c r="AC427" s="126"/>
      <c r="AD427" s="126"/>
      <c r="AE427" s="126"/>
      <c r="AF427" s="126"/>
      <c r="AG427" s="126"/>
      <c r="AH427" s="126"/>
      <c r="AI427" s="126"/>
      <c r="AJ427" s="126"/>
      <c r="AK427" s="126"/>
      <c r="AL427" s="126"/>
      <c r="AM427" s="126"/>
      <c r="AN427" s="126"/>
      <c r="AO427" s="126"/>
    </row>
    <row r="428">
      <c r="A428" s="158"/>
      <c r="B428" s="158"/>
      <c r="C428" s="158"/>
      <c r="D428" s="158"/>
      <c r="E428" s="158"/>
      <c r="F428" s="158"/>
      <c r="G428" s="158"/>
      <c r="H428" s="158"/>
      <c r="I428" s="145"/>
      <c r="J428" s="158"/>
      <c r="K428" s="158"/>
      <c r="L428" s="126"/>
      <c r="M428" s="126"/>
      <c r="N428" s="126"/>
      <c r="O428" s="126"/>
      <c r="P428" s="126"/>
      <c r="Q428" s="126"/>
      <c r="R428" s="126"/>
      <c r="S428" s="126"/>
      <c r="T428" s="126"/>
      <c r="U428" s="126"/>
      <c r="V428" s="126"/>
      <c r="W428" s="126"/>
      <c r="X428" s="126"/>
      <c r="Y428" s="126"/>
      <c r="Z428" s="126"/>
      <c r="AA428" s="126"/>
      <c r="AB428" s="126"/>
      <c r="AC428" s="126"/>
      <c r="AD428" s="126"/>
      <c r="AE428" s="126"/>
      <c r="AF428" s="126"/>
      <c r="AG428" s="126"/>
      <c r="AH428" s="126"/>
      <c r="AI428" s="126"/>
      <c r="AJ428" s="126"/>
      <c r="AK428" s="126"/>
      <c r="AL428" s="126"/>
      <c r="AM428" s="126"/>
      <c r="AN428" s="126"/>
      <c r="AO428" s="126"/>
    </row>
    <row r="429">
      <c r="A429" s="158"/>
      <c r="B429" s="158"/>
      <c r="C429" s="158"/>
      <c r="D429" s="158"/>
      <c r="E429" s="158"/>
      <c r="F429" s="158"/>
      <c r="G429" s="158"/>
      <c r="H429" s="158"/>
      <c r="I429" s="145"/>
      <c r="J429" s="158"/>
      <c r="K429" s="158"/>
      <c r="L429" s="126"/>
      <c r="M429" s="126"/>
      <c r="N429" s="126"/>
      <c r="O429" s="126"/>
      <c r="P429" s="126"/>
      <c r="Q429" s="126"/>
      <c r="R429" s="126"/>
      <c r="S429" s="126"/>
      <c r="T429" s="126"/>
      <c r="U429" s="126"/>
      <c r="V429" s="126"/>
      <c r="W429" s="126"/>
      <c r="X429" s="126"/>
      <c r="Y429" s="126"/>
      <c r="Z429" s="126"/>
      <c r="AA429" s="126"/>
      <c r="AB429" s="126"/>
      <c r="AC429" s="126"/>
      <c r="AD429" s="126"/>
      <c r="AE429" s="126"/>
      <c r="AF429" s="126"/>
      <c r="AG429" s="126"/>
      <c r="AH429" s="126"/>
      <c r="AI429" s="126"/>
      <c r="AJ429" s="126"/>
      <c r="AK429" s="126"/>
      <c r="AL429" s="126"/>
      <c r="AM429" s="126"/>
      <c r="AN429" s="126"/>
      <c r="AO429" s="126"/>
    </row>
    <row r="430">
      <c r="A430" s="158"/>
      <c r="B430" s="158"/>
      <c r="C430" s="158"/>
      <c r="D430" s="158"/>
      <c r="E430" s="158"/>
      <c r="F430" s="158"/>
      <c r="G430" s="158"/>
      <c r="H430" s="158"/>
      <c r="I430" s="145"/>
      <c r="J430" s="158"/>
      <c r="K430" s="158"/>
      <c r="L430" s="126"/>
      <c r="M430" s="126"/>
      <c r="N430" s="126"/>
      <c r="O430" s="126"/>
      <c r="P430" s="126"/>
      <c r="Q430" s="126"/>
      <c r="R430" s="126"/>
      <c r="S430" s="126"/>
      <c r="T430" s="126"/>
      <c r="U430" s="126"/>
      <c r="V430" s="126"/>
      <c r="W430" s="126"/>
      <c r="X430" s="126"/>
      <c r="Y430" s="126"/>
      <c r="Z430" s="126"/>
      <c r="AA430" s="126"/>
      <c r="AB430" s="126"/>
      <c r="AC430" s="126"/>
      <c r="AD430" s="126"/>
      <c r="AE430" s="126"/>
      <c r="AF430" s="126"/>
      <c r="AG430" s="126"/>
      <c r="AH430" s="126"/>
      <c r="AI430" s="126"/>
      <c r="AJ430" s="126"/>
      <c r="AK430" s="126"/>
      <c r="AL430" s="126"/>
      <c r="AM430" s="126"/>
      <c r="AN430" s="126"/>
      <c r="AO430" s="126"/>
    </row>
    <row r="431">
      <c r="A431" s="158"/>
      <c r="B431" s="158"/>
      <c r="C431" s="158"/>
      <c r="D431" s="158"/>
      <c r="E431" s="158"/>
      <c r="F431" s="158"/>
      <c r="G431" s="158"/>
      <c r="H431" s="158"/>
      <c r="I431" s="145"/>
      <c r="J431" s="158"/>
      <c r="K431" s="158"/>
      <c r="L431" s="126"/>
      <c r="M431" s="126"/>
      <c r="N431" s="126"/>
      <c r="O431" s="126"/>
      <c r="P431" s="126"/>
      <c r="Q431" s="126"/>
      <c r="R431" s="126"/>
      <c r="S431" s="126"/>
      <c r="T431" s="126"/>
      <c r="U431" s="126"/>
      <c r="V431" s="126"/>
      <c r="W431" s="126"/>
      <c r="X431" s="126"/>
      <c r="Y431" s="126"/>
      <c r="Z431" s="126"/>
      <c r="AA431" s="126"/>
      <c r="AB431" s="126"/>
      <c r="AC431" s="126"/>
      <c r="AD431" s="126"/>
      <c r="AE431" s="126"/>
      <c r="AF431" s="126"/>
      <c r="AG431" s="126"/>
      <c r="AH431" s="126"/>
      <c r="AI431" s="126"/>
      <c r="AJ431" s="126"/>
      <c r="AK431" s="126"/>
      <c r="AL431" s="126"/>
      <c r="AM431" s="126"/>
      <c r="AN431" s="126"/>
      <c r="AO431" s="126"/>
    </row>
    <row r="432">
      <c r="A432" s="158"/>
      <c r="B432" s="158"/>
      <c r="C432" s="158"/>
      <c r="D432" s="158"/>
      <c r="E432" s="158"/>
      <c r="F432" s="158"/>
      <c r="G432" s="158"/>
      <c r="H432" s="158"/>
      <c r="I432" s="145"/>
      <c r="J432" s="158"/>
      <c r="K432" s="158"/>
      <c r="L432" s="126"/>
      <c r="M432" s="126"/>
      <c r="N432" s="126"/>
      <c r="O432" s="126"/>
      <c r="P432" s="126"/>
      <c r="Q432" s="126"/>
      <c r="R432" s="126"/>
      <c r="S432" s="126"/>
      <c r="T432" s="126"/>
      <c r="U432" s="126"/>
      <c r="V432" s="126"/>
      <c r="W432" s="126"/>
      <c r="X432" s="126"/>
      <c r="Y432" s="126"/>
      <c r="Z432" s="126"/>
      <c r="AA432" s="126"/>
      <c r="AB432" s="126"/>
      <c r="AC432" s="126"/>
      <c r="AD432" s="126"/>
      <c r="AE432" s="126"/>
      <c r="AF432" s="126"/>
      <c r="AG432" s="126"/>
      <c r="AH432" s="126"/>
      <c r="AI432" s="126"/>
      <c r="AJ432" s="126"/>
      <c r="AK432" s="126"/>
      <c r="AL432" s="126"/>
      <c r="AM432" s="126"/>
      <c r="AN432" s="126"/>
      <c r="AO432" s="126"/>
    </row>
    <row r="433">
      <c r="A433" s="158"/>
      <c r="B433" s="158"/>
      <c r="C433" s="158"/>
      <c r="D433" s="158"/>
      <c r="E433" s="158"/>
      <c r="F433" s="158"/>
      <c r="G433" s="158"/>
      <c r="H433" s="158"/>
      <c r="I433" s="145"/>
      <c r="J433" s="158"/>
      <c r="K433" s="158"/>
      <c r="L433" s="126"/>
      <c r="M433" s="126"/>
      <c r="N433" s="126"/>
      <c r="O433" s="126"/>
      <c r="P433" s="126"/>
      <c r="Q433" s="126"/>
      <c r="R433" s="126"/>
      <c r="S433" s="126"/>
      <c r="T433" s="126"/>
      <c r="U433" s="126"/>
      <c r="V433" s="126"/>
      <c r="W433" s="126"/>
      <c r="X433" s="126"/>
      <c r="Y433" s="126"/>
      <c r="Z433" s="126"/>
      <c r="AA433" s="126"/>
      <c r="AB433" s="126"/>
      <c r="AC433" s="126"/>
      <c r="AD433" s="126"/>
      <c r="AE433" s="126"/>
      <c r="AF433" s="126"/>
      <c r="AG433" s="126"/>
      <c r="AH433" s="126"/>
      <c r="AI433" s="126"/>
      <c r="AJ433" s="126"/>
      <c r="AK433" s="126"/>
      <c r="AL433" s="126"/>
      <c r="AM433" s="126"/>
      <c r="AN433" s="126"/>
      <c r="AO433" s="126"/>
    </row>
    <row r="434">
      <c r="A434" s="158"/>
      <c r="B434" s="158"/>
      <c r="C434" s="158"/>
      <c r="D434" s="158"/>
      <c r="E434" s="158"/>
      <c r="F434" s="158"/>
      <c r="G434" s="158"/>
      <c r="H434" s="158"/>
      <c r="I434" s="145"/>
      <c r="J434" s="158"/>
      <c r="K434" s="158"/>
      <c r="L434" s="126"/>
      <c r="M434" s="126"/>
      <c r="N434" s="126"/>
      <c r="O434" s="126"/>
      <c r="P434" s="126"/>
      <c r="Q434" s="126"/>
      <c r="R434" s="126"/>
      <c r="S434" s="126"/>
      <c r="T434" s="126"/>
      <c r="U434" s="126"/>
      <c r="V434" s="126"/>
      <c r="W434" s="126"/>
      <c r="X434" s="126"/>
      <c r="Y434" s="126"/>
      <c r="Z434" s="126"/>
      <c r="AA434" s="126"/>
      <c r="AB434" s="126"/>
      <c r="AC434" s="126"/>
      <c r="AD434" s="126"/>
      <c r="AE434" s="126"/>
      <c r="AF434" s="126"/>
      <c r="AG434" s="126"/>
      <c r="AH434" s="126"/>
      <c r="AI434" s="126"/>
      <c r="AJ434" s="126"/>
      <c r="AK434" s="126"/>
      <c r="AL434" s="126"/>
      <c r="AM434" s="126"/>
      <c r="AN434" s="126"/>
      <c r="AO434" s="126"/>
    </row>
    <row r="435">
      <c r="A435" s="158"/>
      <c r="B435" s="158"/>
      <c r="C435" s="158"/>
      <c r="D435" s="158"/>
      <c r="E435" s="158"/>
      <c r="F435" s="158"/>
      <c r="G435" s="158"/>
      <c r="H435" s="158"/>
      <c r="I435" s="145"/>
      <c r="J435" s="158"/>
      <c r="K435" s="158"/>
      <c r="L435" s="126"/>
      <c r="M435" s="126"/>
      <c r="N435" s="126"/>
      <c r="O435" s="126"/>
      <c r="P435" s="126"/>
      <c r="Q435" s="126"/>
      <c r="R435" s="126"/>
      <c r="S435" s="126"/>
      <c r="T435" s="126"/>
      <c r="U435" s="126"/>
      <c r="V435" s="126"/>
      <c r="W435" s="126"/>
      <c r="X435" s="126"/>
      <c r="Y435" s="126"/>
      <c r="Z435" s="126"/>
      <c r="AA435" s="126"/>
      <c r="AB435" s="126"/>
      <c r="AC435" s="126"/>
      <c r="AD435" s="126"/>
      <c r="AE435" s="126"/>
      <c r="AF435" s="126"/>
      <c r="AG435" s="126"/>
      <c r="AH435" s="126"/>
      <c r="AI435" s="126"/>
      <c r="AJ435" s="126"/>
      <c r="AK435" s="126"/>
      <c r="AL435" s="126"/>
      <c r="AM435" s="126"/>
      <c r="AN435" s="126"/>
      <c r="AO435" s="126"/>
    </row>
    <row r="436">
      <c r="A436" s="158"/>
      <c r="B436" s="158"/>
      <c r="C436" s="158"/>
      <c r="D436" s="158"/>
      <c r="E436" s="158"/>
      <c r="F436" s="158"/>
      <c r="G436" s="158"/>
      <c r="H436" s="158"/>
      <c r="I436" s="145"/>
      <c r="J436" s="158"/>
      <c r="K436" s="158"/>
      <c r="L436" s="126"/>
      <c r="M436" s="126"/>
      <c r="N436" s="126"/>
      <c r="O436" s="126"/>
      <c r="P436" s="126"/>
      <c r="Q436" s="126"/>
      <c r="R436" s="126"/>
      <c r="S436" s="126"/>
      <c r="T436" s="126"/>
      <c r="U436" s="126"/>
      <c r="V436" s="126"/>
      <c r="W436" s="126"/>
      <c r="X436" s="126"/>
      <c r="Y436" s="126"/>
      <c r="Z436" s="126"/>
      <c r="AA436" s="126"/>
      <c r="AB436" s="126"/>
      <c r="AC436" s="126"/>
      <c r="AD436" s="126"/>
      <c r="AE436" s="126"/>
      <c r="AF436" s="126"/>
      <c r="AG436" s="126"/>
      <c r="AH436" s="126"/>
      <c r="AI436" s="126"/>
      <c r="AJ436" s="126"/>
      <c r="AK436" s="126"/>
      <c r="AL436" s="126"/>
      <c r="AM436" s="126"/>
      <c r="AN436" s="126"/>
      <c r="AO436" s="126"/>
    </row>
    <row r="437">
      <c r="A437" s="158"/>
      <c r="B437" s="158"/>
      <c r="C437" s="158"/>
      <c r="D437" s="158"/>
      <c r="E437" s="158"/>
      <c r="F437" s="158"/>
      <c r="G437" s="158"/>
      <c r="H437" s="158"/>
      <c r="I437" s="145"/>
      <c r="J437" s="158"/>
      <c r="K437" s="158"/>
      <c r="L437" s="126"/>
      <c r="M437" s="126"/>
      <c r="N437" s="126"/>
      <c r="O437" s="126"/>
      <c r="P437" s="126"/>
      <c r="Q437" s="126"/>
      <c r="R437" s="126"/>
      <c r="S437" s="126"/>
      <c r="T437" s="126"/>
      <c r="U437" s="126"/>
      <c r="V437" s="126"/>
      <c r="W437" s="126"/>
      <c r="X437" s="126"/>
      <c r="Y437" s="126"/>
      <c r="Z437" s="126"/>
      <c r="AA437" s="126"/>
      <c r="AB437" s="126"/>
      <c r="AC437" s="126"/>
      <c r="AD437" s="126"/>
      <c r="AE437" s="126"/>
      <c r="AF437" s="126"/>
      <c r="AG437" s="126"/>
      <c r="AH437" s="126"/>
      <c r="AI437" s="126"/>
      <c r="AJ437" s="126"/>
      <c r="AK437" s="126"/>
      <c r="AL437" s="126"/>
      <c r="AM437" s="126"/>
      <c r="AN437" s="126"/>
      <c r="AO437" s="126"/>
    </row>
    <row r="438">
      <c r="A438" s="158"/>
      <c r="B438" s="158"/>
      <c r="C438" s="158"/>
      <c r="D438" s="158"/>
      <c r="E438" s="158"/>
      <c r="F438" s="158"/>
      <c r="G438" s="158"/>
      <c r="H438" s="158"/>
      <c r="I438" s="145"/>
      <c r="J438" s="158"/>
      <c r="K438" s="158"/>
      <c r="L438" s="126"/>
      <c r="M438" s="126"/>
      <c r="N438" s="126"/>
      <c r="O438" s="126"/>
      <c r="P438" s="126"/>
      <c r="Q438" s="126"/>
      <c r="R438" s="126"/>
      <c r="S438" s="126"/>
      <c r="T438" s="126"/>
      <c r="U438" s="126"/>
      <c r="V438" s="126"/>
      <c r="W438" s="126"/>
      <c r="X438" s="126"/>
      <c r="Y438" s="126"/>
      <c r="Z438" s="126"/>
      <c r="AA438" s="126"/>
      <c r="AB438" s="126"/>
      <c r="AC438" s="126"/>
      <c r="AD438" s="126"/>
      <c r="AE438" s="126"/>
      <c r="AF438" s="126"/>
      <c r="AG438" s="126"/>
      <c r="AH438" s="126"/>
      <c r="AI438" s="126"/>
      <c r="AJ438" s="126"/>
      <c r="AK438" s="126"/>
      <c r="AL438" s="126"/>
      <c r="AM438" s="126"/>
      <c r="AN438" s="126"/>
      <c r="AO438" s="126"/>
    </row>
    <row r="439">
      <c r="A439" s="158"/>
      <c r="B439" s="158"/>
      <c r="C439" s="158"/>
      <c r="D439" s="158"/>
      <c r="E439" s="158"/>
      <c r="F439" s="158"/>
      <c r="G439" s="158"/>
      <c r="H439" s="158"/>
      <c r="I439" s="145"/>
      <c r="J439" s="158"/>
      <c r="K439" s="158"/>
      <c r="L439" s="126"/>
      <c r="M439" s="126"/>
      <c r="N439" s="126"/>
      <c r="O439" s="126"/>
      <c r="P439" s="126"/>
      <c r="Q439" s="126"/>
      <c r="R439" s="126"/>
      <c r="S439" s="126"/>
      <c r="T439" s="126"/>
      <c r="U439" s="126"/>
      <c r="V439" s="126"/>
      <c r="W439" s="126"/>
      <c r="X439" s="126"/>
      <c r="Y439" s="126"/>
      <c r="Z439" s="126"/>
      <c r="AA439" s="126"/>
      <c r="AB439" s="126"/>
      <c r="AC439" s="126"/>
      <c r="AD439" s="126"/>
      <c r="AE439" s="126"/>
      <c r="AF439" s="126"/>
      <c r="AG439" s="126"/>
      <c r="AH439" s="126"/>
      <c r="AI439" s="126"/>
      <c r="AJ439" s="126"/>
      <c r="AK439" s="126"/>
      <c r="AL439" s="126"/>
      <c r="AM439" s="126"/>
      <c r="AN439" s="126"/>
      <c r="AO439" s="126"/>
    </row>
    <row r="440">
      <c r="A440" s="158"/>
      <c r="B440" s="158"/>
      <c r="C440" s="158"/>
      <c r="D440" s="158"/>
      <c r="E440" s="158"/>
      <c r="F440" s="158"/>
      <c r="G440" s="158"/>
      <c r="H440" s="158"/>
      <c r="I440" s="145"/>
      <c r="J440" s="158"/>
      <c r="K440" s="158"/>
      <c r="L440" s="126"/>
      <c r="M440" s="126"/>
      <c r="N440" s="126"/>
      <c r="O440" s="126"/>
      <c r="P440" s="126"/>
      <c r="Q440" s="126"/>
      <c r="R440" s="126"/>
      <c r="S440" s="126"/>
      <c r="T440" s="126"/>
      <c r="U440" s="126"/>
      <c r="V440" s="126"/>
      <c r="W440" s="126"/>
      <c r="X440" s="126"/>
      <c r="Y440" s="126"/>
      <c r="Z440" s="126"/>
      <c r="AA440" s="126"/>
      <c r="AB440" s="126"/>
      <c r="AC440" s="126"/>
      <c r="AD440" s="126"/>
      <c r="AE440" s="126"/>
      <c r="AF440" s="126"/>
      <c r="AG440" s="126"/>
      <c r="AH440" s="126"/>
      <c r="AI440" s="126"/>
      <c r="AJ440" s="126"/>
      <c r="AK440" s="126"/>
      <c r="AL440" s="126"/>
      <c r="AM440" s="126"/>
      <c r="AN440" s="126"/>
      <c r="AO440" s="126"/>
    </row>
    <row r="441">
      <c r="A441" s="158"/>
      <c r="B441" s="158"/>
      <c r="C441" s="158"/>
      <c r="D441" s="158"/>
      <c r="E441" s="158"/>
      <c r="F441" s="158"/>
      <c r="G441" s="158"/>
      <c r="H441" s="158"/>
      <c r="I441" s="145"/>
      <c r="J441" s="158"/>
      <c r="K441" s="158"/>
      <c r="L441" s="126"/>
      <c r="M441" s="126"/>
      <c r="N441" s="126"/>
      <c r="O441" s="126"/>
      <c r="P441" s="126"/>
      <c r="Q441" s="126"/>
      <c r="R441" s="126"/>
      <c r="S441" s="126"/>
      <c r="T441" s="126"/>
      <c r="U441" s="126"/>
      <c r="V441" s="126"/>
      <c r="W441" s="126"/>
      <c r="X441" s="126"/>
      <c r="Y441" s="126"/>
      <c r="Z441" s="126"/>
      <c r="AA441" s="126"/>
      <c r="AB441" s="126"/>
      <c r="AC441" s="126"/>
      <c r="AD441" s="126"/>
      <c r="AE441" s="126"/>
      <c r="AF441" s="126"/>
      <c r="AG441" s="126"/>
      <c r="AH441" s="126"/>
      <c r="AI441" s="126"/>
      <c r="AJ441" s="126"/>
      <c r="AK441" s="126"/>
      <c r="AL441" s="126"/>
      <c r="AM441" s="126"/>
      <c r="AN441" s="126"/>
      <c r="AO441" s="126"/>
    </row>
    <row r="442">
      <c r="A442" s="158"/>
      <c r="B442" s="158"/>
      <c r="C442" s="158"/>
      <c r="D442" s="158"/>
      <c r="E442" s="158"/>
      <c r="F442" s="158"/>
      <c r="G442" s="158"/>
      <c r="H442" s="158"/>
      <c r="I442" s="145"/>
      <c r="J442" s="158"/>
      <c r="K442" s="158"/>
      <c r="L442" s="126"/>
      <c r="M442" s="126"/>
      <c r="N442" s="126"/>
      <c r="O442" s="126"/>
      <c r="P442" s="126"/>
      <c r="Q442" s="126"/>
      <c r="R442" s="126"/>
      <c r="S442" s="126"/>
      <c r="T442" s="126"/>
      <c r="U442" s="126"/>
      <c r="V442" s="126"/>
      <c r="W442" s="126"/>
      <c r="X442" s="126"/>
      <c r="Y442" s="126"/>
      <c r="Z442" s="126"/>
      <c r="AA442" s="126"/>
      <c r="AB442" s="126"/>
      <c r="AC442" s="126"/>
      <c r="AD442" s="126"/>
      <c r="AE442" s="126"/>
      <c r="AF442" s="126"/>
      <c r="AG442" s="126"/>
      <c r="AH442" s="126"/>
      <c r="AI442" s="126"/>
      <c r="AJ442" s="126"/>
      <c r="AK442" s="126"/>
      <c r="AL442" s="126"/>
      <c r="AM442" s="126"/>
      <c r="AN442" s="126"/>
      <c r="AO442" s="126"/>
    </row>
    <row r="443">
      <c r="A443" s="158"/>
      <c r="B443" s="158"/>
      <c r="C443" s="158"/>
      <c r="D443" s="158"/>
      <c r="E443" s="158"/>
      <c r="F443" s="158"/>
      <c r="G443" s="158"/>
      <c r="H443" s="158"/>
      <c r="I443" s="145"/>
      <c r="J443" s="158"/>
      <c r="K443" s="158"/>
      <c r="L443" s="126"/>
      <c r="M443" s="126"/>
      <c r="N443" s="126"/>
      <c r="O443" s="126"/>
      <c r="P443" s="126"/>
      <c r="Q443" s="126"/>
      <c r="R443" s="126"/>
      <c r="S443" s="126"/>
      <c r="T443" s="126"/>
      <c r="U443" s="126"/>
      <c r="V443" s="126"/>
      <c r="W443" s="126"/>
      <c r="X443" s="126"/>
      <c r="Y443" s="126"/>
      <c r="Z443" s="126"/>
      <c r="AA443" s="126"/>
      <c r="AB443" s="126"/>
      <c r="AC443" s="126"/>
      <c r="AD443" s="126"/>
      <c r="AE443" s="126"/>
      <c r="AF443" s="126"/>
      <c r="AG443" s="126"/>
      <c r="AH443" s="126"/>
      <c r="AI443" s="126"/>
      <c r="AJ443" s="126"/>
      <c r="AK443" s="126"/>
      <c r="AL443" s="126"/>
      <c r="AM443" s="126"/>
      <c r="AN443" s="126"/>
      <c r="AO443" s="126"/>
    </row>
    <row r="444">
      <c r="A444" s="158"/>
      <c r="B444" s="158"/>
      <c r="C444" s="158"/>
      <c r="D444" s="158"/>
      <c r="E444" s="158"/>
      <c r="F444" s="158"/>
      <c r="G444" s="158"/>
      <c r="H444" s="158"/>
      <c r="I444" s="145"/>
      <c r="J444" s="158"/>
      <c r="K444" s="158"/>
      <c r="L444" s="126"/>
      <c r="M444" s="126"/>
      <c r="N444" s="126"/>
      <c r="O444" s="126"/>
      <c r="P444" s="126"/>
      <c r="Q444" s="126"/>
      <c r="R444" s="126"/>
      <c r="S444" s="126"/>
      <c r="T444" s="126"/>
      <c r="U444" s="126"/>
      <c r="V444" s="126"/>
      <c r="W444" s="126"/>
      <c r="X444" s="126"/>
      <c r="Y444" s="126"/>
      <c r="Z444" s="126"/>
      <c r="AA444" s="126"/>
      <c r="AB444" s="126"/>
      <c r="AC444" s="126"/>
      <c r="AD444" s="126"/>
      <c r="AE444" s="126"/>
      <c r="AF444" s="126"/>
      <c r="AG444" s="126"/>
      <c r="AH444" s="126"/>
      <c r="AI444" s="126"/>
      <c r="AJ444" s="126"/>
      <c r="AK444" s="126"/>
      <c r="AL444" s="126"/>
      <c r="AM444" s="126"/>
      <c r="AN444" s="126"/>
      <c r="AO444" s="126"/>
    </row>
    <row r="445">
      <c r="A445" s="158"/>
      <c r="B445" s="158"/>
      <c r="C445" s="158"/>
      <c r="D445" s="158"/>
      <c r="E445" s="158"/>
      <c r="F445" s="158"/>
      <c r="G445" s="158"/>
      <c r="H445" s="158"/>
      <c r="I445" s="145"/>
      <c r="J445" s="158"/>
      <c r="K445" s="158"/>
      <c r="L445" s="126"/>
      <c r="M445" s="126"/>
      <c r="N445" s="126"/>
      <c r="O445" s="126"/>
      <c r="P445" s="126"/>
      <c r="Q445" s="126"/>
      <c r="R445" s="126"/>
      <c r="S445" s="126"/>
      <c r="T445" s="126"/>
      <c r="U445" s="126"/>
      <c r="V445" s="126"/>
      <c r="W445" s="126"/>
      <c r="X445" s="126"/>
      <c r="Y445" s="126"/>
      <c r="Z445" s="126"/>
      <c r="AA445" s="126"/>
      <c r="AB445" s="126"/>
      <c r="AC445" s="126"/>
      <c r="AD445" s="126"/>
      <c r="AE445" s="126"/>
      <c r="AF445" s="126"/>
      <c r="AG445" s="126"/>
      <c r="AH445" s="126"/>
      <c r="AI445" s="126"/>
      <c r="AJ445" s="126"/>
      <c r="AK445" s="126"/>
      <c r="AL445" s="126"/>
      <c r="AM445" s="126"/>
      <c r="AN445" s="126"/>
      <c r="AO445" s="126"/>
    </row>
    <row r="446">
      <c r="A446" s="158"/>
      <c r="B446" s="158"/>
      <c r="C446" s="158"/>
      <c r="D446" s="158"/>
      <c r="E446" s="158"/>
      <c r="F446" s="158"/>
      <c r="G446" s="158"/>
      <c r="H446" s="158"/>
      <c r="I446" s="145"/>
      <c r="J446" s="158"/>
      <c r="K446" s="158"/>
      <c r="L446" s="126"/>
      <c r="M446" s="126"/>
      <c r="N446" s="126"/>
      <c r="O446" s="126"/>
      <c r="P446" s="126"/>
      <c r="Q446" s="126"/>
      <c r="R446" s="126"/>
      <c r="S446" s="126"/>
      <c r="T446" s="126"/>
      <c r="U446" s="126"/>
      <c r="V446" s="126"/>
      <c r="W446" s="126"/>
      <c r="X446" s="126"/>
      <c r="Y446" s="126"/>
      <c r="Z446" s="126"/>
      <c r="AA446" s="126"/>
      <c r="AB446" s="126"/>
      <c r="AC446" s="126"/>
      <c r="AD446" s="126"/>
      <c r="AE446" s="126"/>
      <c r="AF446" s="126"/>
      <c r="AG446" s="126"/>
      <c r="AH446" s="126"/>
      <c r="AI446" s="126"/>
      <c r="AJ446" s="126"/>
      <c r="AK446" s="126"/>
      <c r="AL446" s="126"/>
      <c r="AM446" s="126"/>
      <c r="AN446" s="126"/>
      <c r="AO446" s="126"/>
    </row>
    <row r="447">
      <c r="A447" s="158"/>
      <c r="B447" s="158"/>
      <c r="C447" s="158"/>
      <c r="D447" s="158"/>
      <c r="E447" s="158"/>
      <c r="F447" s="158"/>
      <c r="G447" s="158"/>
      <c r="H447" s="158"/>
      <c r="I447" s="145"/>
      <c r="J447" s="158"/>
      <c r="K447" s="158"/>
      <c r="L447" s="126"/>
      <c r="M447" s="126"/>
      <c r="N447" s="126"/>
      <c r="O447" s="126"/>
      <c r="P447" s="126"/>
      <c r="Q447" s="126"/>
      <c r="R447" s="126"/>
      <c r="S447" s="126"/>
      <c r="T447" s="126"/>
      <c r="U447" s="126"/>
      <c r="V447" s="126"/>
      <c r="W447" s="126"/>
      <c r="X447" s="126"/>
      <c r="Y447" s="126"/>
      <c r="Z447" s="126"/>
      <c r="AA447" s="126"/>
      <c r="AB447" s="126"/>
      <c r="AC447" s="126"/>
      <c r="AD447" s="126"/>
      <c r="AE447" s="126"/>
      <c r="AF447" s="126"/>
      <c r="AG447" s="126"/>
      <c r="AH447" s="126"/>
      <c r="AI447" s="126"/>
      <c r="AJ447" s="126"/>
      <c r="AK447" s="126"/>
      <c r="AL447" s="126"/>
      <c r="AM447" s="126"/>
      <c r="AN447" s="126"/>
      <c r="AO447" s="126"/>
    </row>
    <row r="448">
      <c r="A448" s="158"/>
      <c r="B448" s="158"/>
      <c r="C448" s="158"/>
      <c r="D448" s="158"/>
      <c r="E448" s="158"/>
      <c r="F448" s="158"/>
      <c r="G448" s="158"/>
      <c r="H448" s="158"/>
      <c r="I448" s="145"/>
      <c r="J448" s="158"/>
      <c r="K448" s="158"/>
      <c r="L448" s="126"/>
      <c r="M448" s="126"/>
      <c r="N448" s="126"/>
      <c r="O448" s="126"/>
      <c r="P448" s="126"/>
      <c r="Q448" s="126"/>
      <c r="R448" s="126"/>
      <c r="S448" s="126"/>
      <c r="T448" s="126"/>
      <c r="U448" s="126"/>
      <c r="V448" s="126"/>
      <c r="W448" s="126"/>
      <c r="X448" s="126"/>
      <c r="Y448" s="126"/>
      <c r="Z448" s="126"/>
      <c r="AA448" s="126"/>
      <c r="AB448" s="126"/>
      <c r="AC448" s="126"/>
      <c r="AD448" s="126"/>
      <c r="AE448" s="126"/>
      <c r="AF448" s="126"/>
      <c r="AG448" s="126"/>
      <c r="AH448" s="126"/>
      <c r="AI448" s="126"/>
      <c r="AJ448" s="126"/>
      <c r="AK448" s="126"/>
      <c r="AL448" s="126"/>
      <c r="AM448" s="126"/>
      <c r="AN448" s="126"/>
      <c r="AO448" s="126"/>
    </row>
    <row r="449">
      <c r="A449" s="158"/>
      <c r="B449" s="158"/>
      <c r="C449" s="158"/>
      <c r="D449" s="158"/>
      <c r="E449" s="158"/>
      <c r="F449" s="158"/>
      <c r="G449" s="158"/>
      <c r="H449" s="158"/>
      <c r="I449" s="145"/>
      <c r="J449" s="158"/>
      <c r="K449" s="158"/>
      <c r="L449" s="126"/>
      <c r="M449" s="126"/>
      <c r="N449" s="126"/>
      <c r="O449" s="126"/>
      <c r="P449" s="126"/>
      <c r="Q449" s="126"/>
      <c r="R449" s="126"/>
      <c r="S449" s="126"/>
      <c r="T449" s="126"/>
      <c r="U449" s="126"/>
      <c r="V449" s="126"/>
      <c r="W449" s="126"/>
      <c r="X449" s="126"/>
      <c r="Y449" s="126"/>
      <c r="Z449" s="126"/>
      <c r="AA449" s="126"/>
      <c r="AB449" s="126"/>
      <c r="AC449" s="126"/>
      <c r="AD449" s="126"/>
      <c r="AE449" s="126"/>
      <c r="AF449" s="126"/>
      <c r="AG449" s="126"/>
      <c r="AH449" s="126"/>
      <c r="AI449" s="126"/>
      <c r="AJ449" s="126"/>
      <c r="AK449" s="126"/>
      <c r="AL449" s="126"/>
      <c r="AM449" s="126"/>
      <c r="AN449" s="126"/>
      <c r="AO449" s="126"/>
    </row>
    <row r="450">
      <c r="A450" s="158"/>
      <c r="B450" s="158"/>
      <c r="C450" s="158"/>
      <c r="D450" s="158"/>
      <c r="E450" s="158"/>
      <c r="F450" s="158"/>
      <c r="G450" s="158"/>
      <c r="H450" s="158"/>
      <c r="I450" s="145"/>
      <c r="J450" s="158"/>
      <c r="K450" s="158"/>
      <c r="L450" s="126"/>
      <c r="M450" s="126"/>
      <c r="N450" s="126"/>
      <c r="O450" s="126"/>
      <c r="P450" s="126"/>
      <c r="Q450" s="126"/>
      <c r="R450" s="126"/>
      <c r="S450" s="126"/>
      <c r="T450" s="126"/>
      <c r="U450" s="126"/>
      <c r="V450" s="126"/>
      <c r="W450" s="126"/>
      <c r="X450" s="126"/>
      <c r="Y450" s="126"/>
      <c r="Z450" s="126"/>
      <c r="AA450" s="126"/>
      <c r="AB450" s="126"/>
      <c r="AC450" s="126"/>
      <c r="AD450" s="126"/>
      <c r="AE450" s="126"/>
      <c r="AF450" s="126"/>
      <c r="AG450" s="126"/>
      <c r="AH450" s="126"/>
      <c r="AI450" s="126"/>
      <c r="AJ450" s="126"/>
      <c r="AK450" s="126"/>
      <c r="AL450" s="126"/>
      <c r="AM450" s="126"/>
      <c r="AN450" s="126"/>
      <c r="AO450" s="126"/>
    </row>
    <row r="451">
      <c r="A451" s="158"/>
      <c r="B451" s="158"/>
      <c r="C451" s="158"/>
      <c r="D451" s="158"/>
      <c r="E451" s="158"/>
      <c r="F451" s="158"/>
      <c r="G451" s="158"/>
      <c r="H451" s="158"/>
      <c r="I451" s="145"/>
      <c r="J451" s="158"/>
      <c r="K451" s="158"/>
      <c r="L451" s="126"/>
      <c r="M451" s="126"/>
      <c r="N451" s="126"/>
      <c r="O451" s="126"/>
      <c r="P451" s="126"/>
      <c r="Q451" s="126"/>
      <c r="R451" s="126"/>
      <c r="S451" s="126"/>
      <c r="T451" s="126"/>
      <c r="U451" s="126"/>
      <c r="V451" s="126"/>
      <c r="W451" s="126"/>
      <c r="X451" s="126"/>
      <c r="Y451" s="126"/>
      <c r="Z451" s="126"/>
      <c r="AA451" s="126"/>
      <c r="AB451" s="126"/>
      <c r="AC451" s="126"/>
      <c r="AD451" s="126"/>
      <c r="AE451" s="126"/>
      <c r="AF451" s="126"/>
      <c r="AG451" s="126"/>
      <c r="AH451" s="126"/>
      <c r="AI451" s="126"/>
      <c r="AJ451" s="126"/>
      <c r="AK451" s="126"/>
      <c r="AL451" s="126"/>
      <c r="AM451" s="126"/>
      <c r="AN451" s="126"/>
      <c r="AO451" s="126"/>
    </row>
    <row r="452">
      <c r="A452" s="158"/>
      <c r="B452" s="158"/>
      <c r="C452" s="158"/>
      <c r="D452" s="158"/>
      <c r="E452" s="158"/>
      <c r="F452" s="158"/>
      <c r="G452" s="158"/>
      <c r="H452" s="158"/>
      <c r="I452" s="145"/>
      <c r="J452" s="158"/>
      <c r="K452" s="158"/>
      <c r="L452" s="126"/>
      <c r="M452" s="126"/>
      <c r="N452" s="126"/>
      <c r="O452" s="126"/>
      <c r="P452" s="126"/>
      <c r="Q452" s="126"/>
      <c r="R452" s="126"/>
      <c r="S452" s="126"/>
      <c r="T452" s="126"/>
      <c r="U452" s="126"/>
      <c r="V452" s="126"/>
      <c r="W452" s="126"/>
      <c r="X452" s="126"/>
      <c r="Y452" s="126"/>
      <c r="Z452" s="126"/>
      <c r="AA452" s="126"/>
      <c r="AB452" s="126"/>
      <c r="AC452" s="126"/>
      <c r="AD452" s="126"/>
      <c r="AE452" s="126"/>
      <c r="AF452" s="126"/>
      <c r="AG452" s="126"/>
      <c r="AH452" s="126"/>
      <c r="AI452" s="126"/>
      <c r="AJ452" s="126"/>
      <c r="AK452" s="126"/>
      <c r="AL452" s="126"/>
      <c r="AM452" s="126"/>
      <c r="AN452" s="126"/>
      <c r="AO452" s="126"/>
    </row>
    <row r="453">
      <c r="A453" s="158"/>
      <c r="B453" s="158"/>
      <c r="C453" s="158"/>
      <c r="D453" s="158"/>
      <c r="E453" s="158"/>
      <c r="F453" s="158"/>
      <c r="G453" s="158"/>
      <c r="H453" s="158"/>
      <c r="I453" s="145"/>
      <c r="J453" s="158"/>
      <c r="K453" s="158"/>
      <c r="L453" s="126"/>
      <c r="M453" s="126"/>
      <c r="N453" s="126"/>
      <c r="O453" s="126"/>
      <c r="P453" s="126"/>
      <c r="Q453" s="126"/>
      <c r="R453" s="126"/>
      <c r="S453" s="126"/>
      <c r="T453" s="126"/>
      <c r="U453" s="126"/>
      <c r="V453" s="126"/>
      <c r="W453" s="126"/>
      <c r="X453" s="126"/>
      <c r="Y453" s="126"/>
      <c r="Z453" s="126"/>
      <c r="AA453" s="126"/>
      <c r="AB453" s="126"/>
      <c r="AC453" s="126"/>
      <c r="AD453" s="126"/>
      <c r="AE453" s="126"/>
      <c r="AF453" s="126"/>
      <c r="AG453" s="126"/>
      <c r="AH453" s="126"/>
      <c r="AI453" s="126"/>
      <c r="AJ453" s="126"/>
      <c r="AK453" s="126"/>
      <c r="AL453" s="126"/>
      <c r="AM453" s="126"/>
      <c r="AN453" s="126"/>
      <c r="AO453" s="126"/>
    </row>
    <row r="454">
      <c r="A454" s="158"/>
      <c r="B454" s="158"/>
      <c r="C454" s="158"/>
      <c r="D454" s="158"/>
      <c r="E454" s="158"/>
      <c r="F454" s="158"/>
      <c r="G454" s="158"/>
      <c r="H454" s="158"/>
      <c r="I454" s="145"/>
      <c r="J454" s="158"/>
      <c r="K454" s="158"/>
      <c r="L454" s="126"/>
      <c r="M454" s="126"/>
      <c r="N454" s="126"/>
      <c r="O454" s="126"/>
      <c r="P454" s="126"/>
      <c r="Q454" s="126"/>
      <c r="R454" s="126"/>
      <c r="S454" s="126"/>
      <c r="T454" s="126"/>
      <c r="U454" s="126"/>
      <c r="V454" s="126"/>
      <c r="W454" s="126"/>
      <c r="X454" s="126"/>
      <c r="Y454" s="126"/>
      <c r="Z454" s="126"/>
      <c r="AA454" s="126"/>
      <c r="AB454" s="126"/>
      <c r="AC454" s="126"/>
      <c r="AD454" s="126"/>
      <c r="AE454" s="126"/>
      <c r="AF454" s="126"/>
      <c r="AG454" s="126"/>
      <c r="AH454" s="126"/>
      <c r="AI454" s="126"/>
      <c r="AJ454" s="126"/>
      <c r="AK454" s="126"/>
      <c r="AL454" s="126"/>
      <c r="AM454" s="126"/>
      <c r="AN454" s="126"/>
      <c r="AO454" s="126"/>
    </row>
    <row r="455">
      <c r="A455" s="158"/>
      <c r="B455" s="158"/>
      <c r="C455" s="158"/>
      <c r="D455" s="158"/>
      <c r="E455" s="158"/>
      <c r="F455" s="158"/>
      <c r="G455" s="158"/>
      <c r="H455" s="158"/>
      <c r="I455" s="145"/>
      <c r="J455" s="158"/>
      <c r="K455" s="158"/>
      <c r="L455" s="126"/>
      <c r="M455" s="126"/>
      <c r="N455" s="126"/>
      <c r="O455" s="126"/>
      <c r="P455" s="126"/>
      <c r="Q455" s="126"/>
      <c r="R455" s="126"/>
      <c r="S455" s="126"/>
      <c r="T455" s="126"/>
      <c r="U455" s="126"/>
      <c r="V455" s="126"/>
      <c r="W455" s="126"/>
      <c r="X455" s="126"/>
      <c r="Y455" s="126"/>
      <c r="Z455" s="126"/>
      <c r="AA455" s="126"/>
      <c r="AB455" s="126"/>
      <c r="AC455" s="126"/>
      <c r="AD455" s="126"/>
      <c r="AE455" s="126"/>
      <c r="AF455" s="126"/>
      <c r="AG455" s="126"/>
      <c r="AH455" s="126"/>
      <c r="AI455" s="126"/>
      <c r="AJ455" s="126"/>
      <c r="AK455" s="126"/>
      <c r="AL455" s="126"/>
      <c r="AM455" s="126"/>
      <c r="AN455" s="126"/>
      <c r="AO455" s="126"/>
    </row>
    <row r="456">
      <c r="A456" s="158"/>
      <c r="B456" s="158"/>
      <c r="C456" s="158"/>
      <c r="D456" s="158"/>
      <c r="E456" s="158"/>
      <c r="F456" s="158"/>
      <c r="G456" s="158"/>
      <c r="H456" s="158"/>
      <c r="I456" s="145"/>
      <c r="J456" s="158"/>
      <c r="K456" s="158"/>
      <c r="L456" s="126"/>
      <c r="M456" s="126"/>
      <c r="N456" s="126"/>
      <c r="O456" s="126"/>
      <c r="P456" s="126"/>
      <c r="Q456" s="126"/>
      <c r="R456" s="126"/>
      <c r="S456" s="126"/>
      <c r="T456" s="126"/>
      <c r="U456" s="126"/>
      <c r="V456" s="126"/>
      <c r="W456" s="126"/>
      <c r="X456" s="126"/>
      <c r="Y456" s="126"/>
      <c r="Z456" s="126"/>
      <c r="AA456" s="126"/>
      <c r="AB456" s="126"/>
      <c r="AC456" s="126"/>
      <c r="AD456" s="126"/>
      <c r="AE456" s="126"/>
      <c r="AF456" s="126"/>
      <c r="AG456" s="126"/>
      <c r="AH456" s="126"/>
      <c r="AI456" s="126"/>
      <c r="AJ456" s="126"/>
      <c r="AK456" s="126"/>
      <c r="AL456" s="126"/>
      <c r="AM456" s="126"/>
      <c r="AN456" s="126"/>
      <c r="AO456" s="126"/>
    </row>
    <row r="457">
      <c r="A457" s="158"/>
      <c r="B457" s="158"/>
      <c r="C457" s="158"/>
      <c r="D457" s="158"/>
      <c r="E457" s="158"/>
      <c r="F457" s="158"/>
      <c r="G457" s="158"/>
      <c r="H457" s="158"/>
      <c r="I457" s="145"/>
      <c r="J457" s="158"/>
      <c r="K457" s="158"/>
      <c r="L457" s="126"/>
      <c r="M457" s="126"/>
      <c r="N457" s="126"/>
      <c r="O457" s="126"/>
      <c r="P457" s="126"/>
      <c r="Q457" s="126"/>
      <c r="R457" s="126"/>
      <c r="S457" s="126"/>
      <c r="T457" s="126"/>
      <c r="U457" s="126"/>
      <c r="V457" s="126"/>
      <c r="W457" s="126"/>
      <c r="X457" s="126"/>
      <c r="Y457" s="126"/>
      <c r="Z457" s="126"/>
      <c r="AA457" s="126"/>
      <c r="AB457" s="126"/>
      <c r="AC457" s="126"/>
      <c r="AD457" s="126"/>
      <c r="AE457" s="126"/>
      <c r="AF457" s="126"/>
      <c r="AG457" s="126"/>
      <c r="AH457" s="126"/>
      <c r="AI457" s="126"/>
      <c r="AJ457" s="126"/>
      <c r="AK457" s="126"/>
      <c r="AL457" s="126"/>
      <c r="AM457" s="126"/>
      <c r="AN457" s="126"/>
      <c r="AO457" s="126"/>
    </row>
    <row r="458">
      <c r="A458" s="158"/>
      <c r="B458" s="158"/>
      <c r="C458" s="158"/>
      <c r="D458" s="158"/>
      <c r="E458" s="158"/>
      <c r="F458" s="158"/>
      <c r="G458" s="158"/>
      <c r="H458" s="158"/>
      <c r="I458" s="145"/>
      <c r="J458" s="158"/>
      <c r="K458" s="158"/>
      <c r="L458" s="126"/>
      <c r="M458" s="126"/>
      <c r="N458" s="126"/>
      <c r="O458" s="126"/>
      <c r="P458" s="126"/>
      <c r="Q458" s="126"/>
      <c r="R458" s="126"/>
      <c r="S458" s="126"/>
      <c r="T458" s="126"/>
      <c r="U458" s="126"/>
      <c r="V458" s="126"/>
      <c r="W458" s="126"/>
      <c r="X458" s="126"/>
      <c r="Y458" s="126"/>
      <c r="Z458" s="126"/>
      <c r="AA458" s="126"/>
      <c r="AB458" s="126"/>
      <c r="AC458" s="126"/>
      <c r="AD458" s="126"/>
      <c r="AE458" s="126"/>
      <c r="AF458" s="126"/>
      <c r="AG458" s="126"/>
      <c r="AH458" s="126"/>
      <c r="AI458" s="126"/>
      <c r="AJ458" s="126"/>
      <c r="AK458" s="126"/>
      <c r="AL458" s="126"/>
      <c r="AM458" s="126"/>
      <c r="AN458" s="126"/>
      <c r="AO458" s="126"/>
    </row>
    <row r="459">
      <c r="A459" s="158"/>
      <c r="B459" s="158"/>
      <c r="C459" s="158"/>
      <c r="D459" s="158"/>
      <c r="E459" s="158"/>
      <c r="F459" s="158"/>
      <c r="G459" s="158"/>
      <c r="H459" s="158"/>
      <c r="I459" s="145"/>
      <c r="J459" s="158"/>
      <c r="K459" s="158"/>
      <c r="L459" s="126"/>
      <c r="M459" s="126"/>
      <c r="N459" s="126"/>
      <c r="O459" s="126"/>
      <c r="P459" s="126"/>
      <c r="Q459" s="126"/>
      <c r="R459" s="126"/>
      <c r="S459" s="126"/>
      <c r="T459" s="126"/>
      <c r="U459" s="126"/>
      <c r="V459" s="126"/>
      <c r="W459" s="126"/>
      <c r="X459" s="126"/>
      <c r="Y459" s="126"/>
      <c r="Z459" s="126"/>
      <c r="AA459" s="126"/>
      <c r="AB459" s="126"/>
      <c r="AC459" s="126"/>
      <c r="AD459" s="126"/>
      <c r="AE459" s="126"/>
      <c r="AF459" s="126"/>
      <c r="AG459" s="126"/>
      <c r="AH459" s="126"/>
      <c r="AI459" s="126"/>
      <c r="AJ459" s="126"/>
      <c r="AK459" s="126"/>
      <c r="AL459" s="126"/>
      <c r="AM459" s="126"/>
      <c r="AN459" s="126"/>
      <c r="AO459" s="126"/>
    </row>
    <row r="460">
      <c r="A460" s="158"/>
      <c r="B460" s="158"/>
      <c r="C460" s="158"/>
      <c r="D460" s="158"/>
      <c r="E460" s="158"/>
      <c r="F460" s="158"/>
      <c r="G460" s="158"/>
      <c r="H460" s="158"/>
      <c r="I460" s="145"/>
      <c r="J460" s="158"/>
      <c r="K460" s="158"/>
      <c r="L460" s="126"/>
      <c r="M460" s="126"/>
      <c r="N460" s="126"/>
      <c r="O460" s="126"/>
      <c r="P460" s="126"/>
      <c r="Q460" s="126"/>
      <c r="R460" s="126"/>
      <c r="S460" s="126"/>
      <c r="T460" s="126"/>
      <c r="U460" s="126"/>
      <c r="V460" s="126"/>
      <c r="W460" s="126"/>
      <c r="X460" s="126"/>
      <c r="Y460" s="126"/>
      <c r="Z460" s="126"/>
      <c r="AA460" s="126"/>
      <c r="AB460" s="126"/>
      <c r="AC460" s="126"/>
      <c r="AD460" s="126"/>
      <c r="AE460" s="126"/>
      <c r="AF460" s="126"/>
      <c r="AG460" s="126"/>
      <c r="AH460" s="126"/>
      <c r="AI460" s="126"/>
      <c r="AJ460" s="126"/>
      <c r="AK460" s="126"/>
      <c r="AL460" s="126"/>
      <c r="AM460" s="126"/>
      <c r="AN460" s="126"/>
      <c r="AO460" s="126"/>
    </row>
    <row r="461">
      <c r="A461" s="158"/>
      <c r="B461" s="158"/>
      <c r="C461" s="158"/>
      <c r="D461" s="158"/>
      <c r="E461" s="158"/>
      <c r="F461" s="158"/>
      <c r="G461" s="158"/>
      <c r="H461" s="158"/>
      <c r="I461" s="145"/>
      <c r="J461" s="158"/>
      <c r="K461" s="158"/>
      <c r="L461" s="126"/>
      <c r="M461" s="126"/>
      <c r="N461" s="126"/>
      <c r="O461" s="126"/>
      <c r="P461" s="126"/>
      <c r="Q461" s="126"/>
      <c r="R461" s="126"/>
      <c r="S461" s="126"/>
      <c r="T461" s="126"/>
      <c r="U461" s="126"/>
      <c r="V461" s="126"/>
      <c r="W461" s="126"/>
      <c r="X461" s="126"/>
      <c r="Y461" s="126"/>
      <c r="Z461" s="126"/>
      <c r="AA461" s="126"/>
      <c r="AB461" s="126"/>
      <c r="AC461" s="126"/>
      <c r="AD461" s="126"/>
      <c r="AE461" s="126"/>
      <c r="AF461" s="126"/>
      <c r="AG461" s="126"/>
      <c r="AH461" s="126"/>
      <c r="AI461" s="126"/>
      <c r="AJ461" s="126"/>
      <c r="AK461" s="126"/>
      <c r="AL461" s="126"/>
      <c r="AM461" s="126"/>
      <c r="AN461" s="126"/>
      <c r="AO461" s="126"/>
    </row>
    <row r="462">
      <c r="A462" s="158"/>
      <c r="B462" s="158"/>
      <c r="C462" s="158"/>
      <c r="D462" s="158"/>
      <c r="E462" s="158"/>
      <c r="F462" s="158"/>
      <c r="G462" s="158"/>
      <c r="H462" s="158"/>
      <c r="I462" s="145"/>
      <c r="J462" s="158"/>
      <c r="K462" s="158"/>
      <c r="L462" s="126"/>
      <c r="M462" s="126"/>
      <c r="N462" s="126"/>
      <c r="O462" s="126"/>
      <c r="P462" s="126"/>
      <c r="Q462" s="126"/>
      <c r="R462" s="126"/>
      <c r="S462" s="126"/>
      <c r="T462" s="126"/>
      <c r="U462" s="126"/>
      <c r="V462" s="126"/>
      <c r="W462" s="126"/>
      <c r="X462" s="126"/>
      <c r="Y462" s="126"/>
      <c r="Z462" s="126"/>
      <c r="AA462" s="126"/>
      <c r="AB462" s="126"/>
      <c r="AC462" s="126"/>
      <c r="AD462" s="126"/>
      <c r="AE462" s="126"/>
      <c r="AF462" s="126"/>
      <c r="AG462" s="126"/>
      <c r="AH462" s="126"/>
      <c r="AI462" s="126"/>
      <c r="AJ462" s="126"/>
      <c r="AK462" s="126"/>
      <c r="AL462" s="126"/>
      <c r="AM462" s="126"/>
      <c r="AN462" s="126"/>
      <c r="AO462" s="126"/>
    </row>
    <row r="463">
      <c r="A463" s="158"/>
      <c r="B463" s="158"/>
      <c r="C463" s="158"/>
      <c r="D463" s="158"/>
      <c r="E463" s="158"/>
      <c r="F463" s="158"/>
      <c r="G463" s="158"/>
      <c r="H463" s="158"/>
      <c r="I463" s="145"/>
      <c r="J463" s="158"/>
      <c r="K463" s="158"/>
      <c r="L463" s="126"/>
      <c r="M463" s="126"/>
      <c r="N463" s="126"/>
      <c r="O463" s="126"/>
      <c r="P463" s="126"/>
      <c r="Q463" s="126"/>
      <c r="R463" s="126"/>
      <c r="S463" s="126"/>
      <c r="T463" s="126"/>
      <c r="U463" s="126"/>
      <c r="V463" s="126"/>
      <c r="W463" s="126"/>
      <c r="X463" s="126"/>
      <c r="Y463" s="126"/>
      <c r="Z463" s="126"/>
      <c r="AA463" s="126"/>
      <c r="AB463" s="126"/>
      <c r="AC463" s="126"/>
      <c r="AD463" s="126"/>
      <c r="AE463" s="126"/>
      <c r="AF463" s="126"/>
      <c r="AG463" s="126"/>
      <c r="AH463" s="126"/>
      <c r="AI463" s="126"/>
      <c r="AJ463" s="126"/>
      <c r="AK463" s="126"/>
      <c r="AL463" s="126"/>
      <c r="AM463" s="126"/>
      <c r="AN463" s="126"/>
      <c r="AO463" s="126"/>
    </row>
    <row r="464">
      <c r="A464" s="158"/>
      <c r="B464" s="158"/>
      <c r="C464" s="158"/>
      <c r="D464" s="158"/>
      <c r="E464" s="158"/>
      <c r="F464" s="158"/>
      <c r="G464" s="158"/>
      <c r="H464" s="158"/>
      <c r="I464" s="145"/>
      <c r="J464" s="158"/>
      <c r="K464" s="158"/>
      <c r="L464" s="126"/>
      <c r="M464" s="126"/>
      <c r="N464" s="126"/>
      <c r="O464" s="126"/>
      <c r="P464" s="126"/>
      <c r="Q464" s="126"/>
      <c r="R464" s="126"/>
      <c r="S464" s="126"/>
      <c r="T464" s="126"/>
      <c r="U464" s="126"/>
      <c r="V464" s="126"/>
      <c r="W464" s="126"/>
      <c r="X464" s="126"/>
      <c r="Y464" s="126"/>
      <c r="Z464" s="126"/>
      <c r="AA464" s="126"/>
      <c r="AB464" s="126"/>
      <c r="AC464" s="126"/>
      <c r="AD464" s="126"/>
      <c r="AE464" s="126"/>
      <c r="AF464" s="126"/>
      <c r="AG464" s="126"/>
      <c r="AH464" s="126"/>
      <c r="AI464" s="126"/>
      <c r="AJ464" s="126"/>
      <c r="AK464" s="126"/>
      <c r="AL464" s="126"/>
      <c r="AM464" s="126"/>
      <c r="AN464" s="126"/>
      <c r="AO464" s="126"/>
    </row>
    <row r="465">
      <c r="A465" s="158"/>
      <c r="B465" s="158"/>
      <c r="C465" s="158"/>
      <c r="D465" s="158"/>
      <c r="E465" s="158"/>
      <c r="F465" s="158"/>
      <c r="G465" s="158"/>
      <c r="H465" s="158"/>
      <c r="I465" s="145"/>
      <c r="J465" s="158"/>
      <c r="K465" s="158"/>
      <c r="L465" s="126"/>
      <c r="M465" s="126"/>
      <c r="N465" s="126"/>
      <c r="O465" s="126"/>
      <c r="P465" s="126"/>
      <c r="Q465" s="126"/>
      <c r="R465" s="126"/>
      <c r="S465" s="126"/>
      <c r="T465" s="126"/>
      <c r="U465" s="126"/>
      <c r="V465" s="126"/>
      <c r="W465" s="126"/>
      <c r="X465" s="126"/>
      <c r="Y465" s="126"/>
      <c r="Z465" s="126"/>
      <c r="AA465" s="126"/>
      <c r="AB465" s="126"/>
      <c r="AC465" s="126"/>
      <c r="AD465" s="126"/>
      <c r="AE465" s="126"/>
      <c r="AF465" s="126"/>
      <c r="AG465" s="126"/>
      <c r="AH465" s="126"/>
      <c r="AI465" s="126"/>
      <c r="AJ465" s="126"/>
      <c r="AK465" s="126"/>
      <c r="AL465" s="126"/>
      <c r="AM465" s="126"/>
      <c r="AN465" s="126"/>
      <c r="AO465" s="126"/>
    </row>
    <row r="466">
      <c r="A466" s="158"/>
      <c r="B466" s="158"/>
      <c r="C466" s="158"/>
      <c r="D466" s="158"/>
      <c r="E466" s="158"/>
      <c r="F466" s="158"/>
      <c r="G466" s="158"/>
      <c r="H466" s="158"/>
      <c r="I466" s="145"/>
      <c r="J466" s="158"/>
      <c r="K466" s="158"/>
      <c r="L466" s="126"/>
      <c r="M466" s="126"/>
      <c r="N466" s="126"/>
      <c r="O466" s="126"/>
      <c r="P466" s="126"/>
      <c r="Q466" s="126"/>
      <c r="R466" s="126"/>
      <c r="S466" s="126"/>
      <c r="T466" s="126"/>
      <c r="U466" s="126"/>
      <c r="V466" s="126"/>
      <c r="W466" s="126"/>
      <c r="X466" s="126"/>
      <c r="Y466" s="126"/>
      <c r="Z466" s="126"/>
      <c r="AA466" s="126"/>
      <c r="AB466" s="126"/>
      <c r="AC466" s="126"/>
      <c r="AD466" s="126"/>
      <c r="AE466" s="126"/>
      <c r="AF466" s="126"/>
      <c r="AG466" s="126"/>
      <c r="AH466" s="126"/>
      <c r="AI466" s="126"/>
      <c r="AJ466" s="126"/>
      <c r="AK466" s="126"/>
      <c r="AL466" s="126"/>
      <c r="AM466" s="126"/>
      <c r="AN466" s="126"/>
      <c r="AO466" s="126"/>
    </row>
    <row r="467">
      <c r="A467" s="158"/>
      <c r="B467" s="158"/>
      <c r="C467" s="158"/>
      <c r="D467" s="158"/>
      <c r="E467" s="158"/>
      <c r="F467" s="158"/>
      <c r="G467" s="158"/>
      <c r="H467" s="158"/>
      <c r="I467" s="145"/>
      <c r="J467" s="158"/>
      <c r="K467" s="158"/>
      <c r="L467" s="126"/>
      <c r="M467" s="126"/>
      <c r="N467" s="126"/>
      <c r="O467" s="126"/>
      <c r="P467" s="126"/>
      <c r="Q467" s="126"/>
      <c r="R467" s="126"/>
      <c r="S467" s="126"/>
      <c r="T467" s="126"/>
      <c r="U467" s="126"/>
      <c r="V467" s="126"/>
      <c r="W467" s="126"/>
      <c r="X467" s="126"/>
      <c r="Y467" s="126"/>
      <c r="Z467" s="126"/>
      <c r="AA467" s="126"/>
      <c r="AB467" s="126"/>
      <c r="AC467" s="126"/>
      <c r="AD467" s="126"/>
      <c r="AE467" s="126"/>
      <c r="AF467" s="126"/>
      <c r="AG467" s="126"/>
      <c r="AH467" s="126"/>
      <c r="AI467" s="126"/>
      <c r="AJ467" s="126"/>
      <c r="AK467" s="126"/>
      <c r="AL467" s="126"/>
      <c r="AM467" s="126"/>
      <c r="AN467" s="126"/>
      <c r="AO467" s="126"/>
    </row>
    <row r="468">
      <c r="A468" s="158"/>
      <c r="B468" s="158"/>
      <c r="C468" s="158"/>
      <c r="D468" s="158"/>
      <c r="E468" s="158"/>
      <c r="F468" s="158"/>
      <c r="G468" s="158"/>
      <c r="H468" s="158"/>
      <c r="I468" s="145"/>
      <c r="J468" s="158"/>
      <c r="K468" s="158"/>
      <c r="L468" s="126"/>
      <c r="M468" s="126"/>
      <c r="N468" s="126"/>
      <c r="O468" s="126"/>
      <c r="P468" s="126"/>
      <c r="Q468" s="126"/>
      <c r="R468" s="126"/>
      <c r="S468" s="126"/>
      <c r="T468" s="126"/>
      <c r="U468" s="126"/>
      <c r="V468" s="126"/>
      <c r="W468" s="126"/>
      <c r="X468" s="126"/>
      <c r="Y468" s="126"/>
      <c r="Z468" s="126"/>
      <c r="AA468" s="126"/>
      <c r="AB468" s="126"/>
      <c r="AC468" s="126"/>
      <c r="AD468" s="126"/>
      <c r="AE468" s="126"/>
      <c r="AF468" s="126"/>
      <c r="AG468" s="126"/>
      <c r="AH468" s="126"/>
      <c r="AI468" s="126"/>
      <c r="AJ468" s="126"/>
      <c r="AK468" s="126"/>
      <c r="AL468" s="126"/>
      <c r="AM468" s="126"/>
      <c r="AN468" s="126"/>
      <c r="AO468" s="126"/>
    </row>
    <row r="469">
      <c r="A469" s="158"/>
      <c r="B469" s="158"/>
      <c r="C469" s="158"/>
      <c r="D469" s="158"/>
      <c r="E469" s="158"/>
      <c r="F469" s="158"/>
      <c r="G469" s="158"/>
      <c r="H469" s="158"/>
      <c r="I469" s="145"/>
      <c r="J469" s="158"/>
      <c r="K469" s="158"/>
      <c r="L469" s="126"/>
      <c r="M469" s="126"/>
      <c r="N469" s="126"/>
      <c r="O469" s="126"/>
      <c r="P469" s="126"/>
      <c r="Q469" s="126"/>
      <c r="R469" s="126"/>
      <c r="S469" s="126"/>
      <c r="T469" s="126"/>
      <c r="U469" s="126"/>
      <c r="V469" s="126"/>
      <c r="W469" s="126"/>
      <c r="X469" s="126"/>
      <c r="Y469" s="126"/>
      <c r="Z469" s="126"/>
      <c r="AA469" s="126"/>
      <c r="AB469" s="126"/>
      <c r="AC469" s="126"/>
      <c r="AD469" s="126"/>
      <c r="AE469" s="126"/>
      <c r="AF469" s="126"/>
      <c r="AG469" s="126"/>
      <c r="AH469" s="126"/>
      <c r="AI469" s="126"/>
      <c r="AJ469" s="126"/>
      <c r="AK469" s="126"/>
      <c r="AL469" s="126"/>
      <c r="AM469" s="126"/>
      <c r="AN469" s="126"/>
      <c r="AO469" s="126"/>
    </row>
    <row r="470">
      <c r="A470" s="158"/>
      <c r="B470" s="158"/>
      <c r="C470" s="158"/>
      <c r="D470" s="158"/>
      <c r="E470" s="158"/>
      <c r="F470" s="158"/>
      <c r="G470" s="158"/>
      <c r="H470" s="158"/>
      <c r="I470" s="145"/>
      <c r="J470" s="158"/>
      <c r="K470" s="158"/>
      <c r="L470" s="126"/>
      <c r="M470" s="126"/>
      <c r="N470" s="126"/>
      <c r="O470" s="126"/>
      <c r="P470" s="126"/>
      <c r="Q470" s="126"/>
      <c r="R470" s="126"/>
      <c r="S470" s="126"/>
      <c r="T470" s="126"/>
      <c r="U470" s="126"/>
      <c r="V470" s="126"/>
      <c r="W470" s="126"/>
      <c r="X470" s="126"/>
      <c r="Y470" s="126"/>
      <c r="Z470" s="126"/>
      <c r="AA470" s="126"/>
      <c r="AB470" s="126"/>
      <c r="AC470" s="126"/>
      <c r="AD470" s="126"/>
      <c r="AE470" s="126"/>
      <c r="AF470" s="126"/>
      <c r="AG470" s="126"/>
      <c r="AH470" s="126"/>
      <c r="AI470" s="126"/>
      <c r="AJ470" s="126"/>
      <c r="AK470" s="126"/>
      <c r="AL470" s="126"/>
      <c r="AM470" s="126"/>
      <c r="AN470" s="126"/>
      <c r="AO470" s="126"/>
    </row>
    <row r="471">
      <c r="A471" s="158"/>
      <c r="B471" s="158"/>
      <c r="C471" s="158"/>
      <c r="D471" s="158"/>
      <c r="E471" s="158"/>
      <c r="F471" s="158"/>
      <c r="G471" s="158"/>
      <c r="H471" s="158"/>
      <c r="I471" s="145"/>
      <c r="J471" s="158"/>
      <c r="K471" s="158"/>
      <c r="L471" s="126"/>
      <c r="M471" s="126"/>
      <c r="N471" s="126"/>
      <c r="O471" s="126"/>
      <c r="P471" s="126"/>
      <c r="Q471" s="126"/>
      <c r="R471" s="126"/>
      <c r="S471" s="126"/>
      <c r="T471" s="126"/>
      <c r="U471" s="126"/>
      <c r="V471" s="126"/>
      <c r="W471" s="126"/>
      <c r="X471" s="126"/>
      <c r="Y471" s="126"/>
      <c r="Z471" s="126"/>
      <c r="AA471" s="126"/>
      <c r="AB471" s="126"/>
      <c r="AC471" s="126"/>
      <c r="AD471" s="126"/>
      <c r="AE471" s="126"/>
      <c r="AF471" s="126"/>
      <c r="AG471" s="126"/>
      <c r="AH471" s="126"/>
      <c r="AI471" s="126"/>
      <c r="AJ471" s="126"/>
      <c r="AK471" s="126"/>
      <c r="AL471" s="126"/>
      <c r="AM471" s="126"/>
      <c r="AN471" s="126"/>
      <c r="AO471" s="126"/>
    </row>
    <row r="472">
      <c r="A472" s="158"/>
      <c r="B472" s="158"/>
      <c r="C472" s="158"/>
      <c r="D472" s="158"/>
      <c r="E472" s="158"/>
      <c r="F472" s="158"/>
      <c r="G472" s="158"/>
      <c r="H472" s="158"/>
      <c r="I472" s="145"/>
      <c r="J472" s="158"/>
      <c r="K472" s="158"/>
      <c r="L472" s="126"/>
      <c r="M472" s="126"/>
      <c r="N472" s="126"/>
      <c r="O472" s="126"/>
      <c r="P472" s="126"/>
      <c r="Q472" s="126"/>
      <c r="R472" s="126"/>
      <c r="S472" s="126"/>
      <c r="T472" s="126"/>
      <c r="U472" s="126"/>
      <c r="V472" s="126"/>
      <c r="W472" s="126"/>
      <c r="X472" s="126"/>
      <c r="Y472" s="126"/>
      <c r="Z472" s="126"/>
      <c r="AA472" s="126"/>
      <c r="AB472" s="126"/>
      <c r="AC472" s="126"/>
      <c r="AD472" s="126"/>
      <c r="AE472" s="126"/>
      <c r="AF472" s="126"/>
      <c r="AG472" s="126"/>
      <c r="AH472" s="126"/>
      <c r="AI472" s="126"/>
      <c r="AJ472" s="126"/>
      <c r="AK472" s="126"/>
      <c r="AL472" s="126"/>
      <c r="AM472" s="126"/>
      <c r="AN472" s="126"/>
      <c r="AO472" s="126"/>
    </row>
    <row r="473">
      <c r="A473" s="158"/>
      <c r="B473" s="158"/>
      <c r="C473" s="158"/>
      <c r="D473" s="158"/>
      <c r="E473" s="158"/>
      <c r="F473" s="158"/>
      <c r="G473" s="158"/>
      <c r="H473" s="158"/>
      <c r="I473" s="145"/>
      <c r="J473" s="158"/>
      <c r="K473" s="158"/>
      <c r="L473" s="126"/>
      <c r="M473" s="126"/>
      <c r="N473" s="126"/>
      <c r="O473" s="126"/>
      <c r="P473" s="126"/>
      <c r="Q473" s="126"/>
      <c r="R473" s="126"/>
      <c r="S473" s="126"/>
      <c r="T473" s="126"/>
      <c r="U473" s="126"/>
      <c r="V473" s="126"/>
      <c r="W473" s="126"/>
      <c r="X473" s="126"/>
      <c r="Y473" s="126"/>
      <c r="Z473" s="126"/>
      <c r="AA473" s="126"/>
      <c r="AB473" s="126"/>
      <c r="AC473" s="126"/>
      <c r="AD473" s="126"/>
      <c r="AE473" s="126"/>
      <c r="AF473" s="126"/>
      <c r="AG473" s="126"/>
      <c r="AH473" s="126"/>
      <c r="AI473" s="126"/>
      <c r="AJ473" s="126"/>
      <c r="AK473" s="126"/>
      <c r="AL473" s="126"/>
      <c r="AM473" s="126"/>
      <c r="AN473" s="126"/>
      <c r="AO473" s="126"/>
    </row>
    <row r="474">
      <c r="A474" s="158"/>
      <c r="B474" s="158"/>
      <c r="C474" s="158"/>
      <c r="D474" s="158"/>
      <c r="E474" s="158"/>
      <c r="F474" s="158"/>
      <c r="G474" s="158"/>
      <c r="H474" s="158"/>
      <c r="I474" s="145"/>
      <c r="J474" s="158"/>
      <c r="K474" s="158"/>
      <c r="L474" s="126"/>
      <c r="M474" s="126"/>
      <c r="N474" s="126"/>
      <c r="O474" s="126"/>
      <c r="P474" s="126"/>
      <c r="Q474" s="126"/>
      <c r="R474" s="126"/>
      <c r="S474" s="126"/>
      <c r="T474" s="126"/>
      <c r="U474" s="126"/>
      <c r="V474" s="126"/>
      <c r="W474" s="126"/>
      <c r="X474" s="126"/>
      <c r="Y474" s="126"/>
      <c r="Z474" s="126"/>
      <c r="AA474" s="126"/>
      <c r="AB474" s="126"/>
      <c r="AC474" s="126"/>
      <c r="AD474" s="126"/>
      <c r="AE474" s="126"/>
      <c r="AF474" s="126"/>
      <c r="AG474" s="126"/>
      <c r="AH474" s="126"/>
      <c r="AI474" s="126"/>
      <c r="AJ474" s="126"/>
      <c r="AK474" s="126"/>
      <c r="AL474" s="126"/>
      <c r="AM474" s="126"/>
      <c r="AN474" s="126"/>
      <c r="AO474" s="126"/>
    </row>
    <row r="475">
      <c r="A475" s="158"/>
      <c r="B475" s="158"/>
      <c r="C475" s="158"/>
      <c r="D475" s="158"/>
      <c r="E475" s="158"/>
      <c r="F475" s="158"/>
      <c r="G475" s="158"/>
      <c r="H475" s="158"/>
      <c r="I475" s="145"/>
      <c r="J475" s="158"/>
      <c r="K475" s="158"/>
      <c r="L475" s="126"/>
      <c r="M475" s="126"/>
      <c r="N475" s="126"/>
      <c r="O475" s="126"/>
      <c r="P475" s="126"/>
      <c r="Q475" s="126"/>
      <c r="R475" s="126"/>
      <c r="S475" s="126"/>
      <c r="T475" s="126"/>
      <c r="U475" s="126"/>
      <c r="V475" s="126"/>
      <c r="W475" s="126"/>
      <c r="X475" s="126"/>
      <c r="Y475" s="126"/>
      <c r="Z475" s="126"/>
      <c r="AA475" s="126"/>
      <c r="AB475" s="126"/>
      <c r="AC475" s="126"/>
      <c r="AD475" s="126"/>
      <c r="AE475" s="126"/>
      <c r="AF475" s="126"/>
      <c r="AG475" s="126"/>
      <c r="AH475" s="126"/>
      <c r="AI475" s="126"/>
      <c r="AJ475" s="126"/>
      <c r="AK475" s="126"/>
      <c r="AL475" s="126"/>
      <c r="AM475" s="126"/>
      <c r="AN475" s="126"/>
      <c r="AO475" s="126"/>
    </row>
    <row r="476">
      <c r="A476" s="158"/>
      <c r="B476" s="158"/>
      <c r="C476" s="158"/>
      <c r="D476" s="158"/>
      <c r="E476" s="158"/>
      <c r="F476" s="158"/>
      <c r="G476" s="158"/>
      <c r="H476" s="158"/>
      <c r="I476" s="145"/>
      <c r="J476" s="158"/>
      <c r="K476" s="158"/>
      <c r="L476" s="126"/>
      <c r="M476" s="126"/>
      <c r="N476" s="126"/>
      <c r="O476" s="126"/>
      <c r="P476" s="126"/>
      <c r="Q476" s="126"/>
      <c r="R476" s="126"/>
      <c r="S476" s="126"/>
      <c r="T476" s="126"/>
      <c r="U476" s="126"/>
      <c r="V476" s="126"/>
      <c r="W476" s="126"/>
      <c r="X476" s="126"/>
      <c r="Y476" s="126"/>
      <c r="Z476" s="126"/>
      <c r="AA476" s="126"/>
      <c r="AB476" s="126"/>
      <c r="AC476" s="126"/>
      <c r="AD476" s="126"/>
      <c r="AE476" s="126"/>
      <c r="AF476" s="126"/>
      <c r="AG476" s="126"/>
      <c r="AH476" s="126"/>
      <c r="AI476" s="126"/>
      <c r="AJ476" s="126"/>
      <c r="AK476" s="126"/>
      <c r="AL476" s="126"/>
      <c r="AM476" s="126"/>
      <c r="AN476" s="126"/>
      <c r="AO476" s="126"/>
    </row>
    <row r="477">
      <c r="A477" s="158"/>
      <c r="B477" s="158"/>
      <c r="C477" s="158"/>
      <c r="D477" s="158"/>
      <c r="E477" s="158"/>
      <c r="F477" s="158"/>
      <c r="G477" s="158"/>
      <c r="H477" s="158"/>
      <c r="I477" s="145"/>
      <c r="J477" s="158"/>
      <c r="K477" s="158"/>
      <c r="L477" s="126"/>
      <c r="M477" s="126"/>
      <c r="N477" s="126"/>
      <c r="O477" s="126"/>
      <c r="P477" s="126"/>
      <c r="Q477" s="126"/>
      <c r="R477" s="126"/>
      <c r="S477" s="126"/>
      <c r="T477" s="126"/>
      <c r="U477" s="126"/>
      <c r="V477" s="126"/>
      <c r="W477" s="126"/>
      <c r="X477" s="126"/>
      <c r="Y477" s="126"/>
      <c r="Z477" s="126"/>
      <c r="AA477" s="126"/>
      <c r="AB477" s="126"/>
      <c r="AC477" s="126"/>
      <c r="AD477" s="126"/>
      <c r="AE477" s="126"/>
      <c r="AF477" s="126"/>
      <c r="AG477" s="126"/>
      <c r="AH477" s="126"/>
      <c r="AI477" s="126"/>
      <c r="AJ477" s="126"/>
      <c r="AK477" s="126"/>
      <c r="AL477" s="126"/>
      <c r="AM477" s="126"/>
      <c r="AN477" s="126"/>
      <c r="AO477" s="126"/>
    </row>
    <row r="478">
      <c r="A478" s="158"/>
      <c r="B478" s="158"/>
      <c r="C478" s="158"/>
      <c r="D478" s="158"/>
      <c r="E478" s="158"/>
      <c r="F478" s="158"/>
      <c r="G478" s="158"/>
      <c r="H478" s="158"/>
      <c r="I478" s="145"/>
      <c r="J478" s="158"/>
      <c r="K478" s="158"/>
      <c r="L478" s="126"/>
      <c r="M478" s="126"/>
      <c r="N478" s="126"/>
      <c r="O478" s="126"/>
      <c r="P478" s="126"/>
      <c r="Q478" s="126"/>
      <c r="R478" s="126"/>
      <c r="S478" s="126"/>
      <c r="T478" s="126"/>
      <c r="U478" s="126"/>
      <c r="V478" s="126"/>
      <c r="W478" s="126"/>
      <c r="X478" s="126"/>
      <c r="Y478" s="126"/>
      <c r="Z478" s="126"/>
      <c r="AA478" s="126"/>
      <c r="AB478" s="126"/>
      <c r="AC478" s="126"/>
      <c r="AD478" s="126"/>
      <c r="AE478" s="126"/>
      <c r="AF478" s="126"/>
      <c r="AG478" s="126"/>
      <c r="AH478" s="126"/>
      <c r="AI478" s="126"/>
      <c r="AJ478" s="126"/>
      <c r="AK478" s="126"/>
      <c r="AL478" s="126"/>
      <c r="AM478" s="126"/>
      <c r="AN478" s="126"/>
      <c r="AO478" s="126"/>
    </row>
    <row r="479">
      <c r="A479" s="158"/>
      <c r="B479" s="158"/>
      <c r="C479" s="158"/>
      <c r="D479" s="158"/>
      <c r="E479" s="158"/>
      <c r="F479" s="158"/>
      <c r="G479" s="158"/>
      <c r="H479" s="158"/>
      <c r="I479" s="145"/>
      <c r="J479" s="158"/>
      <c r="K479" s="158"/>
      <c r="L479" s="126"/>
      <c r="M479" s="126"/>
      <c r="N479" s="126"/>
      <c r="O479" s="126"/>
      <c r="P479" s="126"/>
      <c r="Q479" s="126"/>
      <c r="R479" s="126"/>
      <c r="S479" s="126"/>
      <c r="T479" s="126"/>
      <c r="U479" s="126"/>
      <c r="V479" s="126"/>
      <c r="W479" s="126"/>
      <c r="X479" s="126"/>
      <c r="Y479" s="126"/>
      <c r="Z479" s="126"/>
      <c r="AA479" s="126"/>
      <c r="AB479" s="126"/>
      <c r="AC479" s="126"/>
      <c r="AD479" s="126"/>
      <c r="AE479" s="126"/>
      <c r="AF479" s="126"/>
      <c r="AG479" s="126"/>
      <c r="AH479" s="126"/>
      <c r="AI479" s="126"/>
      <c r="AJ479" s="126"/>
      <c r="AK479" s="126"/>
      <c r="AL479" s="126"/>
      <c r="AM479" s="126"/>
      <c r="AN479" s="126"/>
      <c r="AO479" s="126"/>
    </row>
    <row r="480">
      <c r="A480" s="158"/>
      <c r="B480" s="158"/>
      <c r="C480" s="158"/>
      <c r="D480" s="158"/>
      <c r="E480" s="158"/>
      <c r="F480" s="158"/>
      <c r="G480" s="158"/>
      <c r="H480" s="158"/>
      <c r="I480" s="145"/>
      <c r="J480" s="158"/>
      <c r="K480" s="158"/>
      <c r="L480" s="126"/>
      <c r="M480" s="126"/>
      <c r="N480" s="126"/>
      <c r="O480" s="126"/>
      <c r="P480" s="126"/>
      <c r="Q480" s="126"/>
      <c r="R480" s="126"/>
      <c r="S480" s="126"/>
      <c r="T480" s="126"/>
      <c r="U480" s="126"/>
      <c r="V480" s="126"/>
      <c r="W480" s="126"/>
      <c r="X480" s="126"/>
      <c r="Y480" s="126"/>
      <c r="Z480" s="126"/>
      <c r="AA480" s="126"/>
      <c r="AB480" s="126"/>
      <c r="AC480" s="126"/>
      <c r="AD480" s="126"/>
      <c r="AE480" s="126"/>
      <c r="AF480" s="126"/>
      <c r="AG480" s="126"/>
      <c r="AH480" s="126"/>
      <c r="AI480" s="126"/>
      <c r="AJ480" s="126"/>
      <c r="AK480" s="126"/>
      <c r="AL480" s="126"/>
      <c r="AM480" s="126"/>
      <c r="AN480" s="126"/>
      <c r="AO480" s="126"/>
    </row>
    <row r="481">
      <c r="A481" s="158"/>
      <c r="B481" s="158"/>
      <c r="C481" s="158"/>
      <c r="D481" s="158"/>
      <c r="E481" s="158"/>
      <c r="F481" s="158"/>
      <c r="G481" s="158"/>
      <c r="H481" s="158"/>
      <c r="I481" s="145"/>
      <c r="J481" s="158"/>
      <c r="K481" s="158"/>
      <c r="L481" s="126"/>
      <c r="M481" s="126"/>
      <c r="N481" s="126"/>
      <c r="O481" s="126"/>
      <c r="P481" s="126"/>
      <c r="Q481" s="126"/>
      <c r="R481" s="126"/>
      <c r="S481" s="126"/>
      <c r="T481" s="126"/>
      <c r="U481" s="126"/>
      <c r="V481" s="126"/>
      <c r="W481" s="126"/>
      <c r="X481" s="126"/>
      <c r="Y481" s="126"/>
      <c r="Z481" s="126"/>
      <c r="AA481" s="126"/>
      <c r="AB481" s="126"/>
      <c r="AC481" s="126"/>
      <c r="AD481" s="126"/>
      <c r="AE481" s="126"/>
      <c r="AF481" s="126"/>
      <c r="AG481" s="126"/>
      <c r="AH481" s="126"/>
      <c r="AI481" s="126"/>
      <c r="AJ481" s="126"/>
      <c r="AK481" s="126"/>
      <c r="AL481" s="126"/>
      <c r="AM481" s="126"/>
      <c r="AN481" s="126"/>
      <c r="AO481" s="126"/>
    </row>
    <row r="482">
      <c r="A482" s="158"/>
      <c r="B482" s="158"/>
      <c r="C482" s="158"/>
      <c r="D482" s="158"/>
      <c r="E482" s="158"/>
      <c r="F482" s="158"/>
      <c r="G482" s="158"/>
      <c r="H482" s="158"/>
      <c r="I482" s="145"/>
      <c r="J482" s="158"/>
      <c r="K482" s="158"/>
      <c r="L482" s="126"/>
      <c r="M482" s="126"/>
      <c r="N482" s="126"/>
      <c r="O482" s="126"/>
      <c r="P482" s="126"/>
      <c r="Q482" s="126"/>
      <c r="R482" s="126"/>
      <c r="S482" s="126"/>
      <c r="T482" s="126"/>
      <c r="U482" s="126"/>
      <c r="V482" s="126"/>
      <c r="W482" s="126"/>
      <c r="X482" s="126"/>
      <c r="Y482" s="126"/>
      <c r="Z482" s="126"/>
      <c r="AA482" s="126"/>
      <c r="AB482" s="126"/>
      <c r="AC482" s="126"/>
      <c r="AD482" s="126"/>
      <c r="AE482" s="126"/>
      <c r="AF482" s="126"/>
      <c r="AG482" s="126"/>
      <c r="AH482" s="126"/>
      <c r="AI482" s="126"/>
      <c r="AJ482" s="126"/>
      <c r="AK482" s="126"/>
      <c r="AL482" s="126"/>
      <c r="AM482" s="126"/>
      <c r="AN482" s="126"/>
      <c r="AO482" s="126"/>
    </row>
    <row r="483">
      <c r="A483" s="158"/>
      <c r="B483" s="158"/>
      <c r="C483" s="158"/>
      <c r="D483" s="158"/>
      <c r="E483" s="158"/>
      <c r="F483" s="158"/>
      <c r="G483" s="158"/>
      <c r="H483" s="158"/>
      <c r="I483" s="145"/>
      <c r="J483" s="158"/>
      <c r="K483" s="158"/>
      <c r="L483" s="126"/>
      <c r="M483" s="126"/>
      <c r="N483" s="126"/>
      <c r="O483" s="126"/>
      <c r="P483" s="126"/>
      <c r="Q483" s="126"/>
      <c r="R483" s="126"/>
      <c r="S483" s="126"/>
      <c r="T483" s="126"/>
      <c r="U483" s="126"/>
      <c r="V483" s="126"/>
      <c r="W483" s="126"/>
      <c r="X483" s="126"/>
      <c r="Y483" s="126"/>
      <c r="Z483" s="126"/>
      <c r="AA483" s="126"/>
      <c r="AB483" s="126"/>
      <c r="AC483" s="126"/>
      <c r="AD483" s="126"/>
      <c r="AE483" s="126"/>
      <c r="AF483" s="126"/>
      <c r="AG483" s="126"/>
      <c r="AH483" s="126"/>
      <c r="AI483" s="126"/>
      <c r="AJ483" s="126"/>
      <c r="AK483" s="126"/>
      <c r="AL483" s="126"/>
      <c r="AM483" s="126"/>
      <c r="AN483" s="126"/>
      <c r="AO483" s="126"/>
    </row>
    <row r="484">
      <c r="A484" s="158"/>
      <c r="B484" s="158"/>
      <c r="C484" s="158"/>
      <c r="D484" s="158"/>
      <c r="E484" s="158"/>
      <c r="F484" s="158"/>
      <c r="G484" s="158"/>
      <c r="H484" s="158"/>
      <c r="I484" s="145"/>
      <c r="J484" s="158"/>
      <c r="K484" s="158"/>
      <c r="L484" s="126"/>
      <c r="M484" s="126"/>
      <c r="N484" s="126"/>
      <c r="O484" s="126"/>
      <c r="P484" s="126"/>
      <c r="Q484" s="126"/>
      <c r="R484" s="126"/>
      <c r="S484" s="126"/>
      <c r="T484" s="126"/>
      <c r="U484" s="126"/>
      <c r="V484" s="126"/>
      <c r="W484" s="126"/>
      <c r="X484" s="126"/>
      <c r="Y484" s="126"/>
      <c r="Z484" s="126"/>
      <c r="AA484" s="126"/>
      <c r="AB484" s="126"/>
      <c r="AC484" s="126"/>
      <c r="AD484" s="126"/>
      <c r="AE484" s="126"/>
      <c r="AF484" s="126"/>
      <c r="AG484" s="126"/>
      <c r="AH484" s="126"/>
      <c r="AI484" s="126"/>
      <c r="AJ484" s="126"/>
      <c r="AK484" s="126"/>
      <c r="AL484" s="126"/>
      <c r="AM484" s="126"/>
      <c r="AN484" s="126"/>
      <c r="AO484" s="126"/>
    </row>
    <row r="485">
      <c r="A485" s="158"/>
      <c r="B485" s="158"/>
      <c r="C485" s="158"/>
      <c r="D485" s="158"/>
      <c r="E485" s="158"/>
      <c r="F485" s="158"/>
      <c r="G485" s="158"/>
      <c r="H485" s="158"/>
      <c r="I485" s="145"/>
      <c r="J485" s="158"/>
      <c r="K485" s="158"/>
      <c r="L485" s="126"/>
      <c r="M485" s="126"/>
      <c r="N485" s="126"/>
      <c r="O485" s="126"/>
      <c r="P485" s="126"/>
      <c r="Q485" s="126"/>
      <c r="R485" s="126"/>
      <c r="S485" s="126"/>
      <c r="T485" s="126"/>
      <c r="U485" s="126"/>
      <c r="V485" s="126"/>
      <c r="W485" s="126"/>
      <c r="X485" s="126"/>
      <c r="Y485" s="126"/>
      <c r="Z485" s="126"/>
      <c r="AA485" s="126"/>
      <c r="AB485" s="126"/>
      <c r="AC485" s="126"/>
      <c r="AD485" s="126"/>
      <c r="AE485" s="126"/>
      <c r="AF485" s="126"/>
      <c r="AG485" s="126"/>
      <c r="AH485" s="126"/>
      <c r="AI485" s="126"/>
      <c r="AJ485" s="126"/>
      <c r="AK485" s="126"/>
      <c r="AL485" s="126"/>
      <c r="AM485" s="126"/>
      <c r="AN485" s="126"/>
      <c r="AO485" s="126"/>
    </row>
    <row r="486">
      <c r="A486" s="158"/>
      <c r="B486" s="158"/>
      <c r="C486" s="158"/>
      <c r="D486" s="158"/>
      <c r="E486" s="158"/>
      <c r="F486" s="158"/>
      <c r="G486" s="158"/>
      <c r="H486" s="158"/>
      <c r="I486" s="145"/>
      <c r="J486" s="158"/>
      <c r="K486" s="158"/>
      <c r="L486" s="126"/>
      <c r="M486" s="126"/>
      <c r="N486" s="126"/>
      <c r="O486" s="126"/>
      <c r="P486" s="126"/>
      <c r="Q486" s="126"/>
      <c r="R486" s="126"/>
      <c r="S486" s="126"/>
      <c r="T486" s="126"/>
      <c r="U486" s="126"/>
      <c r="V486" s="126"/>
      <c r="W486" s="126"/>
      <c r="X486" s="126"/>
      <c r="Y486" s="126"/>
      <c r="Z486" s="126"/>
      <c r="AA486" s="126"/>
      <c r="AB486" s="126"/>
      <c r="AC486" s="126"/>
      <c r="AD486" s="126"/>
      <c r="AE486" s="126"/>
      <c r="AF486" s="126"/>
      <c r="AG486" s="126"/>
      <c r="AH486" s="126"/>
      <c r="AI486" s="126"/>
      <c r="AJ486" s="126"/>
      <c r="AK486" s="126"/>
      <c r="AL486" s="126"/>
      <c r="AM486" s="126"/>
      <c r="AN486" s="126"/>
      <c r="AO486" s="126"/>
    </row>
    <row r="487">
      <c r="A487" s="158"/>
      <c r="B487" s="158"/>
      <c r="C487" s="158"/>
      <c r="D487" s="158"/>
      <c r="E487" s="158"/>
      <c r="F487" s="158"/>
      <c r="G487" s="158"/>
      <c r="H487" s="158"/>
      <c r="I487" s="145"/>
      <c r="J487" s="158"/>
      <c r="K487" s="158"/>
      <c r="L487" s="126"/>
      <c r="M487" s="126"/>
      <c r="N487" s="126"/>
      <c r="O487" s="126"/>
      <c r="P487" s="126"/>
      <c r="Q487" s="126"/>
      <c r="R487" s="126"/>
      <c r="S487" s="126"/>
      <c r="T487" s="126"/>
      <c r="U487" s="126"/>
      <c r="V487" s="126"/>
      <c r="W487" s="126"/>
      <c r="X487" s="126"/>
      <c r="Y487" s="126"/>
      <c r="Z487" s="126"/>
      <c r="AA487" s="126"/>
      <c r="AB487" s="126"/>
      <c r="AC487" s="126"/>
      <c r="AD487" s="126"/>
      <c r="AE487" s="126"/>
      <c r="AF487" s="126"/>
      <c r="AG487" s="126"/>
      <c r="AH487" s="126"/>
      <c r="AI487" s="126"/>
      <c r="AJ487" s="126"/>
      <c r="AK487" s="126"/>
      <c r="AL487" s="126"/>
      <c r="AM487" s="126"/>
      <c r="AN487" s="126"/>
      <c r="AO487" s="126"/>
    </row>
    <row r="488">
      <c r="A488" s="158"/>
      <c r="B488" s="158"/>
      <c r="C488" s="158"/>
      <c r="D488" s="158"/>
      <c r="E488" s="158"/>
      <c r="F488" s="158"/>
      <c r="G488" s="158"/>
      <c r="H488" s="158"/>
      <c r="I488" s="145"/>
      <c r="J488" s="158"/>
      <c r="K488" s="158"/>
      <c r="L488" s="126"/>
      <c r="M488" s="126"/>
      <c r="N488" s="126"/>
      <c r="O488" s="126"/>
      <c r="P488" s="126"/>
      <c r="Q488" s="126"/>
      <c r="R488" s="126"/>
      <c r="S488" s="126"/>
      <c r="T488" s="126"/>
      <c r="U488" s="126"/>
      <c r="V488" s="126"/>
      <c r="W488" s="126"/>
      <c r="X488" s="126"/>
      <c r="Y488" s="126"/>
      <c r="Z488" s="126"/>
      <c r="AA488" s="126"/>
      <c r="AB488" s="126"/>
      <c r="AC488" s="126"/>
      <c r="AD488" s="126"/>
      <c r="AE488" s="126"/>
      <c r="AF488" s="126"/>
      <c r="AG488" s="126"/>
      <c r="AH488" s="126"/>
      <c r="AI488" s="126"/>
      <c r="AJ488" s="126"/>
      <c r="AK488" s="126"/>
      <c r="AL488" s="126"/>
      <c r="AM488" s="126"/>
      <c r="AN488" s="126"/>
      <c r="AO488" s="126"/>
    </row>
    <row r="489">
      <c r="A489" s="158"/>
      <c r="B489" s="158"/>
      <c r="C489" s="158"/>
      <c r="D489" s="158"/>
      <c r="E489" s="158"/>
      <c r="F489" s="158"/>
      <c r="G489" s="158"/>
      <c r="H489" s="158"/>
      <c r="I489" s="145"/>
      <c r="J489" s="158"/>
      <c r="K489" s="158"/>
      <c r="L489" s="126"/>
      <c r="M489" s="126"/>
      <c r="N489" s="126"/>
      <c r="O489" s="126"/>
      <c r="P489" s="126"/>
      <c r="Q489" s="126"/>
      <c r="R489" s="126"/>
      <c r="S489" s="126"/>
      <c r="T489" s="126"/>
      <c r="U489" s="126"/>
      <c r="V489" s="126"/>
      <c r="W489" s="126"/>
      <c r="X489" s="126"/>
      <c r="Y489" s="126"/>
      <c r="Z489" s="126"/>
      <c r="AA489" s="126"/>
      <c r="AB489" s="126"/>
      <c r="AC489" s="126"/>
      <c r="AD489" s="126"/>
      <c r="AE489" s="126"/>
      <c r="AF489" s="126"/>
      <c r="AG489" s="126"/>
      <c r="AH489" s="126"/>
      <c r="AI489" s="126"/>
      <c r="AJ489" s="126"/>
      <c r="AK489" s="126"/>
      <c r="AL489" s="126"/>
      <c r="AM489" s="126"/>
      <c r="AN489" s="126"/>
      <c r="AO489" s="126"/>
    </row>
    <row r="490">
      <c r="A490" s="158"/>
      <c r="B490" s="158"/>
      <c r="C490" s="158"/>
      <c r="D490" s="158"/>
      <c r="E490" s="158"/>
      <c r="F490" s="158"/>
      <c r="G490" s="158"/>
      <c r="H490" s="158"/>
      <c r="I490" s="145"/>
      <c r="J490" s="158"/>
      <c r="K490" s="158"/>
      <c r="L490" s="126"/>
      <c r="M490" s="126"/>
      <c r="N490" s="126"/>
      <c r="O490" s="126"/>
      <c r="P490" s="126"/>
      <c r="Q490" s="126"/>
      <c r="R490" s="126"/>
      <c r="S490" s="126"/>
      <c r="T490" s="126"/>
      <c r="U490" s="126"/>
      <c r="V490" s="126"/>
      <c r="W490" s="126"/>
      <c r="X490" s="126"/>
      <c r="Y490" s="126"/>
      <c r="Z490" s="126"/>
      <c r="AA490" s="126"/>
      <c r="AB490" s="126"/>
      <c r="AC490" s="126"/>
      <c r="AD490" s="126"/>
      <c r="AE490" s="126"/>
      <c r="AF490" s="126"/>
      <c r="AG490" s="126"/>
      <c r="AH490" s="126"/>
      <c r="AI490" s="126"/>
      <c r="AJ490" s="126"/>
      <c r="AK490" s="126"/>
      <c r="AL490" s="126"/>
      <c r="AM490" s="126"/>
      <c r="AN490" s="126"/>
      <c r="AO490" s="126"/>
    </row>
    <row r="491">
      <c r="A491" s="158"/>
      <c r="B491" s="158"/>
      <c r="C491" s="158"/>
      <c r="D491" s="158"/>
      <c r="E491" s="158"/>
      <c r="F491" s="158"/>
      <c r="G491" s="158"/>
      <c r="H491" s="158"/>
      <c r="I491" s="145"/>
      <c r="J491" s="158"/>
      <c r="K491" s="158"/>
      <c r="L491" s="126"/>
      <c r="M491" s="126"/>
      <c r="N491" s="126"/>
      <c r="O491" s="126"/>
      <c r="P491" s="126"/>
      <c r="Q491" s="126"/>
      <c r="R491" s="126"/>
      <c r="S491" s="126"/>
      <c r="T491" s="126"/>
      <c r="U491" s="126"/>
      <c r="V491" s="126"/>
      <c r="W491" s="126"/>
      <c r="X491" s="126"/>
      <c r="Y491" s="126"/>
      <c r="Z491" s="126"/>
      <c r="AA491" s="126"/>
      <c r="AB491" s="126"/>
      <c r="AC491" s="126"/>
      <c r="AD491" s="126"/>
      <c r="AE491" s="126"/>
      <c r="AF491" s="126"/>
      <c r="AG491" s="126"/>
      <c r="AH491" s="126"/>
      <c r="AI491" s="126"/>
      <c r="AJ491" s="126"/>
      <c r="AK491" s="126"/>
      <c r="AL491" s="126"/>
      <c r="AM491" s="126"/>
      <c r="AN491" s="126"/>
      <c r="AO491" s="126"/>
    </row>
    <row r="492">
      <c r="A492" s="158"/>
      <c r="B492" s="158"/>
      <c r="C492" s="158"/>
      <c r="D492" s="158"/>
      <c r="E492" s="158"/>
      <c r="F492" s="158"/>
      <c r="G492" s="158"/>
      <c r="H492" s="158"/>
      <c r="I492" s="145"/>
      <c r="J492" s="158"/>
      <c r="K492" s="158"/>
      <c r="L492" s="126"/>
      <c r="M492" s="126"/>
      <c r="N492" s="126"/>
      <c r="O492" s="126"/>
      <c r="P492" s="126"/>
      <c r="Q492" s="126"/>
      <c r="R492" s="126"/>
      <c r="S492" s="126"/>
      <c r="T492" s="126"/>
      <c r="U492" s="126"/>
      <c r="V492" s="126"/>
      <c r="W492" s="126"/>
      <c r="X492" s="126"/>
      <c r="Y492" s="126"/>
      <c r="Z492" s="126"/>
      <c r="AA492" s="126"/>
      <c r="AB492" s="126"/>
      <c r="AC492" s="126"/>
      <c r="AD492" s="126"/>
      <c r="AE492" s="126"/>
      <c r="AF492" s="126"/>
      <c r="AG492" s="126"/>
      <c r="AH492" s="126"/>
      <c r="AI492" s="126"/>
      <c r="AJ492" s="126"/>
      <c r="AK492" s="126"/>
      <c r="AL492" s="126"/>
      <c r="AM492" s="126"/>
      <c r="AN492" s="126"/>
      <c r="AO492" s="126"/>
    </row>
    <row r="493">
      <c r="A493" s="158"/>
      <c r="B493" s="158"/>
      <c r="C493" s="158"/>
      <c r="D493" s="158"/>
      <c r="E493" s="158"/>
      <c r="F493" s="158"/>
      <c r="G493" s="158"/>
      <c r="H493" s="158"/>
      <c r="I493" s="145"/>
      <c r="J493" s="158"/>
      <c r="K493" s="158"/>
      <c r="L493" s="126"/>
      <c r="M493" s="126"/>
      <c r="N493" s="126"/>
      <c r="O493" s="126"/>
      <c r="P493" s="126"/>
      <c r="Q493" s="126"/>
      <c r="R493" s="126"/>
      <c r="S493" s="126"/>
      <c r="T493" s="126"/>
      <c r="U493" s="126"/>
      <c r="V493" s="126"/>
      <c r="W493" s="126"/>
      <c r="X493" s="126"/>
      <c r="Y493" s="126"/>
      <c r="Z493" s="126"/>
      <c r="AA493" s="126"/>
      <c r="AB493" s="126"/>
      <c r="AC493" s="126"/>
      <c r="AD493" s="126"/>
      <c r="AE493" s="126"/>
      <c r="AF493" s="126"/>
      <c r="AG493" s="126"/>
      <c r="AH493" s="126"/>
      <c r="AI493" s="126"/>
      <c r="AJ493" s="126"/>
      <c r="AK493" s="126"/>
      <c r="AL493" s="126"/>
      <c r="AM493" s="126"/>
      <c r="AN493" s="126"/>
      <c r="AO493" s="126"/>
    </row>
    <row r="494">
      <c r="A494" s="158"/>
      <c r="B494" s="158"/>
      <c r="C494" s="158"/>
      <c r="D494" s="158"/>
      <c r="E494" s="158"/>
      <c r="F494" s="158"/>
      <c r="G494" s="158"/>
      <c r="H494" s="158"/>
      <c r="I494" s="145"/>
      <c r="J494" s="158"/>
      <c r="K494" s="158"/>
      <c r="L494" s="126"/>
      <c r="M494" s="126"/>
      <c r="N494" s="126"/>
      <c r="O494" s="126"/>
      <c r="P494" s="126"/>
      <c r="Q494" s="126"/>
      <c r="R494" s="126"/>
      <c r="S494" s="126"/>
      <c r="T494" s="126"/>
      <c r="U494" s="126"/>
      <c r="V494" s="126"/>
      <c r="W494" s="126"/>
      <c r="X494" s="126"/>
      <c r="Y494" s="126"/>
      <c r="Z494" s="126"/>
      <c r="AA494" s="126"/>
      <c r="AB494" s="126"/>
      <c r="AC494" s="126"/>
      <c r="AD494" s="126"/>
      <c r="AE494" s="126"/>
      <c r="AF494" s="126"/>
      <c r="AG494" s="126"/>
      <c r="AH494" s="126"/>
      <c r="AI494" s="126"/>
      <c r="AJ494" s="126"/>
      <c r="AK494" s="126"/>
      <c r="AL494" s="126"/>
      <c r="AM494" s="126"/>
      <c r="AN494" s="126"/>
      <c r="AO494" s="126"/>
    </row>
    <row r="495">
      <c r="A495" s="158"/>
      <c r="B495" s="158"/>
      <c r="C495" s="158"/>
      <c r="D495" s="158"/>
      <c r="E495" s="158"/>
      <c r="F495" s="158"/>
      <c r="G495" s="158"/>
      <c r="H495" s="158"/>
      <c r="I495" s="145"/>
      <c r="J495" s="158"/>
      <c r="K495" s="158"/>
      <c r="L495" s="126"/>
      <c r="M495" s="126"/>
      <c r="N495" s="126"/>
      <c r="O495" s="126"/>
      <c r="P495" s="126"/>
      <c r="Q495" s="126"/>
      <c r="R495" s="126"/>
      <c r="S495" s="126"/>
      <c r="T495" s="126"/>
      <c r="U495" s="126"/>
      <c r="V495" s="126"/>
      <c r="W495" s="126"/>
      <c r="X495" s="126"/>
      <c r="Y495" s="126"/>
      <c r="Z495" s="126"/>
      <c r="AA495" s="126"/>
      <c r="AB495" s="126"/>
      <c r="AC495" s="126"/>
      <c r="AD495" s="126"/>
      <c r="AE495" s="126"/>
      <c r="AF495" s="126"/>
      <c r="AG495" s="126"/>
      <c r="AH495" s="126"/>
      <c r="AI495" s="126"/>
      <c r="AJ495" s="126"/>
      <c r="AK495" s="126"/>
      <c r="AL495" s="126"/>
      <c r="AM495" s="126"/>
      <c r="AN495" s="126"/>
      <c r="AO495" s="126"/>
    </row>
    <row r="496">
      <c r="A496" s="158"/>
      <c r="B496" s="158"/>
      <c r="C496" s="158"/>
      <c r="D496" s="158"/>
      <c r="E496" s="158"/>
      <c r="F496" s="158"/>
      <c r="G496" s="158"/>
      <c r="H496" s="158"/>
      <c r="I496" s="145"/>
      <c r="J496" s="158"/>
      <c r="K496" s="158"/>
      <c r="L496" s="126"/>
      <c r="M496" s="126"/>
      <c r="N496" s="126"/>
      <c r="O496" s="126"/>
      <c r="P496" s="126"/>
      <c r="Q496" s="126"/>
      <c r="R496" s="126"/>
      <c r="S496" s="126"/>
      <c r="T496" s="126"/>
      <c r="U496" s="126"/>
      <c r="V496" s="126"/>
      <c r="W496" s="126"/>
      <c r="X496" s="126"/>
      <c r="Y496" s="126"/>
      <c r="Z496" s="126"/>
      <c r="AA496" s="126"/>
      <c r="AB496" s="126"/>
      <c r="AC496" s="126"/>
      <c r="AD496" s="126"/>
      <c r="AE496" s="126"/>
      <c r="AF496" s="126"/>
      <c r="AG496" s="126"/>
      <c r="AH496" s="126"/>
      <c r="AI496" s="126"/>
      <c r="AJ496" s="126"/>
      <c r="AK496" s="126"/>
      <c r="AL496" s="126"/>
      <c r="AM496" s="126"/>
      <c r="AN496" s="126"/>
      <c r="AO496" s="126"/>
    </row>
    <row r="497">
      <c r="A497" s="158"/>
      <c r="B497" s="158"/>
      <c r="C497" s="158"/>
      <c r="D497" s="158"/>
      <c r="E497" s="158"/>
      <c r="F497" s="158"/>
      <c r="G497" s="158"/>
      <c r="H497" s="158"/>
      <c r="I497" s="145"/>
      <c r="J497" s="158"/>
      <c r="K497" s="158"/>
      <c r="L497" s="126"/>
      <c r="M497" s="126"/>
      <c r="N497" s="126"/>
      <c r="O497" s="126"/>
      <c r="P497" s="126"/>
      <c r="Q497" s="126"/>
      <c r="R497" s="126"/>
      <c r="S497" s="126"/>
      <c r="T497" s="126"/>
      <c r="U497" s="126"/>
      <c r="V497" s="126"/>
      <c r="W497" s="126"/>
      <c r="X497" s="126"/>
      <c r="Y497" s="126"/>
      <c r="Z497" s="126"/>
      <c r="AA497" s="126"/>
      <c r="AB497" s="126"/>
      <c r="AC497" s="126"/>
      <c r="AD497" s="126"/>
      <c r="AE497" s="126"/>
      <c r="AF497" s="126"/>
      <c r="AG497" s="126"/>
      <c r="AH497" s="126"/>
      <c r="AI497" s="126"/>
      <c r="AJ497" s="126"/>
      <c r="AK497" s="126"/>
      <c r="AL497" s="126"/>
      <c r="AM497" s="126"/>
      <c r="AN497" s="126"/>
      <c r="AO497" s="126"/>
    </row>
    <row r="498">
      <c r="A498" s="158"/>
      <c r="B498" s="158"/>
      <c r="C498" s="158"/>
      <c r="D498" s="158"/>
      <c r="E498" s="158"/>
      <c r="F498" s="158"/>
      <c r="G498" s="158"/>
      <c r="H498" s="158"/>
      <c r="I498" s="145"/>
      <c r="J498" s="158"/>
      <c r="K498" s="158"/>
      <c r="L498" s="126"/>
      <c r="M498" s="126"/>
      <c r="N498" s="126"/>
      <c r="O498" s="126"/>
      <c r="P498" s="126"/>
      <c r="Q498" s="126"/>
      <c r="R498" s="126"/>
      <c r="S498" s="126"/>
      <c r="T498" s="126"/>
      <c r="U498" s="126"/>
      <c r="V498" s="126"/>
      <c r="W498" s="126"/>
      <c r="X498" s="126"/>
      <c r="Y498" s="126"/>
      <c r="Z498" s="126"/>
      <c r="AA498" s="126"/>
      <c r="AB498" s="126"/>
      <c r="AC498" s="126"/>
      <c r="AD498" s="126"/>
      <c r="AE498" s="126"/>
      <c r="AF498" s="126"/>
      <c r="AG498" s="126"/>
      <c r="AH498" s="126"/>
      <c r="AI498" s="126"/>
      <c r="AJ498" s="126"/>
      <c r="AK498" s="126"/>
      <c r="AL498" s="126"/>
      <c r="AM498" s="126"/>
      <c r="AN498" s="126"/>
      <c r="AO498" s="126"/>
    </row>
    <row r="499">
      <c r="A499" s="158"/>
      <c r="B499" s="158"/>
      <c r="C499" s="158"/>
      <c r="D499" s="158"/>
      <c r="E499" s="158"/>
      <c r="F499" s="158"/>
      <c r="G499" s="158"/>
      <c r="H499" s="158"/>
      <c r="I499" s="145"/>
      <c r="J499" s="158"/>
      <c r="K499" s="158"/>
      <c r="L499" s="126"/>
      <c r="M499" s="126"/>
      <c r="N499" s="126"/>
      <c r="O499" s="126"/>
      <c r="P499" s="126"/>
      <c r="Q499" s="126"/>
      <c r="R499" s="126"/>
      <c r="S499" s="126"/>
      <c r="T499" s="126"/>
      <c r="U499" s="126"/>
      <c r="V499" s="126"/>
      <c r="W499" s="126"/>
      <c r="X499" s="126"/>
      <c r="Y499" s="126"/>
      <c r="Z499" s="126"/>
      <c r="AA499" s="126"/>
      <c r="AB499" s="126"/>
      <c r="AC499" s="126"/>
      <c r="AD499" s="126"/>
      <c r="AE499" s="126"/>
      <c r="AF499" s="126"/>
      <c r="AG499" s="126"/>
      <c r="AH499" s="126"/>
      <c r="AI499" s="126"/>
      <c r="AJ499" s="126"/>
      <c r="AK499" s="126"/>
      <c r="AL499" s="126"/>
      <c r="AM499" s="126"/>
      <c r="AN499" s="126"/>
      <c r="AO499" s="126"/>
    </row>
    <row r="500">
      <c r="A500" s="158"/>
      <c r="B500" s="158"/>
      <c r="C500" s="158"/>
      <c r="D500" s="158"/>
      <c r="E500" s="158"/>
      <c r="F500" s="158"/>
      <c r="G500" s="158"/>
      <c r="H500" s="158"/>
      <c r="I500" s="145"/>
      <c r="J500" s="158"/>
      <c r="K500" s="158"/>
      <c r="L500" s="126"/>
      <c r="M500" s="126"/>
      <c r="N500" s="126"/>
      <c r="O500" s="126"/>
      <c r="P500" s="126"/>
      <c r="Q500" s="126"/>
      <c r="R500" s="126"/>
      <c r="S500" s="126"/>
      <c r="T500" s="126"/>
      <c r="U500" s="126"/>
      <c r="V500" s="126"/>
      <c r="W500" s="126"/>
      <c r="X500" s="126"/>
      <c r="Y500" s="126"/>
      <c r="Z500" s="126"/>
      <c r="AA500" s="126"/>
      <c r="AB500" s="126"/>
      <c r="AC500" s="126"/>
      <c r="AD500" s="126"/>
      <c r="AE500" s="126"/>
      <c r="AF500" s="126"/>
      <c r="AG500" s="126"/>
      <c r="AH500" s="126"/>
      <c r="AI500" s="126"/>
      <c r="AJ500" s="126"/>
      <c r="AK500" s="126"/>
      <c r="AL500" s="126"/>
      <c r="AM500" s="126"/>
      <c r="AN500" s="126"/>
      <c r="AO500" s="126"/>
    </row>
    <row r="501">
      <c r="A501" s="158"/>
      <c r="B501" s="158"/>
      <c r="C501" s="158"/>
      <c r="D501" s="158"/>
      <c r="E501" s="158"/>
      <c r="F501" s="158"/>
      <c r="G501" s="158"/>
      <c r="H501" s="158"/>
      <c r="I501" s="145"/>
      <c r="J501" s="158"/>
      <c r="K501" s="158"/>
      <c r="L501" s="126"/>
      <c r="M501" s="126"/>
      <c r="N501" s="126"/>
      <c r="O501" s="126"/>
      <c r="P501" s="126"/>
      <c r="Q501" s="126"/>
      <c r="R501" s="126"/>
      <c r="S501" s="126"/>
      <c r="T501" s="126"/>
      <c r="U501" s="126"/>
      <c r="V501" s="126"/>
      <c r="W501" s="126"/>
      <c r="X501" s="126"/>
      <c r="Y501" s="126"/>
      <c r="Z501" s="126"/>
      <c r="AA501" s="126"/>
      <c r="AB501" s="126"/>
      <c r="AC501" s="126"/>
      <c r="AD501" s="126"/>
      <c r="AE501" s="126"/>
      <c r="AF501" s="126"/>
      <c r="AG501" s="126"/>
      <c r="AH501" s="126"/>
      <c r="AI501" s="126"/>
      <c r="AJ501" s="126"/>
      <c r="AK501" s="126"/>
      <c r="AL501" s="126"/>
      <c r="AM501" s="126"/>
      <c r="AN501" s="126"/>
      <c r="AO501" s="126"/>
    </row>
    <row r="502">
      <c r="A502" s="158"/>
      <c r="B502" s="158"/>
      <c r="C502" s="158"/>
      <c r="D502" s="158"/>
      <c r="E502" s="158"/>
      <c r="F502" s="158"/>
      <c r="G502" s="158"/>
      <c r="H502" s="158"/>
      <c r="I502" s="145"/>
      <c r="J502" s="158"/>
      <c r="K502" s="158"/>
      <c r="L502" s="126"/>
      <c r="M502" s="126"/>
      <c r="N502" s="126"/>
      <c r="O502" s="126"/>
      <c r="P502" s="126"/>
      <c r="Q502" s="126"/>
      <c r="R502" s="126"/>
      <c r="S502" s="126"/>
      <c r="T502" s="126"/>
      <c r="U502" s="126"/>
      <c r="V502" s="126"/>
      <c r="W502" s="126"/>
      <c r="X502" s="126"/>
      <c r="Y502" s="126"/>
      <c r="Z502" s="126"/>
      <c r="AA502" s="126"/>
      <c r="AB502" s="126"/>
      <c r="AC502" s="126"/>
      <c r="AD502" s="126"/>
      <c r="AE502" s="126"/>
      <c r="AF502" s="126"/>
      <c r="AG502" s="126"/>
      <c r="AH502" s="126"/>
      <c r="AI502" s="126"/>
      <c r="AJ502" s="126"/>
      <c r="AK502" s="126"/>
      <c r="AL502" s="126"/>
      <c r="AM502" s="126"/>
      <c r="AN502" s="126"/>
      <c r="AO502" s="126"/>
    </row>
    <row r="503">
      <c r="A503" s="158"/>
      <c r="B503" s="158"/>
      <c r="C503" s="158"/>
      <c r="D503" s="158"/>
      <c r="E503" s="158"/>
      <c r="F503" s="158"/>
      <c r="G503" s="158"/>
      <c r="H503" s="158"/>
      <c r="I503" s="145"/>
      <c r="J503" s="158"/>
      <c r="K503" s="158"/>
      <c r="L503" s="126"/>
      <c r="M503" s="126"/>
      <c r="N503" s="126"/>
      <c r="O503" s="126"/>
      <c r="P503" s="126"/>
      <c r="Q503" s="126"/>
      <c r="R503" s="126"/>
      <c r="S503" s="126"/>
      <c r="T503" s="126"/>
      <c r="U503" s="126"/>
      <c r="V503" s="126"/>
      <c r="W503" s="126"/>
      <c r="X503" s="126"/>
      <c r="Y503" s="126"/>
      <c r="Z503" s="126"/>
      <c r="AA503" s="126"/>
      <c r="AB503" s="126"/>
      <c r="AC503" s="126"/>
      <c r="AD503" s="126"/>
      <c r="AE503" s="126"/>
      <c r="AF503" s="126"/>
      <c r="AG503" s="126"/>
      <c r="AH503" s="126"/>
      <c r="AI503" s="126"/>
      <c r="AJ503" s="126"/>
      <c r="AK503" s="126"/>
      <c r="AL503" s="126"/>
      <c r="AM503" s="126"/>
      <c r="AN503" s="126"/>
      <c r="AO503" s="126"/>
    </row>
    <row r="504">
      <c r="A504" s="158"/>
      <c r="B504" s="158"/>
      <c r="C504" s="158"/>
      <c r="D504" s="158"/>
      <c r="E504" s="158"/>
      <c r="F504" s="158"/>
      <c r="G504" s="158"/>
      <c r="H504" s="158"/>
      <c r="I504" s="145"/>
      <c r="J504" s="158"/>
      <c r="K504" s="158"/>
      <c r="L504" s="126"/>
      <c r="M504" s="126"/>
      <c r="N504" s="126"/>
      <c r="O504" s="126"/>
      <c r="P504" s="126"/>
      <c r="Q504" s="126"/>
      <c r="R504" s="126"/>
      <c r="S504" s="126"/>
      <c r="T504" s="126"/>
      <c r="U504" s="126"/>
      <c r="V504" s="126"/>
      <c r="W504" s="126"/>
      <c r="X504" s="126"/>
      <c r="Y504" s="126"/>
      <c r="Z504" s="126"/>
      <c r="AA504" s="126"/>
      <c r="AB504" s="126"/>
      <c r="AC504" s="126"/>
      <c r="AD504" s="126"/>
      <c r="AE504" s="126"/>
      <c r="AF504" s="126"/>
      <c r="AG504" s="126"/>
      <c r="AH504" s="126"/>
      <c r="AI504" s="126"/>
      <c r="AJ504" s="126"/>
      <c r="AK504" s="126"/>
      <c r="AL504" s="126"/>
      <c r="AM504" s="126"/>
      <c r="AN504" s="126"/>
      <c r="AO504" s="126"/>
    </row>
    <row r="505">
      <c r="A505" s="158"/>
      <c r="B505" s="158"/>
      <c r="C505" s="158"/>
      <c r="D505" s="158"/>
      <c r="E505" s="158"/>
      <c r="F505" s="158"/>
      <c r="G505" s="158"/>
      <c r="H505" s="158"/>
      <c r="I505" s="145"/>
      <c r="J505" s="158"/>
      <c r="K505" s="158"/>
      <c r="L505" s="126"/>
      <c r="M505" s="126"/>
      <c r="N505" s="126"/>
      <c r="O505" s="126"/>
      <c r="P505" s="126"/>
      <c r="Q505" s="126"/>
      <c r="R505" s="126"/>
      <c r="S505" s="126"/>
      <c r="T505" s="126"/>
      <c r="U505" s="126"/>
      <c r="V505" s="126"/>
      <c r="W505" s="126"/>
      <c r="X505" s="126"/>
      <c r="Y505" s="126"/>
      <c r="Z505" s="126"/>
      <c r="AA505" s="126"/>
      <c r="AB505" s="126"/>
      <c r="AC505" s="126"/>
      <c r="AD505" s="126"/>
      <c r="AE505" s="126"/>
      <c r="AF505" s="126"/>
      <c r="AG505" s="126"/>
      <c r="AH505" s="126"/>
      <c r="AI505" s="126"/>
      <c r="AJ505" s="126"/>
      <c r="AK505" s="126"/>
      <c r="AL505" s="126"/>
      <c r="AM505" s="126"/>
      <c r="AN505" s="126"/>
      <c r="AO505" s="126"/>
    </row>
    <row r="506">
      <c r="A506" s="158"/>
      <c r="B506" s="158"/>
      <c r="C506" s="158"/>
      <c r="D506" s="158"/>
      <c r="E506" s="158"/>
      <c r="F506" s="158"/>
      <c r="G506" s="158"/>
      <c r="H506" s="158"/>
      <c r="I506" s="145"/>
      <c r="J506" s="158"/>
      <c r="K506" s="158"/>
      <c r="L506" s="126"/>
      <c r="M506" s="126"/>
      <c r="N506" s="126"/>
      <c r="O506" s="126"/>
      <c r="P506" s="126"/>
      <c r="Q506" s="126"/>
      <c r="R506" s="126"/>
      <c r="S506" s="126"/>
      <c r="T506" s="126"/>
      <c r="U506" s="126"/>
      <c r="V506" s="126"/>
      <c r="W506" s="126"/>
      <c r="X506" s="126"/>
      <c r="Y506" s="126"/>
      <c r="Z506" s="126"/>
      <c r="AA506" s="126"/>
      <c r="AB506" s="126"/>
      <c r="AC506" s="126"/>
      <c r="AD506" s="126"/>
      <c r="AE506" s="126"/>
      <c r="AF506" s="126"/>
      <c r="AG506" s="126"/>
      <c r="AH506" s="126"/>
      <c r="AI506" s="126"/>
      <c r="AJ506" s="126"/>
      <c r="AK506" s="126"/>
      <c r="AL506" s="126"/>
      <c r="AM506" s="126"/>
      <c r="AN506" s="126"/>
      <c r="AO506" s="126"/>
    </row>
    <row r="507">
      <c r="A507" s="158"/>
      <c r="B507" s="158"/>
      <c r="C507" s="158"/>
      <c r="D507" s="158"/>
      <c r="E507" s="158"/>
      <c r="F507" s="158"/>
      <c r="G507" s="158"/>
      <c r="H507" s="158"/>
      <c r="I507" s="145"/>
      <c r="J507" s="158"/>
      <c r="K507" s="158"/>
      <c r="L507" s="126"/>
      <c r="M507" s="126"/>
      <c r="N507" s="126"/>
      <c r="O507" s="126"/>
      <c r="P507" s="126"/>
      <c r="Q507" s="126"/>
      <c r="R507" s="126"/>
      <c r="S507" s="126"/>
      <c r="T507" s="126"/>
      <c r="U507" s="126"/>
      <c r="V507" s="126"/>
      <c r="W507" s="126"/>
      <c r="X507" s="126"/>
      <c r="Y507" s="126"/>
      <c r="Z507" s="126"/>
      <c r="AA507" s="126"/>
      <c r="AB507" s="126"/>
      <c r="AC507" s="126"/>
      <c r="AD507" s="126"/>
      <c r="AE507" s="126"/>
      <c r="AF507" s="126"/>
      <c r="AG507" s="126"/>
      <c r="AH507" s="126"/>
      <c r="AI507" s="126"/>
      <c r="AJ507" s="126"/>
      <c r="AK507" s="126"/>
      <c r="AL507" s="126"/>
      <c r="AM507" s="126"/>
      <c r="AN507" s="126"/>
      <c r="AO507" s="126"/>
    </row>
    <row r="508">
      <c r="A508" s="158"/>
      <c r="B508" s="158"/>
      <c r="C508" s="158"/>
      <c r="D508" s="158"/>
      <c r="E508" s="158"/>
      <c r="F508" s="158"/>
      <c r="G508" s="158"/>
      <c r="H508" s="158"/>
      <c r="I508" s="145"/>
      <c r="J508" s="158"/>
      <c r="K508" s="158"/>
      <c r="L508" s="126"/>
      <c r="M508" s="126"/>
      <c r="N508" s="126"/>
      <c r="O508" s="126"/>
      <c r="P508" s="126"/>
      <c r="Q508" s="126"/>
      <c r="R508" s="126"/>
      <c r="S508" s="126"/>
      <c r="T508" s="126"/>
      <c r="U508" s="126"/>
      <c r="V508" s="126"/>
      <c r="W508" s="126"/>
      <c r="X508" s="126"/>
      <c r="Y508" s="126"/>
      <c r="Z508" s="126"/>
      <c r="AA508" s="126"/>
      <c r="AB508" s="126"/>
      <c r="AC508" s="126"/>
      <c r="AD508" s="126"/>
      <c r="AE508" s="126"/>
      <c r="AF508" s="126"/>
      <c r="AG508" s="126"/>
      <c r="AH508" s="126"/>
      <c r="AI508" s="126"/>
      <c r="AJ508" s="126"/>
      <c r="AK508" s="126"/>
      <c r="AL508" s="126"/>
      <c r="AM508" s="126"/>
      <c r="AN508" s="126"/>
      <c r="AO508" s="126"/>
    </row>
    <row r="509">
      <c r="A509" s="158"/>
      <c r="B509" s="158"/>
      <c r="C509" s="158"/>
      <c r="D509" s="158"/>
      <c r="E509" s="158"/>
      <c r="F509" s="158"/>
      <c r="G509" s="158"/>
      <c r="H509" s="158"/>
      <c r="I509" s="145"/>
      <c r="J509" s="158"/>
      <c r="K509" s="158"/>
      <c r="L509" s="126"/>
      <c r="M509" s="126"/>
      <c r="N509" s="126"/>
      <c r="O509" s="126"/>
      <c r="P509" s="126"/>
      <c r="Q509" s="126"/>
      <c r="R509" s="126"/>
      <c r="S509" s="126"/>
      <c r="T509" s="126"/>
      <c r="U509" s="126"/>
      <c r="V509" s="126"/>
      <c r="W509" s="126"/>
      <c r="X509" s="126"/>
      <c r="Y509" s="126"/>
      <c r="Z509" s="126"/>
      <c r="AA509" s="126"/>
      <c r="AB509" s="126"/>
      <c r="AC509" s="126"/>
      <c r="AD509" s="126"/>
      <c r="AE509" s="126"/>
      <c r="AF509" s="126"/>
      <c r="AG509" s="126"/>
      <c r="AH509" s="126"/>
      <c r="AI509" s="126"/>
      <c r="AJ509" s="126"/>
      <c r="AK509" s="126"/>
      <c r="AL509" s="126"/>
      <c r="AM509" s="126"/>
      <c r="AN509" s="126"/>
      <c r="AO509" s="126"/>
    </row>
    <row r="510">
      <c r="A510" s="158"/>
      <c r="B510" s="158"/>
      <c r="C510" s="158"/>
      <c r="D510" s="158"/>
      <c r="E510" s="158"/>
      <c r="F510" s="158"/>
      <c r="G510" s="158"/>
      <c r="H510" s="158"/>
      <c r="I510" s="145"/>
      <c r="J510" s="158"/>
      <c r="K510" s="158"/>
      <c r="L510" s="126"/>
      <c r="M510" s="126"/>
      <c r="N510" s="126"/>
      <c r="O510" s="126"/>
      <c r="P510" s="126"/>
      <c r="Q510" s="126"/>
      <c r="R510" s="126"/>
      <c r="S510" s="126"/>
      <c r="T510" s="126"/>
      <c r="U510" s="126"/>
      <c r="V510" s="126"/>
      <c r="W510" s="126"/>
      <c r="X510" s="126"/>
      <c r="Y510" s="126"/>
      <c r="Z510" s="126"/>
      <c r="AA510" s="126"/>
      <c r="AB510" s="126"/>
      <c r="AC510" s="126"/>
      <c r="AD510" s="126"/>
      <c r="AE510" s="126"/>
      <c r="AF510" s="126"/>
      <c r="AG510" s="126"/>
      <c r="AH510" s="126"/>
      <c r="AI510" s="126"/>
      <c r="AJ510" s="126"/>
      <c r="AK510" s="126"/>
      <c r="AL510" s="126"/>
      <c r="AM510" s="126"/>
      <c r="AN510" s="126"/>
      <c r="AO510" s="126"/>
    </row>
    <row r="511">
      <c r="A511" s="158"/>
      <c r="B511" s="158"/>
      <c r="C511" s="158"/>
      <c r="D511" s="158"/>
      <c r="E511" s="158"/>
      <c r="F511" s="158"/>
      <c r="G511" s="158"/>
      <c r="H511" s="158"/>
      <c r="I511" s="145"/>
      <c r="J511" s="158"/>
      <c r="K511" s="158"/>
      <c r="L511" s="126"/>
      <c r="M511" s="126"/>
      <c r="N511" s="126"/>
      <c r="O511" s="126"/>
      <c r="P511" s="126"/>
      <c r="Q511" s="126"/>
      <c r="R511" s="126"/>
      <c r="S511" s="126"/>
      <c r="T511" s="126"/>
      <c r="U511" s="126"/>
      <c r="V511" s="126"/>
      <c r="W511" s="126"/>
      <c r="X511" s="126"/>
      <c r="Y511" s="126"/>
      <c r="Z511" s="126"/>
      <c r="AA511" s="126"/>
      <c r="AB511" s="126"/>
      <c r="AC511" s="126"/>
      <c r="AD511" s="126"/>
      <c r="AE511" s="126"/>
      <c r="AF511" s="126"/>
      <c r="AG511" s="126"/>
      <c r="AH511" s="126"/>
      <c r="AI511" s="126"/>
      <c r="AJ511" s="126"/>
      <c r="AK511" s="126"/>
      <c r="AL511" s="126"/>
      <c r="AM511" s="126"/>
      <c r="AN511" s="126"/>
      <c r="AO511" s="126"/>
    </row>
    <row r="512">
      <c r="A512" s="158"/>
      <c r="B512" s="158"/>
      <c r="C512" s="158"/>
      <c r="D512" s="158"/>
      <c r="E512" s="158"/>
      <c r="F512" s="158"/>
      <c r="G512" s="158"/>
      <c r="H512" s="158"/>
      <c r="I512" s="145"/>
      <c r="J512" s="158"/>
      <c r="K512" s="158"/>
      <c r="L512" s="126"/>
      <c r="M512" s="126"/>
      <c r="N512" s="126"/>
      <c r="O512" s="126"/>
      <c r="P512" s="126"/>
      <c r="Q512" s="126"/>
      <c r="R512" s="126"/>
      <c r="S512" s="126"/>
      <c r="T512" s="126"/>
      <c r="U512" s="126"/>
      <c r="V512" s="126"/>
      <c r="W512" s="126"/>
      <c r="X512" s="126"/>
      <c r="Y512" s="126"/>
      <c r="Z512" s="126"/>
      <c r="AA512" s="126"/>
      <c r="AB512" s="126"/>
      <c r="AC512" s="126"/>
      <c r="AD512" s="126"/>
      <c r="AE512" s="126"/>
      <c r="AF512" s="126"/>
      <c r="AG512" s="126"/>
      <c r="AH512" s="126"/>
      <c r="AI512" s="126"/>
      <c r="AJ512" s="126"/>
      <c r="AK512" s="126"/>
      <c r="AL512" s="126"/>
      <c r="AM512" s="126"/>
      <c r="AN512" s="126"/>
      <c r="AO512" s="126"/>
    </row>
    <row r="513">
      <c r="A513" s="158"/>
      <c r="B513" s="158"/>
      <c r="C513" s="158"/>
      <c r="D513" s="158"/>
      <c r="E513" s="158"/>
      <c r="F513" s="158"/>
      <c r="G513" s="158"/>
      <c r="H513" s="158"/>
      <c r="I513" s="145"/>
      <c r="J513" s="158"/>
      <c r="K513" s="158"/>
      <c r="L513" s="126"/>
      <c r="M513" s="126"/>
      <c r="N513" s="126"/>
      <c r="O513" s="126"/>
      <c r="P513" s="126"/>
      <c r="Q513" s="126"/>
      <c r="R513" s="126"/>
      <c r="S513" s="126"/>
      <c r="T513" s="126"/>
      <c r="U513" s="126"/>
      <c r="V513" s="126"/>
      <c r="W513" s="126"/>
      <c r="X513" s="126"/>
      <c r="Y513" s="126"/>
      <c r="Z513" s="126"/>
      <c r="AA513" s="126"/>
      <c r="AB513" s="126"/>
      <c r="AC513" s="126"/>
      <c r="AD513" s="126"/>
      <c r="AE513" s="126"/>
      <c r="AF513" s="126"/>
      <c r="AG513" s="126"/>
      <c r="AH513" s="126"/>
      <c r="AI513" s="126"/>
      <c r="AJ513" s="126"/>
      <c r="AK513" s="126"/>
      <c r="AL513" s="126"/>
      <c r="AM513" s="126"/>
      <c r="AN513" s="126"/>
      <c r="AO513" s="126"/>
    </row>
    <row r="514">
      <c r="A514" s="158"/>
      <c r="B514" s="158"/>
      <c r="C514" s="158"/>
      <c r="D514" s="158"/>
      <c r="E514" s="158"/>
      <c r="F514" s="158"/>
      <c r="G514" s="158"/>
      <c r="H514" s="158"/>
      <c r="I514" s="145"/>
      <c r="J514" s="158"/>
      <c r="K514" s="158"/>
      <c r="L514" s="126"/>
      <c r="M514" s="126"/>
      <c r="N514" s="126"/>
      <c r="O514" s="126"/>
      <c r="P514" s="126"/>
      <c r="Q514" s="126"/>
      <c r="R514" s="126"/>
      <c r="S514" s="126"/>
      <c r="T514" s="126"/>
      <c r="U514" s="126"/>
      <c r="V514" s="126"/>
      <c r="W514" s="126"/>
      <c r="X514" s="126"/>
      <c r="Y514" s="126"/>
      <c r="Z514" s="126"/>
      <c r="AA514" s="126"/>
      <c r="AB514" s="126"/>
      <c r="AC514" s="126"/>
      <c r="AD514" s="126"/>
      <c r="AE514" s="126"/>
      <c r="AF514" s="126"/>
      <c r="AG514" s="126"/>
      <c r="AH514" s="126"/>
      <c r="AI514" s="126"/>
      <c r="AJ514" s="126"/>
      <c r="AK514" s="126"/>
      <c r="AL514" s="126"/>
      <c r="AM514" s="126"/>
      <c r="AN514" s="126"/>
      <c r="AO514" s="126"/>
    </row>
    <row r="515">
      <c r="A515" s="158"/>
      <c r="B515" s="158"/>
      <c r="C515" s="158"/>
      <c r="D515" s="158"/>
      <c r="E515" s="158"/>
      <c r="F515" s="158"/>
      <c r="G515" s="158"/>
      <c r="H515" s="158"/>
      <c r="I515" s="145"/>
      <c r="J515" s="158"/>
      <c r="K515" s="158"/>
      <c r="L515" s="126"/>
      <c r="M515" s="126"/>
      <c r="N515" s="126"/>
      <c r="O515" s="126"/>
      <c r="P515" s="126"/>
      <c r="Q515" s="126"/>
      <c r="R515" s="126"/>
      <c r="S515" s="126"/>
      <c r="T515" s="126"/>
      <c r="U515" s="126"/>
      <c r="V515" s="126"/>
      <c r="W515" s="126"/>
      <c r="X515" s="126"/>
      <c r="Y515" s="126"/>
      <c r="Z515" s="126"/>
      <c r="AA515" s="126"/>
      <c r="AB515" s="126"/>
      <c r="AC515" s="126"/>
      <c r="AD515" s="126"/>
      <c r="AE515" s="126"/>
      <c r="AF515" s="126"/>
      <c r="AG515" s="126"/>
      <c r="AH515" s="126"/>
      <c r="AI515" s="126"/>
      <c r="AJ515" s="126"/>
      <c r="AK515" s="126"/>
      <c r="AL515" s="126"/>
      <c r="AM515" s="126"/>
      <c r="AN515" s="126"/>
      <c r="AO515" s="126"/>
    </row>
    <row r="516">
      <c r="A516" s="158"/>
      <c r="B516" s="158"/>
      <c r="C516" s="158"/>
      <c r="D516" s="158"/>
      <c r="E516" s="158"/>
      <c r="F516" s="158"/>
      <c r="G516" s="158"/>
      <c r="H516" s="158"/>
      <c r="I516" s="145"/>
      <c r="J516" s="158"/>
      <c r="K516" s="158"/>
      <c r="L516" s="126"/>
      <c r="M516" s="126"/>
      <c r="N516" s="126"/>
      <c r="O516" s="126"/>
      <c r="P516" s="126"/>
      <c r="Q516" s="126"/>
      <c r="R516" s="126"/>
      <c r="S516" s="126"/>
      <c r="T516" s="126"/>
      <c r="U516" s="126"/>
      <c r="V516" s="126"/>
      <c r="W516" s="126"/>
      <c r="X516" s="126"/>
      <c r="Y516" s="126"/>
      <c r="Z516" s="126"/>
      <c r="AA516" s="126"/>
      <c r="AB516" s="126"/>
      <c r="AC516" s="126"/>
      <c r="AD516" s="126"/>
      <c r="AE516" s="126"/>
      <c r="AF516" s="126"/>
      <c r="AG516" s="126"/>
      <c r="AH516" s="126"/>
      <c r="AI516" s="126"/>
      <c r="AJ516" s="126"/>
      <c r="AK516" s="126"/>
      <c r="AL516" s="126"/>
      <c r="AM516" s="126"/>
      <c r="AN516" s="126"/>
      <c r="AO516" s="126"/>
    </row>
    <row r="517">
      <c r="A517" s="158"/>
      <c r="B517" s="158"/>
      <c r="C517" s="158"/>
      <c r="D517" s="158"/>
      <c r="E517" s="158"/>
      <c r="F517" s="158"/>
      <c r="G517" s="158"/>
      <c r="H517" s="158"/>
      <c r="I517" s="145"/>
      <c r="J517" s="158"/>
      <c r="K517" s="158"/>
      <c r="L517" s="126"/>
      <c r="M517" s="126"/>
      <c r="N517" s="126"/>
      <c r="O517" s="126"/>
      <c r="P517" s="126"/>
      <c r="Q517" s="126"/>
      <c r="R517" s="126"/>
      <c r="S517" s="126"/>
      <c r="T517" s="126"/>
      <c r="U517" s="126"/>
      <c r="V517" s="126"/>
      <c r="W517" s="126"/>
      <c r="X517" s="126"/>
      <c r="Y517" s="126"/>
      <c r="Z517" s="126"/>
      <c r="AA517" s="126"/>
      <c r="AB517" s="126"/>
      <c r="AC517" s="126"/>
      <c r="AD517" s="126"/>
      <c r="AE517" s="126"/>
      <c r="AF517" s="126"/>
      <c r="AG517" s="126"/>
      <c r="AH517" s="126"/>
      <c r="AI517" s="126"/>
      <c r="AJ517" s="126"/>
      <c r="AK517" s="126"/>
      <c r="AL517" s="126"/>
      <c r="AM517" s="126"/>
      <c r="AN517" s="126"/>
      <c r="AO517" s="126"/>
    </row>
    <row r="518">
      <c r="A518" s="158"/>
      <c r="B518" s="158"/>
      <c r="C518" s="158"/>
      <c r="D518" s="158"/>
      <c r="E518" s="158"/>
      <c r="F518" s="158"/>
      <c r="G518" s="158"/>
      <c r="H518" s="158"/>
      <c r="I518" s="145"/>
      <c r="J518" s="158"/>
      <c r="K518" s="158"/>
      <c r="L518" s="126"/>
      <c r="M518" s="126"/>
      <c r="N518" s="126"/>
      <c r="O518" s="126"/>
      <c r="P518" s="126"/>
      <c r="Q518" s="126"/>
      <c r="R518" s="126"/>
      <c r="S518" s="126"/>
      <c r="T518" s="126"/>
      <c r="U518" s="126"/>
      <c r="V518" s="126"/>
      <c r="W518" s="126"/>
      <c r="X518" s="126"/>
      <c r="Y518" s="126"/>
      <c r="Z518" s="126"/>
      <c r="AA518" s="126"/>
      <c r="AB518" s="126"/>
      <c r="AC518" s="126"/>
      <c r="AD518" s="126"/>
      <c r="AE518" s="126"/>
      <c r="AF518" s="126"/>
      <c r="AG518" s="126"/>
      <c r="AH518" s="126"/>
      <c r="AI518" s="126"/>
      <c r="AJ518" s="126"/>
      <c r="AK518" s="126"/>
      <c r="AL518" s="126"/>
      <c r="AM518" s="126"/>
      <c r="AN518" s="126"/>
      <c r="AO518" s="126"/>
    </row>
    <row r="519">
      <c r="A519" s="158"/>
      <c r="B519" s="158"/>
      <c r="C519" s="158"/>
      <c r="D519" s="158"/>
      <c r="E519" s="158"/>
      <c r="F519" s="158"/>
      <c r="G519" s="158"/>
      <c r="H519" s="158"/>
      <c r="I519" s="145"/>
      <c r="J519" s="158"/>
      <c r="K519" s="158"/>
      <c r="L519" s="126"/>
      <c r="M519" s="126"/>
      <c r="N519" s="126"/>
      <c r="O519" s="126"/>
      <c r="P519" s="126"/>
      <c r="Q519" s="126"/>
      <c r="R519" s="126"/>
      <c r="S519" s="126"/>
      <c r="T519" s="126"/>
      <c r="U519" s="126"/>
      <c r="V519" s="126"/>
      <c r="W519" s="126"/>
      <c r="X519" s="126"/>
      <c r="Y519" s="126"/>
      <c r="Z519" s="126"/>
      <c r="AA519" s="126"/>
      <c r="AB519" s="126"/>
      <c r="AC519" s="126"/>
      <c r="AD519" s="126"/>
      <c r="AE519" s="126"/>
      <c r="AF519" s="126"/>
      <c r="AG519" s="126"/>
      <c r="AH519" s="126"/>
      <c r="AI519" s="126"/>
      <c r="AJ519" s="126"/>
      <c r="AK519" s="126"/>
      <c r="AL519" s="126"/>
      <c r="AM519" s="126"/>
      <c r="AN519" s="126"/>
      <c r="AO519" s="126"/>
    </row>
    <row r="520">
      <c r="A520" s="158"/>
      <c r="B520" s="158"/>
      <c r="C520" s="158"/>
      <c r="D520" s="158"/>
      <c r="E520" s="158"/>
      <c r="F520" s="158"/>
      <c r="G520" s="158"/>
      <c r="H520" s="158"/>
      <c r="I520" s="145"/>
      <c r="J520" s="158"/>
      <c r="K520" s="158"/>
      <c r="L520" s="126"/>
      <c r="M520" s="126"/>
      <c r="N520" s="126"/>
      <c r="O520" s="126"/>
      <c r="P520" s="126"/>
      <c r="Q520" s="126"/>
      <c r="R520" s="126"/>
      <c r="S520" s="126"/>
      <c r="T520" s="126"/>
      <c r="U520" s="126"/>
      <c r="V520" s="126"/>
      <c r="W520" s="126"/>
      <c r="X520" s="126"/>
      <c r="Y520" s="126"/>
      <c r="Z520" s="126"/>
      <c r="AA520" s="126"/>
      <c r="AB520" s="126"/>
      <c r="AC520" s="126"/>
      <c r="AD520" s="126"/>
      <c r="AE520" s="126"/>
      <c r="AF520" s="126"/>
      <c r="AG520" s="126"/>
      <c r="AH520" s="126"/>
      <c r="AI520" s="126"/>
      <c r="AJ520" s="126"/>
      <c r="AK520" s="126"/>
      <c r="AL520" s="126"/>
      <c r="AM520" s="126"/>
      <c r="AN520" s="126"/>
      <c r="AO520" s="126"/>
    </row>
    <row r="521">
      <c r="A521" s="158"/>
      <c r="B521" s="158"/>
      <c r="C521" s="158"/>
      <c r="D521" s="158"/>
      <c r="E521" s="158"/>
      <c r="F521" s="158"/>
      <c r="G521" s="158"/>
      <c r="H521" s="158"/>
      <c r="I521" s="145"/>
      <c r="J521" s="158"/>
      <c r="K521" s="158"/>
      <c r="L521" s="126"/>
      <c r="M521" s="126"/>
      <c r="N521" s="126"/>
      <c r="O521" s="126"/>
      <c r="P521" s="126"/>
      <c r="Q521" s="126"/>
      <c r="R521" s="126"/>
      <c r="S521" s="126"/>
      <c r="T521" s="126"/>
      <c r="U521" s="126"/>
      <c r="V521" s="126"/>
      <c r="W521" s="126"/>
      <c r="X521" s="126"/>
      <c r="Y521" s="126"/>
      <c r="Z521" s="126"/>
      <c r="AA521" s="126"/>
      <c r="AB521" s="126"/>
      <c r="AC521" s="126"/>
      <c r="AD521" s="126"/>
      <c r="AE521" s="126"/>
      <c r="AF521" s="126"/>
      <c r="AG521" s="126"/>
      <c r="AH521" s="126"/>
      <c r="AI521" s="126"/>
      <c r="AJ521" s="126"/>
      <c r="AK521" s="126"/>
      <c r="AL521" s="126"/>
      <c r="AM521" s="126"/>
      <c r="AN521" s="126"/>
      <c r="AO521" s="126"/>
    </row>
    <row r="522">
      <c r="A522" s="158"/>
      <c r="B522" s="158"/>
      <c r="C522" s="158"/>
      <c r="D522" s="158"/>
      <c r="E522" s="158"/>
      <c r="F522" s="158"/>
      <c r="G522" s="158"/>
      <c r="H522" s="158"/>
      <c r="I522" s="145"/>
      <c r="J522" s="158"/>
      <c r="K522" s="158"/>
      <c r="L522" s="126"/>
      <c r="M522" s="126"/>
      <c r="N522" s="126"/>
      <c r="O522" s="126"/>
      <c r="P522" s="126"/>
      <c r="Q522" s="126"/>
      <c r="R522" s="126"/>
      <c r="S522" s="126"/>
      <c r="T522" s="126"/>
      <c r="U522" s="126"/>
      <c r="V522" s="126"/>
      <c r="W522" s="126"/>
      <c r="X522" s="126"/>
      <c r="Y522" s="126"/>
      <c r="Z522" s="126"/>
      <c r="AA522" s="126"/>
      <c r="AB522" s="126"/>
      <c r="AC522" s="126"/>
      <c r="AD522" s="126"/>
      <c r="AE522" s="126"/>
      <c r="AF522" s="126"/>
      <c r="AG522" s="126"/>
      <c r="AH522" s="126"/>
      <c r="AI522" s="126"/>
      <c r="AJ522" s="126"/>
      <c r="AK522" s="126"/>
      <c r="AL522" s="126"/>
      <c r="AM522" s="126"/>
      <c r="AN522" s="126"/>
      <c r="AO522" s="126"/>
    </row>
    <row r="523">
      <c r="A523" s="158"/>
      <c r="B523" s="158"/>
      <c r="C523" s="158"/>
      <c r="D523" s="158"/>
      <c r="E523" s="158"/>
      <c r="F523" s="158"/>
      <c r="G523" s="158"/>
      <c r="H523" s="158"/>
      <c r="I523" s="145"/>
      <c r="J523" s="158"/>
      <c r="K523" s="158"/>
      <c r="L523" s="126"/>
      <c r="M523" s="126"/>
      <c r="N523" s="126"/>
      <c r="O523" s="126"/>
      <c r="P523" s="126"/>
      <c r="Q523" s="126"/>
      <c r="R523" s="126"/>
      <c r="S523" s="126"/>
      <c r="T523" s="126"/>
      <c r="U523" s="126"/>
      <c r="V523" s="126"/>
      <c r="W523" s="126"/>
      <c r="X523" s="126"/>
      <c r="Y523" s="126"/>
      <c r="Z523" s="126"/>
      <c r="AA523" s="126"/>
      <c r="AB523" s="126"/>
      <c r="AC523" s="126"/>
      <c r="AD523" s="126"/>
      <c r="AE523" s="126"/>
      <c r="AF523" s="126"/>
      <c r="AG523" s="126"/>
      <c r="AH523" s="126"/>
      <c r="AI523" s="126"/>
      <c r="AJ523" s="126"/>
      <c r="AK523" s="126"/>
      <c r="AL523" s="126"/>
      <c r="AM523" s="126"/>
      <c r="AN523" s="126"/>
      <c r="AO523" s="126"/>
    </row>
    <row r="524">
      <c r="A524" s="158"/>
      <c r="B524" s="158"/>
      <c r="C524" s="158"/>
      <c r="D524" s="158"/>
      <c r="E524" s="158"/>
      <c r="F524" s="158"/>
      <c r="G524" s="158"/>
      <c r="H524" s="158"/>
      <c r="I524" s="145"/>
      <c r="J524" s="158"/>
      <c r="K524" s="158"/>
      <c r="L524" s="126"/>
      <c r="M524" s="126"/>
      <c r="N524" s="126"/>
      <c r="O524" s="126"/>
      <c r="P524" s="126"/>
      <c r="Q524" s="126"/>
      <c r="R524" s="126"/>
      <c r="S524" s="126"/>
      <c r="T524" s="126"/>
      <c r="U524" s="126"/>
      <c r="V524" s="126"/>
      <c r="W524" s="126"/>
      <c r="X524" s="126"/>
      <c r="Y524" s="126"/>
      <c r="Z524" s="126"/>
      <c r="AA524" s="126"/>
      <c r="AB524" s="126"/>
      <c r="AC524" s="126"/>
      <c r="AD524" s="126"/>
      <c r="AE524" s="126"/>
      <c r="AF524" s="126"/>
      <c r="AG524" s="126"/>
      <c r="AH524" s="126"/>
      <c r="AI524" s="126"/>
      <c r="AJ524" s="126"/>
      <c r="AK524" s="126"/>
      <c r="AL524" s="126"/>
      <c r="AM524" s="126"/>
      <c r="AN524" s="126"/>
      <c r="AO524" s="126"/>
    </row>
    <row r="525">
      <c r="A525" s="158"/>
      <c r="B525" s="158"/>
      <c r="C525" s="158"/>
      <c r="D525" s="158"/>
      <c r="E525" s="158"/>
      <c r="F525" s="158"/>
      <c r="G525" s="158"/>
      <c r="H525" s="158"/>
      <c r="I525" s="145"/>
      <c r="J525" s="158"/>
      <c r="K525" s="158"/>
      <c r="L525" s="126"/>
      <c r="M525" s="126"/>
      <c r="N525" s="126"/>
      <c r="O525" s="126"/>
      <c r="P525" s="126"/>
      <c r="Q525" s="126"/>
      <c r="R525" s="126"/>
      <c r="S525" s="126"/>
      <c r="T525" s="126"/>
      <c r="U525" s="126"/>
      <c r="V525" s="126"/>
      <c r="W525" s="126"/>
      <c r="X525" s="126"/>
      <c r="Y525" s="126"/>
      <c r="Z525" s="126"/>
      <c r="AA525" s="126"/>
      <c r="AB525" s="126"/>
      <c r="AC525" s="126"/>
      <c r="AD525" s="126"/>
      <c r="AE525" s="126"/>
      <c r="AF525" s="126"/>
      <c r="AG525" s="126"/>
      <c r="AH525" s="126"/>
      <c r="AI525" s="126"/>
      <c r="AJ525" s="126"/>
      <c r="AK525" s="126"/>
      <c r="AL525" s="126"/>
      <c r="AM525" s="126"/>
      <c r="AN525" s="126"/>
      <c r="AO525" s="126"/>
    </row>
    <row r="526">
      <c r="A526" s="158"/>
      <c r="B526" s="158"/>
      <c r="C526" s="158"/>
      <c r="D526" s="158"/>
      <c r="E526" s="158"/>
      <c r="F526" s="158"/>
      <c r="G526" s="158"/>
      <c r="H526" s="158"/>
      <c r="I526" s="145"/>
      <c r="J526" s="158"/>
      <c r="K526" s="158"/>
      <c r="L526" s="126"/>
      <c r="M526" s="126"/>
      <c r="N526" s="126"/>
      <c r="O526" s="126"/>
      <c r="P526" s="126"/>
      <c r="Q526" s="126"/>
      <c r="R526" s="126"/>
      <c r="S526" s="126"/>
      <c r="T526" s="126"/>
      <c r="U526" s="126"/>
      <c r="V526" s="126"/>
      <c r="W526" s="126"/>
      <c r="X526" s="126"/>
      <c r="Y526" s="126"/>
      <c r="Z526" s="126"/>
      <c r="AA526" s="126"/>
      <c r="AB526" s="126"/>
      <c r="AC526" s="126"/>
      <c r="AD526" s="126"/>
      <c r="AE526" s="126"/>
      <c r="AF526" s="126"/>
      <c r="AG526" s="126"/>
      <c r="AH526" s="126"/>
      <c r="AI526" s="126"/>
      <c r="AJ526" s="126"/>
      <c r="AK526" s="126"/>
      <c r="AL526" s="126"/>
      <c r="AM526" s="126"/>
      <c r="AN526" s="126"/>
      <c r="AO526" s="126"/>
    </row>
    <row r="527">
      <c r="A527" s="158"/>
      <c r="B527" s="158"/>
      <c r="C527" s="158"/>
      <c r="D527" s="158"/>
      <c r="E527" s="158"/>
      <c r="F527" s="158"/>
      <c r="G527" s="158"/>
      <c r="H527" s="158"/>
      <c r="I527" s="145"/>
      <c r="J527" s="158"/>
      <c r="K527" s="158"/>
      <c r="L527" s="126"/>
      <c r="M527" s="126"/>
      <c r="N527" s="126"/>
      <c r="O527" s="126"/>
      <c r="P527" s="126"/>
      <c r="Q527" s="126"/>
      <c r="R527" s="126"/>
      <c r="S527" s="126"/>
      <c r="T527" s="126"/>
      <c r="U527" s="126"/>
      <c r="V527" s="126"/>
      <c r="W527" s="126"/>
      <c r="X527" s="126"/>
      <c r="Y527" s="126"/>
      <c r="Z527" s="126"/>
      <c r="AA527" s="126"/>
      <c r="AB527" s="126"/>
      <c r="AC527" s="126"/>
      <c r="AD527" s="126"/>
      <c r="AE527" s="126"/>
      <c r="AF527" s="126"/>
      <c r="AG527" s="126"/>
      <c r="AH527" s="126"/>
      <c r="AI527" s="126"/>
      <c r="AJ527" s="126"/>
      <c r="AK527" s="126"/>
      <c r="AL527" s="126"/>
      <c r="AM527" s="126"/>
      <c r="AN527" s="126"/>
      <c r="AO527" s="126"/>
    </row>
    <row r="528">
      <c r="A528" s="158"/>
      <c r="B528" s="158"/>
      <c r="C528" s="158"/>
      <c r="D528" s="158"/>
      <c r="E528" s="158"/>
      <c r="F528" s="158"/>
      <c r="G528" s="158"/>
      <c r="H528" s="158"/>
      <c r="I528" s="145"/>
      <c r="J528" s="158"/>
      <c r="K528" s="158"/>
      <c r="L528" s="126"/>
      <c r="M528" s="126"/>
      <c r="N528" s="126"/>
      <c r="O528" s="126"/>
      <c r="P528" s="126"/>
      <c r="Q528" s="126"/>
      <c r="R528" s="126"/>
      <c r="S528" s="126"/>
      <c r="T528" s="126"/>
      <c r="U528" s="126"/>
      <c r="V528" s="126"/>
      <c r="W528" s="126"/>
      <c r="X528" s="126"/>
      <c r="Y528" s="126"/>
      <c r="Z528" s="126"/>
      <c r="AA528" s="126"/>
      <c r="AB528" s="126"/>
      <c r="AC528" s="126"/>
      <c r="AD528" s="126"/>
      <c r="AE528" s="126"/>
      <c r="AF528" s="126"/>
      <c r="AG528" s="126"/>
      <c r="AH528" s="126"/>
      <c r="AI528" s="126"/>
      <c r="AJ528" s="126"/>
      <c r="AK528" s="126"/>
      <c r="AL528" s="126"/>
      <c r="AM528" s="126"/>
      <c r="AN528" s="126"/>
      <c r="AO528" s="126"/>
    </row>
    <row r="529">
      <c r="A529" s="158"/>
      <c r="B529" s="158"/>
      <c r="C529" s="158"/>
      <c r="D529" s="158"/>
      <c r="E529" s="158"/>
      <c r="F529" s="158"/>
      <c r="G529" s="158"/>
      <c r="H529" s="158"/>
      <c r="I529" s="145"/>
      <c r="J529" s="158"/>
      <c r="K529" s="158"/>
      <c r="L529" s="126"/>
      <c r="M529" s="126"/>
      <c r="N529" s="126"/>
      <c r="O529" s="126"/>
      <c r="P529" s="126"/>
      <c r="Q529" s="126"/>
      <c r="R529" s="126"/>
      <c r="S529" s="126"/>
      <c r="T529" s="126"/>
      <c r="U529" s="126"/>
      <c r="V529" s="126"/>
      <c r="W529" s="126"/>
      <c r="X529" s="126"/>
      <c r="Y529" s="126"/>
      <c r="Z529" s="126"/>
      <c r="AA529" s="126"/>
      <c r="AB529" s="126"/>
      <c r="AC529" s="126"/>
      <c r="AD529" s="126"/>
      <c r="AE529" s="126"/>
      <c r="AF529" s="126"/>
      <c r="AG529" s="126"/>
      <c r="AH529" s="126"/>
      <c r="AI529" s="126"/>
      <c r="AJ529" s="126"/>
      <c r="AK529" s="126"/>
      <c r="AL529" s="126"/>
      <c r="AM529" s="126"/>
      <c r="AN529" s="126"/>
      <c r="AO529" s="126"/>
    </row>
    <row r="530">
      <c r="A530" s="158"/>
      <c r="B530" s="158"/>
      <c r="C530" s="158"/>
      <c r="D530" s="158"/>
      <c r="E530" s="158"/>
      <c r="F530" s="158"/>
      <c r="G530" s="158"/>
      <c r="H530" s="158"/>
      <c r="I530" s="145"/>
      <c r="J530" s="158"/>
      <c r="K530" s="158"/>
      <c r="L530" s="126"/>
      <c r="M530" s="126"/>
      <c r="N530" s="126"/>
      <c r="O530" s="126"/>
      <c r="P530" s="126"/>
      <c r="Q530" s="126"/>
      <c r="R530" s="126"/>
      <c r="S530" s="126"/>
      <c r="T530" s="126"/>
      <c r="U530" s="126"/>
      <c r="V530" s="126"/>
      <c r="W530" s="126"/>
      <c r="X530" s="126"/>
      <c r="Y530" s="126"/>
      <c r="Z530" s="126"/>
      <c r="AA530" s="126"/>
      <c r="AB530" s="126"/>
      <c r="AC530" s="126"/>
      <c r="AD530" s="126"/>
      <c r="AE530" s="126"/>
      <c r="AF530" s="126"/>
      <c r="AG530" s="126"/>
      <c r="AH530" s="126"/>
      <c r="AI530" s="126"/>
      <c r="AJ530" s="126"/>
      <c r="AK530" s="126"/>
      <c r="AL530" s="126"/>
      <c r="AM530" s="126"/>
      <c r="AN530" s="126"/>
      <c r="AO530" s="126"/>
    </row>
    <row r="531">
      <c r="A531" s="158"/>
      <c r="B531" s="158"/>
      <c r="C531" s="158"/>
      <c r="D531" s="158"/>
      <c r="E531" s="158"/>
      <c r="F531" s="158"/>
      <c r="G531" s="158"/>
      <c r="H531" s="158"/>
      <c r="I531" s="145"/>
      <c r="J531" s="158"/>
      <c r="K531" s="158"/>
      <c r="L531" s="126"/>
      <c r="M531" s="126"/>
      <c r="N531" s="126"/>
      <c r="O531" s="126"/>
      <c r="P531" s="126"/>
      <c r="Q531" s="126"/>
      <c r="R531" s="126"/>
      <c r="S531" s="126"/>
      <c r="T531" s="126"/>
      <c r="U531" s="126"/>
      <c r="V531" s="126"/>
      <c r="W531" s="126"/>
      <c r="X531" s="126"/>
      <c r="Y531" s="126"/>
      <c r="Z531" s="126"/>
      <c r="AA531" s="126"/>
      <c r="AB531" s="126"/>
      <c r="AC531" s="126"/>
      <c r="AD531" s="126"/>
      <c r="AE531" s="126"/>
      <c r="AF531" s="126"/>
      <c r="AG531" s="126"/>
      <c r="AH531" s="126"/>
      <c r="AI531" s="126"/>
      <c r="AJ531" s="126"/>
      <c r="AK531" s="126"/>
      <c r="AL531" s="126"/>
      <c r="AM531" s="126"/>
      <c r="AN531" s="126"/>
      <c r="AO531" s="126"/>
    </row>
    <row r="532">
      <c r="A532" s="158"/>
      <c r="B532" s="158"/>
      <c r="C532" s="158"/>
      <c r="D532" s="158"/>
      <c r="E532" s="158"/>
      <c r="F532" s="158"/>
      <c r="G532" s="158"/>
      <c r="H532" s="158"/>
      <c r="I532" s="145"/>
      <c r="J532" s="158"/>
      <c r="K532" s="158"/>
      <c r="L532" s="126"/>
      <c r="M532" s="126"/>
      <c r="N532" s="126"/>
      <c r="O532" s="126"/>
      <c r="P532" s="126"/>
      <c r="Q532" s="126"/>
      <c r="R532" s="126"/>
      <c r="S532" s="126"/>
      <c r="T532" s="126"/>
      <c r="U532" s="126"/>
      <c r="V532" s="126"/>
      <c r="W532" s="126"/>
      <c r="X532" s="126"/>
      <c r="Y532" s="126"/>
      <c r="Z532" s="126"/>
      <c r="AA532" s="126"/>
      <c r="AB532" s="126"/>
      <c r="AC532" s="126"/>
      <c r="AD532" s="126"/>
      <c r="AE532" s="126"/>
      <c r="AF532" s="126"/>
      <c r="AG532" s="126"/>
      <c r="AH532" s="126"/>
      <c r="AI532" s="126"/>
      <c r="AJ532" s="126"/>
      <c r="AK532" s="126"/>
      <c r="AL532" s="126"/>
      <c r="AM532" s="126"/>
      <c r="AN532" s="126"/>
      <c r="AO532" s="126"/>
    </row>
    <row r="533">
      <c r="A533" s="158"/>
      <c r="B533" s="158"/>
      <c r="C533" s="158"/>
      <c r="D533" s="158"/>
      <c r="E533" s="158"/>
      <c r="F533" s="158"/>
      <c r="G533" s="158"/>
      <c r="H533" s="158"/>
      <c r="I533" s="145"/>
      <c r="J533" s="158"/>
      <c r="K533" s="158"/>
      <c r="L533" s="126"/>
      <c r="M533" s="126"/>
      <c r="N533" s="126"/>
      <c r="O533" s="126"/>
      <c r="P533" s="126"/>
      <c r="Q533" s="126"/>
      <c r="R533" s="126"/>
      <c r="S533" s="126"/>
      <c r="T533" s="126"/>
      <c r="U533" s="126"/>
      <c r="V533" s="126"/>
      <c r="W533" s="126"/>
      <c r="X533" s="126"/>
      <c r="Y533" s="126"/>
      <c r="Z533" s="126"/>
      <c r="AA533" s="126"/>
      <c r="AB533" s="126"/>
      <c r="AC533" s="126"/>
      <c r="AD533" s="126"/>
      <c r="AE533" s="126"/>
      <c r="AF533" s="126"/>
      <c r="AG533" s="126"/>
      <c r="AH533" s="126"/>
      <c r="AI533" s="126"/>
      <c r="AJ533" s="126"/>
      <c r="AK533" s="126"/>
      <c r="AL533" s="126"/>
      <c r="AM533" s="126"/>
      <c r="AN533" s="126"/>
      <c r="AO533" s="126"/>
    </row>
    <row r="534">
      <c r="A534" s="158"/>
      <c r="B534" s="158"/>
      <c r="C534" s="158"/>
      <c r="D534" s="158"/>
      <c r="E534" s="158"/>
      <c r="F534" s="158"/>
      <c r="G534" s="158"/>
      <c r="H534" s="158"/>
      <c r="I534" s="145"/>
      <c r="J534" s="158"/>
      <c r="K534" s="158"/>
      <c r="L534" s="126"/>
      <c r="M534" s="126"/>
      <c r="N534" s="126"/>
      <c r="O534" s="126"/>
      <c r="P534" s="126"/>
      <c r="Q534" s="126"/>
      <c r="R534" s="126"/>
      <c r="S534" s="126"/>
      <c r="T534" s="126"/>
      <c r="U534" s="126"/>
      <c r="V534" s="126"/>
      <c r="W534" s="126"/>
      <c r="X534" s="126"/>
      <c r="Y534" s="126"/>
      <c r="Z534" s="126"/>
      <c r="AA534" s="126"/>
      <c r="AB534" s="126"/>
      <c r="AC534" s="126"/>
      <c r="AD534" s="126"/>
      <c r="AE534" s="126"/>
      <c r="AF534" s="126"/>
      <c r="AG534" s="126"/>
      <c r="AH534" s="126"/>
      <c r="AI534" s="126"/>
      <c r="AJ534" s="126"/>
      <c r="AK534" s="126"/>
      <c r="AL534" s="126"/>
      <c r="AM534" s="126"/>
      <c r="AN534" s="126"/>
      <c r="AO534" s="126"/>
    </row>
    <row r="535">
      <c r="A535" s="158"/>
      <c r="B535" s="158"/>
      <c r="C535" s="158"/>
      <c r="D535" s="158"/>
      <c r="E535" s="158"/>
      <c r="F535" s="158"/>
      <c r="G535" s="158"/>
      <c r="H535" s="158"/>
      <c r="I535" s="145"/>
      <c r="J535" s="158"/>
      <c r="K535" s="158"/>
      <c r="L535" s="126"/>
      <c r="M535" s="126"/>
      <c r="N535" s="126"/>
      <c r="O535" s="126"/>
      <c r="P535" s="126"/>
      <c r="Q535" s="126"/>
      <c r="R535" s="126"/>
      <c r="S535" s="126"/>
      <c r="T535" s="126"/>
      <c r="U535" s="126"/>
      <c r="V535" s="126"/>
      <c r="W535" s="126"/>
      <c r="X535" s="126"/>
      <c r="Y535" s="126"/>
      <c r="Z535" s="126"/>
      <c r="AA535" s="126"/>
      <c r="AB535" s="126"/>
      <c r="AC535" s="126"/>
      <c r="AD535" s="126"/>
      <c r="AE535" s="126"/>
      <c r="AF535" s="126"/>
      <c r="AG535" s="126"/>
      <c r="AH535" s="126"/>
      <c r="AI535" s="126"/>
      <c r="AJ535" s="126"/>
      <c r="AK535" s="126"/>
      <c r="AL535" s="126"/>
      <c r="AM535" s="126"/>
      <c r="AN535" s="126"/>
      <c r="AO535" s="126"/>
    </row>
    <row r="536">
      <c r="A536" s="158"/>
      <c r="B536" s="158"/>
      <c r="C536" s="158"/>
      <c r="D536" s="158"/>
      <c r="E536" s="158"/>
      <c r="F536" s="158"/>
      <c r="G536" s="158"/>
      <c r="H536" s="158"/>
      <c r="I536" s="145"/>
      <c r="J536" s="158"/>
      <c r="K536" s="158"/>
      <c r="L536" s="126"/>
      <c r="M536" s="126"/>
      <c r="N536" s="126"/>
      <c r="O536" s="126"/>
      <c r="P536" s="126"/>
      <c r="Q536" s="126"/>
      <c r="R536" s="126"/>
      <c r="S536" s="126"/>
      <c r="T536" s="126"/>
      <c r="U536" s="126"/>
      <c r="V536" s="126"/>
      <c r="W536" s="126"/>
      <c r="X536" s="126"/>
      <c r="Y536" s="126"/>
      <c r="Z536" s="126"/>
      <c r="AA536" s="126"/>
      <c r="AB536" s="126"/>
      <c r="AC536" s="126"/>
      <c r="AD536" s="126"/>
      <c r="AE536" s="126"/>
      <c r="AF536" s="126"/>
      <c r="AG536" s="126"/>
      <c r="AH536" s="126"/>
      <c r="AI536" s="126"/>
      <c r="AJ536" s="126"/>
      <c r="AK536" s="126"/>
      <c r="AL536" s="126"/>
      <c r="AM536" s="126"/>
      <c r="AN536" s="126"/>
      <c r="AO536" s="126"/>
    </row>
    <row r="537">
      <c r="A537" s="158"/>
      <c r="B537" s="158"/>
      <c r="C537" s="158"/>
      <c r="D537" s="158"/>
      <c r="E537" s="158"/>
      <c r="F537" s="158"/>
      <c r="G537" s="158"/>
      <c r="H537" s="158"/>
      <c r="I537" s="145"/>
      <c r="J537" s="158"/>
      <c r="K537" s="158"/>
      <c r="L537" s="126"/>
      <c r="M537" s="126"/>
      <c r="N537" s="126"/>
      <c r="O537" s="126"/>
      <c r="P537" s="126"/>
      <c r="Q537" s="126"/>
      <c r="R537" s="126"/>
      <c r="S537" s="126"/>
      <c r="T537" s="126"/>
      <c r="U537" s="126"/>
      <c r="V537" s="126"/>
      <c r="W537" s="126"/>
      <c r="X537" s="126"/>
      <c r="Y537" s="126"/>
      <c r="Z537" s="126"/>
      <c r="AA537" s="126"/>
      <c r="AB537" s="126"/>
      <c r="AC537" s="126"/>
      <c r="AD537" s="126"/>
      <c r="AE537" s="126"/>
      <c r="AF537" s="126"/>
      <c r="AG537" s="126"/>
      <c r="AH537" s="126"/>
      <c r="AI537" s="126"/>
      <c r="AJ537" s="126"/>
      <c r="AK537" s="126"/>
      <c r="AL537" s="126"/>
      <c r="AM537" s="126"/>
      <c r="AN537" s="126"/>
      <c r="AO537" s="126"/>
    </row>
    <row r="538">
      <c r="A538" s="158"/>
      <c r="B538" s="158"/>
      <c r="C538" s="158"/>
      <c r="D538" s="158"/>
      <c r="E538" s="158"/>
      <c r="F538" s="158"/>
      <c r="G538" s="158"/>
      <c r="H538" s="158"/>
      <c r="I538" s="145"/>
      <c r="J538" s="158"/>
      <c r="K538" s="158"/>
      <c r="L538" s="126"/>
      <c r="M538" s="126"/>
      <c r="N538" s="126"/>
      <c r="O538" s="126"/>
      <c r="P538" s="126"/>
      <c r="Q538" s="126"/>
      <c r="R538" s="126"/>
      <c r="S538" s="126"/>
      <c r="T538" s="126"/>
      <c r="U538" s="126"/>
      <c r="V538" s="126"/>
      <c r="W538" s="126"/>
      <c r="X538" s="126"/>
      <c r="Y538" s="126"/>
      <c r="Z538" s="126"/>
      <c r="AA538" s="126"/>
      <c r="AB538" s="126"/>
      <c r="AC538" s="126"/>
      <c r="AD538" s="126"/>
      <c r="AE538" s="126"/>
      <c r="AF538" s="126"/>
      <c r="AG538" s="126"/>
      <c r="AH538" s="126"/>
      <c r="AI538" s="126"/>
      <c r="AJ538" s="126"/>
      <c r="AK538" s="126"/>
      <c r="AL538" s="126"/>
      <c r="AM538" s="126"/>
      <c r="AN538" s="126"/>
      <c r="AO538" s="126"/>
    </row>
    <row r="539">
      <c r="A539" s="158"/>
      <c r="B539" s="158"/>
      <c r="C539" s="158"/>
      <c r="D539" s="158"/>
      <c r="E539" s="158"/>
      <c r="F539" s="158"/>
      <c r="G539" s="158"/>
      <c r="H539" s="158"/>
      <c r="I539" s="145"/>
      <c r="J539" s="158"/>
      <c r="K539" s="158"/>
      <c r="L539" s="126"/>
      <c r="M539" s="126"/>
      <c r="N539" s="126"/>
      <c r="O539" s="126"/>
      <c r="P539" s="126"/>
      <c r="Q539" s="126"/>
      <c r="R539" s="126"/>
      <c r="S539" s="126"/>
      <c r="T539" s="126"/>
      <c r="U539" s="126"/>
      <c r="V539" s="126"/>
      <c r="W539" s="126"/>
      <c r="X539" s="126"/>
      <c r="Y539" s="126"/>
      <c r="Z539" s="126"/>
      <c r="AA539" s="126"/>
      <c r="AB539" s="126"/>
      <c r="AC539" s="126"/>
      <c r="AD539" s="126"/>
      <c r="AE539" s="126"/>
      <c r="AF539" s="126"/>
      <c r="AG539" s="126"/>
      <c r="AH539" s="126"/>
      <c r="AI539" s="126"/>
      <c r="AJ539" s="126"/>
      <c r="AK539" s="126"/>
      <c r="AL539" s="126"/>
      <c r="AM539" s="126"/>
      <c r="AN539" s="126"/>
      <c r="AO539" s="126"/>
    </row>
    <row r="540">
      <c r="A540" s="158"/>
      <c r="B540" s="158"/>
      <c r="C540" s="158"/>
      <c r="D540" s="158"/>
      <c r="E540" s="158"/>
      <c r="F540" s="158"/>
      <c r="G540" s="158"/>
      <c r="H540" s="158"/>
      <c r="I540" s="145"/>
      <c r="J540" s="158"/>
      <c r="K540" s="158"/>
      <c r="L540" s="126"/>
      <c r="M540" s="126"/>
      <c r="N540" s="126"/>
      <c r="O540" s="126"/>
      <c r="P540" s="126"/>
      <c r="Q540" s="126"/>
      <c r="R540" s="126"/>
      <c r="S540" s="126"/>
      <c r="T540" s="126"/>
      <c r="U540" s="126"/>
      <c r="V540" s="126"/>
      <c r="W540" s="126"/>
      <c r="X540" s="126"/>
      <c r="Y540" s="126"/>
      <c r="Z540" s="126"/>
      <c r="AA540" s="126"/>
      <c r="AB540" s="126"/>
      <c r="AC540" s="126"/>
      <c r="AD540" s="126"/>
      <c r="AE540" s="126"/>
      <c r="AF540" s="126"/>
      <c r="AG540" s="126"/>
      <c r="AH540" s="126"/>
      <c r="AI540" s="126"/>
      <c r="AJ540" s="126"/>
      <c r="AK540" s="126"/>
      <c r="AL540" s="126"/>
      <c r="AM540" s="126"/>
      <c r="AN540" s="126"/>
      <c r="AO540" s="126"/>
    </row>
    <row r="541">
      <c r="A541" s="158"/>
      <c r="B541" s="158"/>
      <c r="C541" s="158"/>
      <c r="D541" s="158"/>
      <c r="E541" s="158"/>
      <c r="F541" s="158"/>
      <c r="G541" s="158"/>
      <c r="H541" s="158"/>
      <c r="I541" s="145"/>
      <c r="J541" s="158"/>
      <c r="K541" s="158"/>
      <c r="L541" s="126"/>
      <c r="M541" s="126"/>
      <c r="N541" s="126"/>
      <c r="O541" s="126"/>
      <c r="P541" s="126"/>
      <c r="Q541" s="126"/>
      <c r="R541" s="126"/>
      <c r="S541" s="126"/>
      <c r="T541" s="126"/>
      <c r="U541" s="126"/>
      <c r="V541" s="126"/>
      <c r="W541" s="126"/>
      <c r="X541" s="126"/>
      <c r="Y541" s="126"/>
      <c r="Z541" s="126"/>
      <c r="AA541" s="126"/>
      <c r="AB541" s="126"/>
      <c r="AC541" s="126"/>
      <c r="AD541" s="126"/>
      <c r="AE541" s="126"/>
      <c r="AF541" s="126"/>
      <c r="AG541" s="126"/>
      <c r="AH541" s="126"/>
      <c r="AI541" s="126"/>
      <c r="AJ541" s="126"/>
      <c r="AK541" s="126"/>
      <c r="AL541" s="126"/>
      <c r="AM541" s="126"/>
      <c r="AN541" s="126"/>
      <c r="AO541" s="126"/>
    </row>
    <row r="542">
      <c r="A542" s="158"/>
      <c r="B542" s="158"/>
      <c r="C542" s="158"/>
      <c r="D542" s="158"/>
      <c r="E542" s="158"/>
      <c r="F542" s="158"/>
      <c r="G542" s="158"/>
      <c r="H542" s="158"/>
      <c r="I542" s="145"/>
      <c r="J542" s="158"/>
      <c r="K542" s="158"/>
      <c r="L542" s="126"/>
      <c r="M542" s="126"/>
      <c r="N542" s="126"/>
      <c r="O542" s="126"/>
      <c r="P542" s="126"/>
      <c r="Q542" s="126"/>
      <c r="R542" s="126"/>
      <c r="S542" s="126"/>
      <c r="T542" s="126"/>
      <c r="U542" s="126"/>
      <c r="V542" s="126"/>
      <c r="W542" s="126"/>
      <c r="X542" s="126"/>
      <c r="Y542" s="126"/>
      <c r="Z542" s="126"/>
      <c r="AA542" s="126"/>
      <c r="AB542" s="126"/>
      <c r="AC542" s="126"/>
      <c r="AD542" s="126"/>
      <c r="AE542" s="126"/>
      <c r="AF542" s="126"/>
      <c r="AG542" s="126"/>
      <c r="AH542" s="126"/>
      <c r="AI542" s="126"/>
      <c r="AJ542" s="126"/>
      <c r="AK542" s="126"/>
      <c r="AL542" s="126"/>
      <c r="AM542" s="126"/>
      <c r="AN542" s="126"/>
      <c r="AO542" s="126"/>
    </row>
    <row r="543">
      <c r="A543" s="158"/>
      <c r="B543" s="158"/>
      <c r="C543" s="158"/>
      <c r="D543" s="158"/>
      <c r="E543" s="158"/>
      <c r="F543" s="158"/>
      <c r="G543" s="158"/>
      <c r="H543" s="158"/>
      <c r="I543" s="145"/>
      <c r="J543" s="158"/>
      <c r="K543" s="158"/>
      <c r="L543" s="126"/>
      <c r="M543" s="126"/>
      <c r="N543" s="126"/>
      <c r="O543" s="126"/>
      <c r="P543" s="126"/>
      <c r="Q543" s="126"/>
      <c r="R543" s="126"/>
      <c r="S543" s="126"/>
      <c r="T543" s="126"/>
      <c r="U543" s="126"/>
      <c r="V543" s="126"/>
      <c r="W543" s="126"/>
      <c r="X543" s="126"/>
      <c r="Y543" s="126"/>
      <c r="Z543" s="126"/>
      <c r="AA543" s="126"/>
      <c r="AB543" s="126"/>
      <c r="AC543" s="126"/>
      <c r="AD543" s="126"/>
      <c r="AE543" s="126"/>
      <c r="AF543" s="126"/>
      <c r="AG543" s="126"/>
      <c r="AH543" s="126"/>
      <c r="AI543" s="126"/>
      <c r="AJ543" s="126"/>
      <c r="AK543" s="126"/>
      <c r="AL543" s="126"/>
      <c r="AM543" s="126"/>
      <c r="AN543" s="126"/>
      <c r="AO543" s="126"/>
    </row>
    <row r="544">
      <c r="A544" s="158"/>
      <c r="B544" s="158"/>
      <c r="C544" s="158"/>
      <c r="D544" s="158"/>
      <c r="E544" s="158"/>
      <c r="F544" s="158"/>
      <c r="G544" s="158"/>
      <c r="H544" s="158"/>
      <c r="I544" s="145"/>
      <c r="J544" s="158"/>
      <c r="K544" s="158"/>
      <c r="L544" s="126"/>
      <c r="M544" s="126"/>
      <c r="N544" s="126"/>
      <c r="O544" s="126"/>
      <c r="P544" s="126"/>
      <c r="Q544" s="126"/>
      <c r="R544" s="126"/>
      <c r="S544" s="126"/>
      <c r="T544" s="126"/>
      <c r="U544" s="126"/>
      <c r="V544" s="126"/>
      <c r="W544" s="126"/>
      <c r="X544" s="126"/>
      <c r="Y544" s="126"/>
      <c r="Z544" s="126"/>
      <c r="AA544" s="126"/>
      <c r="AB544" s="126"/>
      <c r="AC544" s="126"/>
      <c r="AD544" s="126"/>
      <c r="AE544" s="126"/>
      <c r="AF544" s="126"/>
      <c r="AG544" s="126"/>
      <c r="AH544" s="126"/>
      <c r="AI544" s="126"/>
      <c r="AJ544" s="126"/>
      <c r="AK544" s="126"/>
      <c r="AL544" s="126"/>
      <c r="AM544" s="126"/>
      <c r="AN544" s="126"/>
      <c r="AO544" s="126"/>
    </row>
    <row r="545">
      <c r="A545" s="158"/>
      <c r="B545" s="158"/>
      <c r="C545" s="158"/>
      <c r="D545" s="158"/>
      <c r="E545" s="158"/>
      <c r="F545" s="158"/>
      <c r="G545" s="158"/>
      <c r="H545" s="158"/>
      <c r="I545" s="145"/>
      <c r="J545" s="158"/>
      <c r="K545" s="158"/>
      <c r="L545" s="126"/>
      <c r="M545" s="126"/>
      <c r="N545" s="126"/>
      <c r="O545" s="126"/>
      <c r="P545" s="126"/>
      <c r="Q545" s="126"/>
      <c r="R545" s="126"/>
      <c r="S545" s="126"/>
      <c r="T545" s="126"/>
      <c r="U545" s="126"/>
      <c r="V545" s="126"/>
      <c r="W545" s="126"/>
      <c r="X545" s="126"/>
      <c r="Y545" s="126"/>
      <c r="Z545" s="126"/>
      <c r="AA545" s="126"/>
      <c r="AB545" s="126"/>
      <c r="AC545" s="126"/>
      <c r="AD545" s="126"/>
      <c r="AE545" s="126"/>
      <c r="AF545" s="126"/>
      <c r="AG545" s="126"/>
      <c r="AH545" s="126"/>
      <c r="AI545" s="126"/>
      <c r="AJ545" s="126"/>
      <c r="AK545" s="126"/>
      <c r="AL545" s="126"/>
      <c r="AM545" s="126"/>
      <c r="AN545" s="126"/>
      <c r="AO545" s="126"/>
    </row>
    <row r="546">
      <c r="A546" s="158"/>
      <c r="B546" s="158"/>
      <c r="C546" s="158"/>
      <c r="D546" s="158"/>
      <c r="E546" s="158"/>
      <c r="F546" s="158"/>
      <c r="G546" s="158"/>
      <c r="H546" s="158"/>
      <c r="I546" s="145"/>
      <c r="J546" s="158"/>
      <c r="K546" s="158"/>
      <c r="L546" s="126"/>
      <c r="M546" s="126"/>
      <c r="N546" s="126"/>
      <c r="O546" s="126"/>
      <c r="P546" s="126"/>
      <c r="Q546" s="126"/>
      <c r="R546" s="126"/>
      <c r="S546" s="126"/>
      <c r="T546" s="126"/>
      <c r="U546" s="126"/>
      <c r="V546" s="126"/>
      <c r="W546" s="126"/>
      <c r="X546" s="126"/>
      <c r="Y546" s="126"/>
      <c r="Z546" s="126"/>
      <c r="AA546" s="126"/>
      <c r="AB546" s="126"/>
      <c r="AC546" s="126"/>
      <c r="AD546" s="126"/>
      <c r="AE546" s="126"/>
      <c r="AF546" s="126"/>
      <c r="AG546" s="126"/>
      <c r="AH546" s="126"/>
      <c r="AI546" s="126"/>
      <c r="AJ546" s="126"/>
      <c r="AK546" s="126"/>
      <c r="AL546" s="126"/>
      <c r="AM546" s="126"/>
      <c r="AN546" s="126"/>
      <c r="AO546" s="126"/>
    </row>
    <row r="547">
      <c r="A547" s="158"/>
      <c r="B547" s="158"/>
      <c r="C547" s="158"/>
      <c r="D547" s="158"/>
      <c r="E547" s="158"/>
      <c r="F547" s="158"/>
      <c r="G547" s="158"/>
      <c r="H547" s="158"/>
      <c r="I547" s="145"/>
      <c r="J547" s="158"/>
      <c r="K547" s="158"/>
      <c r="L547" s="126"/>
      <c r="M547" s="126"/>
      <c r="N547" s="126"/>
      <c r="O547" s="126"/>
      <c r="P547" s="126"/>
      <c r="Q547" s="126"/>
      <c r="R547" s="126"/>
      <c r="S547" s="126"/>
      <c r="T547" s="126"/>
      <c r="U547" s="126"/>
      <c r="V547" s="126"/>
      <c r="W547" s="126"/>
      <c r="X547" s="126"/>
      <c r="Y547" s="126"/>
      <c r="Z547" s="126"/>
      <c r="AA547" s="126"/>
      <c r="AB547" s="126"/>
      <c r="AC547" s="126"/>
      <c r="AD547" s="126"/>
      <c r="AE547" s="126"/>
      <c r="AF547" s="126"/>
      <c r="AG547" s="126"/>
      <c r="AH547" s="126"/>
      <c r="AI547" s="126"/>
      <c r="AJ547" s="126"/>
      <c r="AK547" s="126"/>
      <c r="AL547" s="126"/>
      <c r="AM547" s="126"/>
      <c r="AN547" s="126"/>
      <c r="AO547" s="126"/>
    </row>
    <row r="548">
      <c r="A548" s="158"/>
      <c r="B548" s="158"/>
      <c r="C548" s="158"/>
      <c r="D548" s="158"/>
      <c r="E548" s="158"/>
      <c r="F548" s="158"/>
      <c r="G548" s="158"/>
      <c r="H548" s="158"/>
      <c r="I548" s="145"/>
      <c r="J548" s="158"/>
      <c r="K548" s="158"/>
      <c r="L548" s="126"/>
      <c r="M548" s="126"/>
      <c r="N548" s="126"/>
      <c r="O548" s="126"/>
      <c r="P548" s="126"/>
      <c r="Q548" s="126"/>
      <c r="R548" s="126"/>
      <c r="S548" s="126"/>
      <c r="T548" s="126"/>
      <c r="U548" s="126"/>
      <c r="V548" s="126"/>
      <c r="W548" s="126"/>
      <c r="X548" s="126"/>
      <c r="Y548" s="126"/>
      <c r="Z548" s="126"/>
      <c r="AA548" s="126"/>
      <c r="AB548" s="126"/>
      <c r="AC548" s="126"/>
      <c r="AD548" s="126"/>
      <c r="AE548" s="126"/>
      <c r="AF548" s="126"/>
      <c r="AG548" s="126"/>
      <c r="AH548" s="126"/>
      <c r="AI548" s="126"/>
      <c r="AJ548" s="126"/>
      <c r="AK548" s="126"/>
      <c r="AL548" s="126"/>
      <c r="AM548" s="126"/>
      <c r="AN548" s="126"/>
      <c r="AO548" s="126"/>
    </row>
    <row r="549">
      <c r="A549" s="158"/>
      <c r="B549" s="158"/>
      <c r="C549" s="158"/>
      <c r="D549" s="158"/>
      <c r="E549" s="158"/>
      <c r="F549" s="158"/>
      <c r="G549" s="158"/>
      <c r="H549" s="158"/>
      <c r="I549" s="145"/>
      <c r="J549" s="158"/>
      <c r="K549" s="158"/>
      <c r="L549" s="126"/>
      <c r="M549" s="126"/>
      <c r="N549" s="126"/>
      <c r="O549" s="126"/>
      <c r="P549" s="126"/>
      <c r="Q549" s="126"/>
      <c r="R549" s="126"/>
      <c r="S549" s="126"/>
      <c r="T549" s="126"/>
      <c r="U549" s="126"/>
      <c r="V549" s="126"/>
      <c r="W549" s="126"/>
      <c r="X549" s="126"/>
      <c r="Y549" s="126"/>
      <c r="Z549" s="126"/>
      <c r="AA549" s="126"/>
      <c r="AB549" s="126"/>
      <c r="AC549" s="126"/>
      <c r="AD549" s="126"/>
      <c r="AE549" s="126"/>
      <c r="AF549" s="126"/>
      <c r="AG549" s="126"/>
      <c r="AH549" s="126"/>
      <c r="AI549" s="126"/>
      <c r="AJ549" s="126"/>
      <c r="AK549" s="126"/>
      <c r="AL549" s="126"/>
      <c r="AM549" s="126"/>
      <c r="AN549" s="126"/>
      <c r="AO549" s="126"/>
    </row>
    <row r="550">
      <c r="A550" s="158"/>
      <c r="B550" s="158"/>
      <c r="C550" s="158"/>
      <c r="D550" s="158"/>
      <c r="E550" s="158"/>
      <c r="F550" s="158"/>
      <c r="G550" s="158"/>
      <c r="H550" s="158"/>
      <c r="I550" s="145"/>
      <c r="J550" s="158"/>
      <c r="K550" s="158"/>
      <c r="L550" s="126"/>
      <c r="M550" s="126"/>
      <c r="N550" s="126"/>
      <c r="O550" s="126"/>
      <c r="P550" s="126"/>
      <c r="Q550" s="126"/>
      <c r="R550" s="126"/>
      <c r="S550" s="126"/>
      <c r="T550" s="126"/>
      <c r="U550" s="126"/>
      <c r="V550" s="126"/>
      <c r="W550" s="126"/>
      <c r="X550" s="126"/>
      <c r="Y550" s="126"/>
      <c r="Z550" s="126"/>
      <c r="AA550" s="126"/>
      <c r="AB550" s="126"/>
      <c r="AC550" s="126"/>
      <c r="AD550" s="126"/>
      <c r="AE550" s="126"/>
      <c r="AF550" s="126"/>
      <c r="AG550" s="126"/>
      <c r="AH550" s="126"/>
      <c r="AI550" s="126"/>
      <c r="AJ550" s="126"/>
      <c r="AK550" s="126"/>
      <c r="AL550" s="126"/>
      <c r="AM550" s="126"/>
      <c r="AN550" s="126"/>
      <c r="AO550" s="126"/>
    </row>
    <row r="551">
      <c r="A551" s="158"/>
      <c r="B551" s="158"/>
      <c r="C551" s="158"/>
      <c r="D551" s="158"/>
      <c r="E551" s="158"/>
      <c r="F551" s="158"/>
      <c r="G551" s="158"/>
      <c r="H551" s="158"/>
      <c r="I551" s="145"/>
      <c r="J551" s="158"/>
      <c r="K551" s="158"/>
      <c r="L551" s="126"/>
      <c r="M551" s="126"/>
      <c r="N551" s="126"/>
      <c r="O551" s="126"/>
      <c r="P551" s="126"/>
      <c r="Q551" s="126"/>
      <c r="R551" s="126"/>
      <c r="S551" s="126"/>
      <c r="T551" s="126"/>
      <c r="U551" s="126"/>
      <c r="V551" s="126"/>
      <c r="W551" s="126"/>
      <c r="X551" s="126"/>
      <c r="Y551" s="126"/>
      <c r="Z551" s="126"/>
      <c r="AA551" s="126"/>
      <c r="AB551" s="126"/>
      <c r="AC551" s="126"/>
      <c r="AD551" s="126"/>
      <c r="AE551" s="126"/>
      <c r="AF551" s="126"/>
      <c r="AG551" s="126"/>
      <c r="AH551" s="126"/>
      <c r="AI551" s="126"/>
      <c r="AJ551" s="126"/>
      <c r="AK551" s="126"/>
      <c r="AL551" s="126"/>
      <c r="AM551" s="126"/>
      <c r="AN551" s="126"/>
      <c r="AO551" s="126"/>
    </row>
    <row r="552">
      <c r="A552" s="158"/>
      <c r="B552" s="158"/>
      <c r="C552" s="158"/>
      <c r="D552" s="158"/>
      <c r="E552" s="158"/>
      <c r="F552" s="158"/>
      <c r="G552" s="158"/>
      <c r="H552" s="158"/>
      <c r="I552" s="145"/>
      <c r="J552" s="158"/>
      <c r="K552" s="158"/>
      <c r="L552" s="126"/>
      <c r="M552" s="126"/>
      <c r="N552" s="126"/>
      <c r="O552" s="126"/>
      <c r="P552" s="126"/>
      <c r="Q552" s="126"/>
      <c r="R552" s="126"/>
      <c r="S552" s="126"/>
      <c r="T552" s="126"/>
      <c r="U552" s="126"/>
      <c r="V552" s="126"/>
      <c r="W552" s="126"/>
      <c r="X552" s="126"/>
      <c r="Y552" s="126"/>
      <c r="Z552" s="126"/>
      <c r="AA552" s="126"/>
      <c r="AB552" s="126"/>
      <c r="AC552" s="126"/>
      <c r="AD552" s="126"/>
      <c r="AE552" s="126"/>
      <c r="AF552" s="126"/>
      <c r="AG552" s="126"/>
      <c r="AH552" s="126"/>
      <c r="AI552" s="126"/>
      <c r="AJ552" s="126"/>
      <c r="AK552" s="126"/>
      <c r="AL552" s="126"/>
      <c r="AM552" s="126"/>
      <c r="AN552" s="126"/>
      <c r="AO552" s="126"/>
    </row>
    <row r="553">
      <c r="A553" s="158"/>
      <c r="B553" s="158"/>
      <c r="C553" s="158"/>
      <c r="D553" s="158"/>
      <c r="E553" s="158"/>
      <c r="F553" s="158"/>
      <c r="G553" s="158"/>
      <c r="H553" s="158"/>
      <c r="I553" s="145"/>
      <c r="J553" s="158"/>
      <c r="K553" s="158"/>
      <c r="L553" s="126"/>
      <c r="M553" s="126"/>
      <c r="N553" s="126"/>
      <c r="O553" s="126"/>
      <c r="P553" s="126"/>
      <c r="Q553" s="126"/>
      <c r="R553" s="126"/>
      <c r="S553" s="126"/>
      <c r="T553" s="126"/>
      <c r="U553" s="126"/>
      <c r="V553" s="126"/>
      <c r="W553" s="126"/>
      <c r="X553" s="126"/>
      <c r="Y553" s="126"/>
      <c r="Z553" s="126"/>
      <c r="AA553" s="126"/>
      <c r="AB553" s="126"/>
      <c r="AC553" s="126"/>
      <c r="AD553" s="126"/>
      <c r="AE553" s="126"/>
      <c r="AF553" s="126"/>
      <c r="AG553" s="126"/>
      <c r="AH553" s="126"/>
      <c r="AI553" s="126"/>
      <c r="AJ553" s="126"/>
      <c r="AK553" s="126"/>
      <c r="AL553" s="126"/>
      <c r="AM553" s="126"/>
      <c r="AN553" s="126"/>
      <c r="AO553" s="126"/>
    </row>
    <row r="554">
      <c r="A554" s="158"/>
      <c r="B554" s="158"/>
      <c r="C554" s="158"/>
      <c r="D554" s="158"/>
      <c r="E554" s="158"/>
      <c r="F554" s="158"/>
      <c r="G554" s="158"/>
      <c r="H554" s="158"/>
      <c r="I554" s="145"/>
      <c r="J554" s="158"/>
      <c r="K554" s="158"/>
      <c r="L554" s="126"/>
      <c r="M554" s="126"/>
      <c r="N554" s="126"/>
      <c r="O554" s="126"/>
      <c r="P554" s="126"/>
      <c r="Q554" s="126"/>
      <c r="R554" s="126"/>
      <c r="S554" s="126"/>
      <c r="T554" s="126"/>
      <c r="U554" s="126"/>
      <c r="V554" s="126"/>
      <c r="W554" s="126"/>
      <c r="X554" s="126"/>
      <c r="Y554" s="126"/>
      <c r="Z554" s="126"/>
      <c r="AA554" s="126"/>
      <c r="AB554" s="126"/>
      <c r="AC554" s="126"/>
      <c r="AD554" s="126"/>
      <c r="AE554" s="126"/>
      <c r="AF554" s="126"/>
      <c r="AG554" s="126"/>
      <c r="AH554" s="126"/>
      <c r="AI554" s="126"/>
      <c r="AJ554" s="126"/>
      <c r="AK554" s="126"/>
      <c r="AL554" s="126"/>
      <c r="AM554" s="126"/>
      <c r="AN554" s="126"/>
      <c r="AO554" s="126"/>
    </row>
    <row r="555">
      <c r="A555" s="158"/>
      <c r="B555" s="158"/>
      <c r="C555" s="158"/>
      <c r="D555" s="158"/>
      <c r="E555" s="158"/>
      <c r="F555" s="158"/>
      <c r="G555" s="158"/>
      <c r="H555" s="158"/>
      <c r="I555" s="145"/>
      <c r="J555" s="158"/>
      <c r="K555" s="158"/>
      <c r="L555" s="126"/>
      <c r="M555" s="126"/>
      <c r="N555" s="126"/>
      <c r="O555" s="126"/>
      <c r="P555" s="126"/>
      <c r="Q555" s="126"/>
      <c r="R555" s="126"/>
      <c r="S555" s="126"/>
      <c r="T555" s="126"/>
      <c r="U555" s="126"/>
      <c r="V555" s="126"/>
      <c r="W555" s="126"/>
      <c r="X555" s="126"/>
      <c r="Y555" s="126"/>
      <c r="Z555" s="126"/>
      <c r="AA555" s="126"/>
      <c r="AB555" s="126"/>
      <c r="AC555" s="126"/>
      <c r="AD555" s="126"/>
      <c r="AE555" s="126"/>
      <c r="AF555" s="126"/>
      <c r="AG555" s="126"/>
      <c r="AH555" s="126"/>
      <c r="AI555" s="126"/>
      <c r="AJ555" s="126"/>
      <c r="AK555" s="126"/>
      <c r="AL555" s="126"/>
      <c r="AM555" s="126"/>
      <c r="AN555" s="126"/>
      <c r="AO555" s="126"/>
    </row>
    <row r="556">
      <c r="A556" s="158"/>
      <c r="B556" s="158"/>
      <c r="C556" s="158"/>
      <c r="D556" s="158"/>
      <c r="E556" s="158"/>
      <c r="F556" s="158"/>
      <c r="G556" s="158"/>
      <c r="H556" s="158"/>
      <c r="I556" s="145"/>
      <c r="J556" s="158"/>
      <c r="K556" s="158"/>
      <c r="L556" s="126"/>
      <c r="M556" s="126"/>
      <c r="N556" s="126"/>
      <c r="O556" s="126"/>
      <c r="P556" s="126"/>
      <c r="Q556" s="126"/>
      <c r="R556" s="126"/>
      <c r="S556" s="126"/>
      <c r="T556" s="126"/>
      <c r="U556" s="126"/>
      <c r="V556" s="126"/>
      <c r="W556" s="126"/>
      <c r="X556" s="126"/>
      <c r="Y556" s="126"/>
      <c r="Z556" s="126"/>
      <c r="AA556" s="126"/>
      <c r="AB556" s="126"/>
      <c r="AC556" s="126"/>
      <c r="AD556" s="126"/>
      <c r="AE556" s="126"/>
      <c r="AF556" s="126"/>
      <c r="AG556" s="126"/>
      <c r="AH556" s="126"/>
      <c r="AI556" s="126"/>
      <c r="AJ556" s="126"/>
      <c r="AK556" s="126"/>
      <c r="AL556" s="126"/>
      <c r="AM556" s="126"/>
      <c r="AN556" s="126"/>
      <c r="AO556" s="126"/>
    </row>
    <row r="557">
      <c r="A557" s="158"/>
      <c r="B557" s="158"/>
      <c r="C557" s="158"/>
      <c r="D557" s="158"/>
      <c r="E557" s="158"/>
      <c r="F557" s="158"/>
      <c r="G557" s="158"/>
      <c r="H557" s="158"/>
      <c r="I557" s="145"/>
      <c r="J557" s="158"/>
      <c r="K557" s="158"/>
      <c r="L557" s="126"/>
      <c r="M557" s="126"/>
      <c r="N557" s="126"/>
      <c r="O557" s="126"/>
      <c r="P557" s="126"/>
      <c r="Q557" s="126"/>
      <c r="R557" s="126"/>
      <c r="S557" s="126"/>
      <c r="T557" s="126"/>
      <c r="U557" s="126"/>
      <c r="V557" s="126"/>
      <c r="W557" s="126"/>
      <c r="X557" s="126"/>
      <c r="Y557" s="126"/>
      <c r="Z557" s="126"/>
      <c r="AA557" s="126"/>
      <c r="AB557" s="126"/>
      <c r="AC557" s="126"/>
      <c r="AD557" s="126"/>
      <c r="AE557" s="126"/>
      <c r="AF557" s="126"/>
      <c r="AG557" s="126"/>
      <c r="AH557" s="126"/>
      <c r="AI557" s="126"/>
      <c r="AJ557" s="126"/>
      <c r="AK557" s="126"/>
      <c r="AL557" s="126"/>
      <c r="AM557" s="126"/>
      <c r="AN557" s="126"/>
      <c r="AO557" s="126"/>
    </row>
    <row r="558">
      <c r="A558" s="158"/>
      <c r="B558" s="158"/>
      <c r="C558" s="158"/>
      <c r="D558" s="158"/>
      <c r="E558" s="158"/>
      <c r="F558" s="158"/>
      <c r="G558" s="158"/>
      <c r="H558" s="158"/>
      <c r="I558" s="145"/>
      <c r="J558" s="158"/>
      <c r="K558" s="158"/>
      <c r="L558" s="126"/>
      <c r="M558" s="126"/>
      <c r="N558" s="126"/>
      <c r="O558" s="126"/>
      <c r="P558" s="126"/>
      <c r="Q558" s="126"/>
      <c r="R558" s="126"/>
      <c r="S558" s="126"/>
      <c r="T558" s="126"/>
      <c r="U558" s="126"/>
      <c r="V558" s="126"/>
      <c r="W558" s="126"/>
      <c r="X558" s="126"/>
      <c r="Y558" s="126"/>
      <c r="Z558" s="126"/>
      <c r="AA558" s="126"/>
      <c r="AB558" s="126"/>
      <c r="AC558" s="126"/>
      <c r="AD558" s="126"/>
      <c r="AE558" s="126"/>
      <c r="AF558" s="126"/>
      <c r="AG558" s="126"/>
      <c r="AH558" s="126"/>
      <c r="AI558" s="126"/>
      <c r="AJ558" s="126"/>
      <c r="AK558" s="126"/>
      <c r="AL558" s="126"/>
      <c r="AM558" s="126"/>
      <c r="AN558" s="126"/>
      <c r="AO558" s="126"/>
    </row>
    <row r="559">
      <c r="A559" s="158"/>
      <c r="B559" s="158"/>
      <c r="C559" s="158"/>
      <c r="D559" s="158"/>
      <c r="E559" s="158"/>
      <c r="F559" s="158"/>
      <c r="G559" s="158"/>
      <c r="H559" s="158"/>
      <c r="I559" s="145"/>
      <c r="J559" s="158"/>
      <c r="K559" s="158"/>
      <c r="L559" s="126"/>
      <c r="M559" s="126"/>
      <c r="N559" s="126"/>
      <c r="O559" s="126"/>
      <c r="P559" s="126"/>
      <c r="Q559" s="126"/>
      <c r="R559" s="126"/>
      <c r="S559" s="126"/>
      <c r="T559" s="126"/>
      <c r="U559" s="126"/>
      <c r="V559" s="126"/>
      <c r="W559" s="126"/>
      <c r="X559" s="126"/>
      <c r="Y559" s="126"/>
      <c r="Z559" s="126"/>
      <c r="AA559" s="126"/>
      <c r="AB559" s="126"/>
      <c r="AC559" s="126"/>
      <c r="AD559" s="126"/>
      <c r="AE559" s="126"/>
      <c r="AF559" s="126"/>
      <c r="AG559" s="126"/>
      <c r="AH559" s="126"/>
      <c r="AI559" s="126"/>
      <c r="AJ559" s="126"/>
      <c r="AK559" s="126"/>
      <c r="AL559" s="126"/>
      <c r="AM559" s="126"/>
      <c r="AN559" s="126"/>
      <c r="AO559" s="126"/>
    </row>
    <row r="560">
      <c r="A560" s="158"/>
      <c r="B560" s="158"/>
      <c r="C560" s="158"/>
      <c r="D560" s="158"/>
      <c r="E560" s="158"/>
      <c r="F560" s="158"/>
      <c r="G560" s="158"/>
      <c r="H560" s="158"/>
      <c r="I560" s="145"/>
      <c r="J560" s="158"/>
      <c r="K560" s="158"/>
      <c r="L560" s="126"/>
      <c r="M560" s="126"/>
      <c r="N560" s="126"/>
      <c r="O560" s="126"/>
      <c r="P560" s="126"/>
      <c r="Q560" s="126"/>
      <c r="R560" s="126"/>
      <c r="S560" s="126"/>
      <c r="T560" s="126"/>
      <c r="U560" s="126"/>
      <c r="V560" s="126"/>
      <c r="W560" s="126"/>
      <c r="X560" s="126"/>
      <c r="Y560" s="126"/>
      <c r="Z560" s="126"/>
      <c r="AA560" s="126"/>
      <c r="AB560" s="126"/>
      <c r="AC560" s="126"/>
      <c r="AD560" s="126"/>
      <c r="AE560" s="126"/>
      <c r="AF560" s="126"/>
      <c r="AG560" s="126"/>
      <c r="AH560" s="126"/>
      <c r="AI560" s="126"/>
      <c r="AJ560" s="126"/>
      <c r="AK560" s="126"/>
      <c r="AL560" s="126"/>
      <c r="AM560" s="126"/>
      <c r="AN560" s="126"/>
      <c r="AO560" s="126"/>
    </row>
    <row r="561">
      <c r="A561" s="158"/>
      <c r="B561" s="158"/>
      <c r="C561" s="158"/>
      <c r="D561" s="158"/>
      <c r="E561" s="158"/>
      <c r="F561" s="158"/>
      <c r="G561" s="158"/>
      <c r="H561" s="158"/>
      <c r="I561" s="145"/>
      <c r="J561" s="158"/>
      <c r="K561" s="158"/>
      <c r="L561" s="126"/>
      <c r="M561" s="126"/>
      <c r="N561" s="126"/>
      <c r="O561" s="126"/>
      <c r="P561" s="126"/>
      <c r="Q561" s="126"/>
      <c r="R561" s="126"/>
      <c r="S561" s="126"/>
      <c r="T561" s="126"/>
      <c r="U561" s="126"/>
      <c r="V561" s="126"/>
      <c r="W561" s="126"/>
      <c r="X561" s="126"/>
      <c r="Y561" s="126"/>
      <c r="Z561" s="126"/>
      <c r="AA561" s="126"/>
      <c r="AB561" s="126"/>
      <c r="AC561" s="126"/>
      <c r="AD561" s="126"/>
      <c r="AE561" s="126"/>
      <c r="AF561" s="126"/>
      <c r="AG561" s="126"/>
      <c r="AH561" s="126"/>
      <c r="AI561" s="126"/>
      <c r="AJ561" s="126"/>
      <c r="AK561" s="126"/>
      <c r="AL561" s="126"/>
      <c r="AM561" s="126"/>
      <c r="AN561" s="126"/>
      <c r="AO561" s="126"/>
    </row>
    <row r="562">
      <c r="A562" s="158"/>
      <c r="B562" s="158"/>
      <c r="C562" s="158"/>
      <c r="D562" s="158"/>
      <c r="E562" s="158"/>
      <c r="F562" s="158"/>
      <c r="G562" s="158"/>
      <c r="H562" s="158"/>
      <c r="I562" s="145"/>
      <c r="J562" s="158"/>
      <c r="K562" s="158"/>
      <c r="L562" s="126"/>
      <c r="M562" s="126"/>
      <c r="N562" s="126"/>
      <c r="O562" s="126"/>
      <c r="P562" s="126"/>
      <c r="Q562" s="126"/>
      <c r="R562" s="126"/>
      <c r="S562" s="126"/>
      <c r="T562" s="126"/>
      <c r="U562" s="126"/>
      <c r="V562" s="126"/>
      <c r="W562" s="126"/>
      <c r="X562" s="126"/>
      <c r="Y562" s="126"/>
      <c r="Z562" s="126"/>
      <c r="AA562" s="126"/>
      <c r="AB562" s="126"/>
      <c r="AC562" s="126"/>
      <c r="AD562" s="126"/>
      <c r="AE562" s="126"/>
      <c r="AF562" s="126"/>
      <c r="AG562" s="126"/>
      <c r="AH562" s="126"/>
      <c r="AI562" s="126"/>
      <c r="AJ562" s="126"/>
      <c r="AK562" s="126"/>
      <c r="AL562" s="126"/>
      <c r="AM562" s="126"/>
      <c r="AN562" s="126"/>
      <c r="AO562" s="126"/>
    </row>
    <row r="563">
      <c r="A563" s="158"/>
      <c r="B563" s="158"/>
      <c r="C563" s="158"/>
      <c r="D563" s="158"/>
      <c r="E563" s="158"/>
      <c r="F563" s="158"/>
      <c r="G563" s="158"/>
      <c r="H563" s="158"/>
      <c r="I563" s="145"/>
      <c r="J563" s="158"/>
      <c r="K563" s="158"/>
      <c r="L563" s="126"/>
      <c r="M563" s="126"/>
      <c r="N563" s="126"/>
      <c r="O563" s="126"/>
      <c r="P563" s="126"/>
      <c r="Q563" s="126"/>
      <c r="R563" s="126"/>
      <c r="S563" s="126"/>
      <c r="T563" s="126"/>
      <c r="U563" s="126"/>
      <c r="V563" s="126"/>
      <c r="W563" s="126"/>
      <c r="X563" s="126"/>
      <c r="Y563" s="126"/>
      <c r="Z563" s="126"/>
      <c r="AA563" s="126"/>
      <c r="AB563" s="126"/>
      <c r="AC563" s="126"/>
      <c r="AD563" s="126"/>
      <c r="AE563" s="126"/>
      <c r="AF563" s="126"/>
      <c r="AG563" s="126"/>
      <c r="AH563" s="126"/>
      <c r="AI563" s="126"/>
      <c r="AJ563" s="126"/>
      <c r="AK563" s="126"/>
      <c r="AL563" s="126"/>
      <c r="AM563" s="126"/>
      <c r="AN563" s="126"/>
      <c r="AO563" s="126"/>
    </row>
    <row r="564">
      <c r="A564" s="158"/>
      <c r="B564" s="158"/>
      <c r="C564" s="158"/>
      <c r="D564" s="158"/>
      <c r="E564" s="158"/>
      <c r="F564" s="158"/>
      <c r="G564" s="158"/>
      <c r="H564" s="158"/>
      <c r="I564" s="145"/>
      <c r="J564" s="158"/>
      <c r="K564" s="158"/>
      <c r="L564" s="126"/>
      <c r="M564" s="126"/>
      <c r="N564" s="126"/>
      <c r="O564" s="126"/>
      <c r="P564" s="126"/>
      <c r="Q564" s="126"/>
      <c r="R564" s="126"/>
      <c r="S564" s="126"/>
      <c r="T564" s="126"/>
      <c r="U564" s="126"/>
      <c r="V564" s="126"/>
      <c r="W564" s="126"/>
      <c r="X564" s="126"/>
      <c r="Y564" s="126"/>
      <c r="Z564" s="126"/>
      <c r="AA564" s="126"/>
      <c r="AB564" s="126"/>
      <c r="AC564" s="126"/>
      <c r="AD564" s="126"/>
      <c r="AE564" s="126"/>
      <c r="AF564" s="126"/>
      <c r="AG564" s="126"/>
      <c r="AH564" s="126"/>
      <c r="AI564" s="126"/>
      <c r="AJ564" s="126"/>
      <c r="AK564" s="126"/>
      <c r="AL564" s="126"/>
      <c r="AM564" s="126"/>
      <c r="AN564" s="126"/>
      <c r="AO564" s="126"/>
    </row>
    <row r="565">
      <c r="A565" s="158"/>
      <c r="B565" s="158"/>
      <c r="C565" s="158"/>
      <c r="D565" s="158"/>
      <c r="E565" s="158"/>
      <c r="F565" s="158"/>
      <c r="G565" s="158"/>
      <c r="H565" s="158"/>
      <c r="I565" s="145"/>
      <c r="J565" s="158"/>
      <c r="K565" s="158"/>
      <c r="L565" s="126"/>
      <c r="M565" s="126"/>
      <c r="N565" s="126"/>
      <c r="O565" s="126"/>
      <c r="P565" s="126"/>
      <c r="Q565" s="126"/>
      <c r="R565" s="126"/>
      <c r="S565" s="126"/>
      <c r="T565" s="126"/>
      <c r="U565" s="126"/>
      <c r="V565" s="126"/>
      <c r="W565" s="126"/>
      <c r="X565" s="126"/>
      <c r="Y565" s="126"/>
      <c r="Z565" s="126"/>
      <c r="AA565" s="126"/>
      <c r="AB565" s="126"/>
      <c r="AC565" s="126"/>
      <c r="AD565" s="126"/>
      <c r="AE565" s="126"/>
      <c r="AF565" s="126"/>
      <c r="AG565" s="126"/>
      <c r="AH565" s="126"/>
      <c r="AI565" s="126"/>
      <c r="AJ565" s="126"/>
      <c r="AK565" s="126"/>
      <c r="AL565" s="126"/>
      <c r="AM565" s="126"/>
      <c r="AN565" s="126"/>
      <c r="AO565" s="126"/>
    </row>
    <row r="566">
      <c r="A566" s="158"/>
      <c r="B566" s="158"/>
      <c r="C566" s="158"/>
      <c r="D566" s="158"/>
      <c r="E566" s="158"/>
      <c r="F566" s="158"/>
      <c r="G566" s="158"/>
      <c r="H566" s="158"/>
      <c r="I566" s="145"/>
      <c r="J566" s="158"/>
      <c r="K566" s="158"/>
      <c r="L566" s="126"/>
      <c r="M566" s="126"/>
      <c r="N566" s="126"/>
      <c r="O566" s="126"/>
      <c r="P566" s="126"/>
      <c r="Q566" s="126"/>
      <c r="R566" s="126"/>
      <c r="S566" s="126"/>
      <c r="T566" s="126"/>
      <c r="U566" s="126"/>
      <c r="V566" s="126"/>
      <c r="W566" s="126"/>
      <c r="X566" s="126"/>
      <c r="Y566" s="126"/>
      <c r="Z566" s="126"/>
      <c r="AA566" s="126"/>
      <c r="AB566" s="126"/>
      <c r="AC566" s="126"/>
      <c r="AD566" s="126"/>
      <c r="AE566" s="126"/>
      <c r="AF566" s="126"/>
      <c r="AG566" s="126"/>
      <c r="AH566" s="126"/>
      <c r="AI566" s="126"/>
      <c r="AJ566" s="126"/>
      <c r="AK566" s="126"/>
      <c r="AL566" s="126"/>
      <c r="AM566" s="126"/>
      <c r="AN566" s="126"/>
      <c r="AO566" s="126"/>
    </row>
    <row r="567">
      <c r="A567" s="158"/>
      <c r="B567" s="158"/>
      <c r="C567" s="158"/>
      <c r="D567" s="158"/>
      <c r="E567" s="158"/>
      <c r="F567" s="158"/>
      <c r="G567" s="158"/>
      <c r="H567" s="158"/>
      <c r="I567" s="145"/>
      <c r="J567" s="158"/>
      <c r="K567" s="158"/>
      <c r="L567" s="126"/>
      <c r="M567" s="126"/>
      <c r="N567" s="126"/>
      <c r="O567" s="126"/>
      <c r="P567" s="126"/>
      <c r="Q567" s="126"/>
      <c r="R567" s="126"/>
      <c r="S567" s="126"/>
      <c r="T567" s="126"/>
      <c r="U567" s="126"/>
      <c r="V567" s="126"/>
      <c r="W567" s="126"/>
      <c r="X567" s="126"/>
      <c r="Y567" s="126"/>
      <c r="Z567" s="126"/>
      <c r="AA567" s="126"/>
      <c r="AB567" s="126"/>
      <c r="AC567" s="126"/>
      <c r="AD567" s="126"/>
      <c r="AE567" s="126"/>
      <c r="AF567" s="126"/>
      <c r="AG567" s="126"/>
      <c r="AH567" s="126"/>
      <c r="AI567" s="126"/>
      <c r="AJ567" s="126"/>
      <c r="AK567" s="126"/>
      <c r="AL567" s="126"/>
      <c r="AM567" s="126"/>
      <c r="AN567" s="126"/>
      <c r="AO567" s="126"/>
    </row>
    <row r="568">
      <c r="A568" s="158"/>
      <c r="B568" s="158"/>
      <c r="C568" s="158"/>
      <c r="D568" s="158"/>
      <c r="E568" s="158"/>
      <c r="F568" s="158"/>
      <c r="G568" s="158"/>
      <c r="H568" s="158"/>
      <c r="I568" s="145"/>
      <c r="J568" s="158"/>
      <c r="K568" s="158"/>
      <c r="L568" s="126"/>
      <c r="M568" s="126"/>
      <c r="N568" s="126"/>
      <c r="O568" s="126"/>
      <c r="P568" s="126"/>
      <c r="Q568" s="126"/>
      <c r="R568" s="126"/>
      <c r="S568" s="126"/>
      <c r="T568" s="126"/>
      <c r="U568" s="126"/>
      <c r="V568" s="126"/>
      <c r="W568" s="126"/>
      <c r="X568" s="126"/>
      <c r="Y568" s="126"/>
      <c r="Z568" s="126"/>
      <c r="AA568" s="126"/>
      <c r="AB568" s="126"/>
      <c r="AC568" s="126"/>
      <c r="AD568" s="126"/>
      <c r="AE568" s="126"/>
      <c r="AF568" s="126"/>
      <c r="AG568" s="126"/>
      <c r="AH568" s="126"/>
      <c r="AI568" s="126"/>
      <c r="AJ568" s="126"/>
      <c r="AK568" s="126"/>
      <c r="AL568" s="126"/>
      <c r="AM568" s="126"/>
      <c r="AN568" s="126"/>
      <c r="AO568" s="126"/>
    </row>
    <row r="569">
      <c r="A569" s="158"/>
      <c r="B569" s="158"/>
      <c r="C569" s="158"/>
      <c r="D569" s="158"/>
      <c r="E569" s="158"/>
      <c r="F569" s="158"/>
      <c r="G569" s="158"/>
      <c r="H569" s="158"/>
      <c r="I569" s="145"/>
      <c r="J569" s="158"/>
      <c r="K569" s="158"/>
      <c r="L569" s="126"/>
      <c r="M569" s="126"/>
      <c r="N569" s="126"/>
      <c r="O569" s="126"/>
      <c r="P569" s="126"/>
      <c r="Q569" s="126"/>
      <c r="R569" s="126"/>
      <c r="S569" s="126"/>
      <c r="T569" s="126"/>
      <c r="U569" s="126"/>
      <c r="V569" s="126"/>
      <c r="W569" s="126"/>
      <c r="X569" s="126"/>
      <c r="Y569" s="126"/>
      <c r="Z569" s="126"/>
      <c r="AA569" s="126"/>
      <c r="AB569" s="126"/>
      <c r="AC569" s="126"/>
      <c r="AD569" s="126"/>
      <c r="AE569" s="126"/>
      <c r="AF569" s="126"/>
      <c r="AG569" s="126"/>
      <c r="AH569" s="126"/>
      <c r="AI569" s="126"/>
      <c r="AJ569" s="126"/>
      <c r="AK569" s="126"/>
      <c r="AL569" s="126"/>
      <c r="AM569" s="126"/>
      <c r="AN569" s="126"/>
      <c r="AO569" s="126"/>
    </row>
    <row r="570">
      <c r="A570" s="158"/>
      <c r="B570" s="158"/>
      <c r="C570" s="158"/>
      <c r="D570" s="158"/>
      <c r="E570" s="158"/>
      <c r="F570" s="158"/>
      <c r="G570" s="158"/>
      <c r="H570" s="158"/>
      <c r="I570" s="145"/>
      <c r="J570" s="158"/>
      <c r="K570" s="158"/>
      <c r="L570" s="126"/>
      <c r="M570" s="126"/>
      <c r="N570" s="126"/>
      <c r="O570" s="126"/>
      <c r="P570" s="126"/>
      <c r="Q570" s="126"/>
      <c r="R570" s="126"/>
      <c r="S570" s="126"/>
      <c r="T570" s="126"/>
      <c r="U570" s="126"/>
      <c r="V570" s="126"/>
      <c r="W570" s="126"/>
      <c r="X570" s="126"/>
      <c r="Y570" s="126"/>
      <c r="Z570" s="126"/>
      <c r="AA570" s="126"/>
      <c r="AB570" s="126"/>
      <c r="AC570" s="126"/>
      <c r="AD570" s="126"/>
      <c r="AE570" s="126"/>
      <c r="AF570" s="126"/>
      <c r="AG570" s="126"/>
      <c r="AH570" s="126"/>
      <c r="AI570" s="126"/>
      <c r="AJ570" s="126"/>
      <c r="AK570" s="126"/>
      <c r="AL570" s="126"/>
      <c r="AM570" s="126"/>
      <c r="AN570" s="126"/>
      <c r="AO570" s="126"/>
    </row>
    <row r="571">
      <c r="A571" s="158"/>
      <c r="B571" s="158"/>
      <c r="C571" s="158"/>
      <c r="D571" s="158"/>
      <c r="E571" s="158"/>
      <c r="F571" s="158"/>
      <c r="G571" s="158"/>
      <c r="H571" s="158"/>
      <c r="I571" s="145"/>
      <c r="J571" s="158"/>
      <c r="K571" s="158"/>
      <c r="L571" s="126"/>
      <c r="M571" s="126"/>
      <c r="N571" s="126"/>
      <c r="O571" s="126"/>
      <c r="P571" s="126"/>
      <c r="Q571" s="126"/>
      <c r="R571" s="126"/>
      <c r="S571" s="126"/>
      <c r="T571" s="126"/>
      <c r="U571" s="126"/>
      <c r="V571" s="126"/>
      <c r="W571" s="126"/>
      <c r="X571" s="126"/>
      <c r="Y571" s="126"/>
      <c r="Z571" s="126"/>
      <c r="AA571" s="126"/>
      <c r="AB571" s="126"/>
      <c r="AC571" s="126"/>
      <c r="AD571" s="126"/>
      <c r="AE571" s="126"/>
      <c r="AF571" s="126"/>
      <c r="AG571" s="126"/>
      <c r="AH571" s="126"/>
      <c r="AI571" s="126"/>
      <c r="AJ571" s="126"/>
      <c r="AK571" s="126"/>
      <c r="AL571" s="126"/>
      <c r="AM571" s="126"/>
      <c r="AN571" s="126"/>
      <c r="AO571" s="126"/>
    </row>
    <row r="572">
      <c r="A572" s="158"/>
      <c r="B572" s="158"/>
      <c r="C572" s="158"/>
      <c r="D572" s="158"/>
      <c r="E572" s="158"/>
      <c r="F572" s="158"/>
      <c r="G572" s="158"/>
      <c r="H572" s="158"/>
      <c r="I572" s="145"/>
      <c r="J572" s="158"/>
      <c r="K572" s="158"/>
      <c r="L572" s="126"/>
      <c r="M572" s="126"/>
      <c r="N572" s="126"/>
      <c r="O572" s="126"/>
      <c r="P572" s="126"/>
      <c r="Q572" s="126"/>
      <c r="R572" s="126"/>
      <c r="S572" s="126"/>
      <c r="T572" s="126"/>
      <c r="U572" s="126"/>
      <c r="V572" s="126"/>
      <c r="W572" s="126"/>
      <c r="X572" s="126"/>
      <c r="Y572" s="126"/>
      <c r="Z572" s="126"/>
      <c r="AA572" s="126"/>
      <c r="AB572" s="126"/>
      <c r="AC572" s="126"/>
      <c r="AD572" s="126"/>
      <c r="AE572" s="126"/>
      <c r="AF572" s="126"/>
      <c r="AG572" s="126"/>
      <c r="AH572" s="126"/>
      <c r="AI572" s="126"/>
      <c r="AJ572" s="126"/>
      <c r="AK572" s="126"/>
      <c r="AL572" s="126"/>
      <c r="AM572" s="126"/>
      <c r="AN572" s="126"/>
      <c r="AO572" s="126"/>
    </row>
    <row r="573">
      <c r="A573" s="158"/>
      <c r="B573" s="158"/>
      <c r="C573" s="158"/>
      <c r="D573" s="158"/>
      <c r="E573" s="158"/>
      <c r="F573" s="158"/>
      <c r="G573" s="158"/>
      <c r="H573" s="158"/>
      <c r="I573" s="145"/>
      <c r="J573" s="158"/>
      <c r="K573" s="158"/>
      <c r="L573" s="126"/>
      <c r="M573" s="126"/>
      <c r="N573" s="126"/>
      <c r="O573" s="126"/>
      <c r="P573" s="126"/>
      <c r="Q573" s="126"/>
      <c r="R573" s="126"/>
      <c r="S573" s="126"/>
      <c r="T573" s="126"/>
      <c r="U573" s="126"/>
      <c r="V573" s="126"/>
      <c r="W573" s="126"/>
      <c r="X573" s="126"/>
      <c r="Y573" s="126"/>
      <c r="Z573" s="126"/>
      <c r="AA573" s="126"/>
      <c r="AB573" s="126"/>
      <c r="AC573" s="126"/>
      <c r="AD573" s="126"/>
      <c r="AE573" s="126"/>
      <c r="AF573" s="126"/>
      <c r="AG573" s="126"/>
      <c r="AH573" s="126"/>
      <c r="AI573" s="126"/>
      <c r="AJ573" s="126"/>
      <c r="AK573" s="126"/>
      <c r="AL573" s="126"/>
      <c r="AM573" s="126"/>
      <c r="AN573" s="126"/>
      <c r="AO573" s="126"/>
    </row>
    <row r="574">
      <c r="A574" s="158"/>
      <c r="B574" s="158"/>
      <c r="C574" s="158"/>
      <c r="D574" s="158"/>
      <c r="E574" s="158"/>
      <c r="F574" s="158"/>
      <c r="G574" s="158"/>
      <c r="H574" s="158"/>
      <c r="I574" s="145"/>
      <c r="J574" s="158"/>
      <c r="K574" s="158"/>
      <c r="L574" s="126"/>
      <c r="M574" s="126"/>
      <c r="N574" s="126"/>
      <c r="O574" s="126"/>
      <c r="P574" s="126"/>
      <c r="Q574" s="126"/>
      <c r="R574" s="126"/>
      <c r="S574" s="126"/>
      <c r="T574" s="126"/>
      <c r="U574" s="126"/>
      <c r="V574" s="126"/>
      <c r="W574" s="126"/>
      <c r="X574" s="126"/>
      <c r="Y574" s="126"/>
      <c r="Z574" s="126"/>
      <c r="AA574" s="126"/>
      <c r="AB574" s="126"/>
      <c r="AC574" s="126"/>
      <c r="AD574" s="126"/>
      <c r="AE574" s="126"/>
      <c r="AF574" s="126"/>
      <c r="AG574" s="126"/>
      <c r="AH574" s="126"/>
      <c r="AI574" s="126"/>
      <c r="AJ574" s="126"/>
      <c r="AK574" s="126"/>
      <c r="AL574" s="126"/>
      <c r="AM574" s="126"/>
      <c r="AN574" s="126"/>
      <c r="AO574" s="126"/>
    </row>
    <row r="575">
      <c r="A575" s="158"/>
      <c r="B575" s="158"/>
      <c r="C575" s="158"/>
      <c r="D575" s="158"/>
      <c r="E575" s="158"/>
      <c r="F575" s="158"/>
      <c r="G575" s="158"/>
      <c r="H575" s="158"/>
      <c r="I575" s="145"/>
      <c r="J575" s="158"/>
      <c r="K575" s="158"/>
      <c r="L575" s="126"/>
      <c r="M575" s="126"/>
      <c r="N575" s="126"/>
      <c r="O575" s="126"/>
      <c r="P575" s="126"/>
      <c r="Q575" s="126"/>
      <c r="R575" s="126"/>
      <c r="S575" s="126"/>
      <c r="T575" s="126"/>
      <c r="U575" s="126"/>
      <c r="V575" s="126"/>
      <c r="W575" s="126"/>
      <c r="X575" s="126"/>
      <c r="Y575" s="126"/>
      <c r="Z575" s="126"/>
      <c r="AA575" s="126"/>
      <c r="AB575" s="126"/>
      <c r="AC575" s="126"/>
      <c r="AD575" s="126"/>
      <c r="AE575" s="126"/>
      <c r="AF575" s="126"/>
      <c r="AG575" s="126"/>
      <c r="AH575" s="126"/>
      <c r="AI575" s="126"/>
      <c r="AJ575" s="126"/>
      <c r="AK575" s="126"/>
      <c r="AL575" s="126"/>
      <c r="AM575" s="126"/>
      <c r="AN575" s="126"/>
      <c r="AO575" s="126"/>
    </row>
    <row r="576">
      <c r="A576" s="158"/>
      <c r="B576" s="158"/>
      <c r="C576" s="158"/>
      <c r="D576" s="158"/>
      <c r="E576" s="158"/>
      <c r="F576" s="158"/>
      <c r="G576" s="158"/>
      <c r="H576" s="158"/>
      <c r="I576" s="145"/>
      <c r="J576" s="158"/>
      <c r="K576" s="158"/>
      <c r="L576" s="126"/>
      <c r="M576" s="126"/>
      <c r="N576" s="126"/>
      <c r="O576" s="126"/>
      <c r="P576" s="126"/>
      <c r="Q576" s="126"/>
      <c r="R576" s="126"/>
      <c r="S576" s="126"/>
      <c r="T576" s="126"/>
      <c r="U576" s="126"/>
      <c r="V576" s="126"/>
      <c r="W576" s="126"/>
      <c r="X576" s="126"/>
      <c r="Y576" s="126"/>
      <c r="Z576" s="126"/>
      <c r="AA576" s="126"/>
      <c r="AB576" s="126"/>
      <c r="AC576" s="126"/>
      <c r="AD576" s="126"/>
      <c r="AE576" s="126"/>
      <c r="AF576" s="126"/>
      <c r="AG576" s="126"/>
      <c r="AH576" s="126"/>
      <c r="AI576" s="126"/>
      <c r="AJ576" s="126"/>
      <c r="AK576" s="126"/>
      <c r="AL576" s="126"/>
      <c r="AM576" s="126"/>
      <c r="AN576" s="126"/>
      <c r="AO576" s="126"/>
    </row>
    <row r="577">
      <c r="A577" s="158"/>
      <c r="B577" s="158"/>
      <c r="C577" s="158"/>
      <c r="D577" s="158"/>
      <c r="E577" s="158"/>
      <c r="F577" s="158"/>
      <c r="G577" s="158"/>
      <c r="H577" s="158"/>
      <c r="I577" s="145"/>
      <c r="J577" s="158"/>
      <c r="K577" s="158"/>
      <c r="L577" s="126"/>
      <c r="M577" s="126"/>
      <c r="N577" s="126"/>
      <c r="O577" s="126"/>
      <c r="P577" s="126"/>
      <c r="Q577" s="126"/>
      <c r="R577" s="126"/>
      <c r="S577" s="126"/>
      <c r="T577" s="126"/>
      <c r="U577" s="126"/>
      <c r="V577" s="126"/>
      <c r="W577" s="126"/>
      <c r="X577" s="126"/>
      <c r="Y577" s="126"/>
      <c r="Z577" s="126"/>
      <c r="AA577" s="126"/>
      <c r="AB577" s="126"/>
      <c r="AC577" s="126"/>
      <c r="AD577" s="126"/>
      <c r="AE577" s="126"/>
      <c r="AF577" s="126"/>
      <c r="AG577" s="126"/>
      <c r="AH577" s="126"/>
      <c r="AI577" s="126"/>
      <c r="AJ577" s="126"/>
      <c r="AK577" s="126"/>
      <c r="AL577" s="126"/>
      <c r="AM577" s="126"/>
      <c r="AN577" s="126"/>
      <c r="AO577" s="126"/>
    </row>
    <row r="578">
      <c r="A578" s="158"/>
      <c r="B578" s="158"/>
      <c r="C578" s="158"/>
      <c r="D578" s="158"/>
      <c r="E578" s="158"/>
      <c r="F578" s="158"/>
      <c r="G578" s="158"/>
      <c r="H578" s="158"/>
      <c r="I578" s="145"/>
      <c r="J578" s="158"/>
      <c r="K578" s="158"/>
      <c r="L578" s="126"/>
      <c r="M578" s="126"/>
      <c r="N578" s="126"/>
      <c r="O578" s="126"/>
      <c r="P578" s="126"/>
      <c r="Q578" s="126"/>
      <c r="R578" s="126"/>
      <c r="S578" s="126"/>
      <c r="T578" s="126"/>
      <c r="U578" s="126"/>
      <c r="V578" s="126"/>
      <c r="W578" s="126"/>
      <c r="X578" s="126"/>
      <c r="Y578" s="126"/>
      <c r="Z578" s="126"/>
      <c r="AA578" s="126"/>
      <c r="AB578" s="126"/>
      <c r="AC578" s="126"/>
      <c r="AD578" s="126"/>
      <c r="AE578" s="126"/>
      <c r="AF578" s="126"/>
      <c r="AG578" s="126"/>
      <c r="AH578" s="126"/>
      <c r="AI578" s="126"/>
      <c r="AJ578" s="126"/>
      <c r="AK578" s="126"/>
      <c r="AL578" s="126"/>
      <c r="AM578" s="126"/>
      <c r="AN578" s="126"/>
      <c r="AO578" s="126"/>
    </row>
    <row r="579">
      <c r="A579" s="158"/>
      <c r="B579" s="158"/>
      <c r="C579" s="158"/>
      <c r="D579" s="158"/>
      <c r="E579" s="158"/>
      <c r="F579" s="158"/>
      <c r="G579" s="158"/>
      <c r="H579" s="158"/>
      <c r="I579" s="145"/>
      <c r="J579" s="158"/>
      <c r="K579" s="158"/>
      <c r="L579" s="126"/>
      <c r="M579" s="126"/>
      <c r="N579" s="126"/>
      <c r="O579" s="126"/>
      <c r="P579" s="126"/>
      <c r="Q579" s="126"/>
      <c r="R579" s="126"/>
      <c r="S579" s="126"/>
      <c r="T579" s="126"/>
      <c r="U579" s="126"/>
      <c r="V579" s="126"/>
      <c r="W579" s="126"/>
      <c r="X579" s="126"/>
      <c r="Y579" s="126"/>
      <c r="Z579" s="126"/>
      <c r="AA579" s="126"/>
      <c r="AB579" s="126"/>
      <c r="AC579" s="126"/>
      <c r="AD579" s="126"/>
      <c r="AE579" s="126"/>
      <c r="AF579" s="126"/>
      <c r="AG579" s="126"/>
      <c r="AH579" s="126"/>
      <c r="AI579" s="126"/>
      <c r="AJ579" s="126"/>
      <c r="AK579" s="126"/>
      <c r="AL579" s="126"/>
      <c r="AM579" s="126"/>
      <c r="AN579" s="126"/>
      <c r="AO579" s="126"/>
    </row>
    <row r="580">
      <c r="A580" s="158"/>
      <c r="B580" s="158"/>
      <c r="C580" s="158"/>
      <c r="D580" s="158"/>
      <c r="E580" s="158"/>
      <c r="F580" s="158"/>
      <c r="G580" s="158"/>
      <c r="H580" s="158"/>
      <c r="I580" s="145"/>
      <c r="J580" s="158"/>
      <c r="K580" s="158"/>
      <c r="L580" s="126"/>
      <c r="M580" s="126"/>
      <c r="N580" s="126"/>
      <c r="O580" s="126"/>
      <c r="P580" s="126"/>
      <c r="Q580" s="126"/>
      <c r="R580" s="126"/>
      <c r="S580" s="126"/>
      <c r="T580" s="126"/>
      <c r="U580" s="126"/>
      <c r="V580" s="126"/>
      <c r="W580" s="126"/>
      <c r="X580" s="126"/>
      <c r="Y580" s="126"/>
      <c r="Z580" s="126"/>
      <c r="AA580" s="126"/>
      <c r="AB580" s="126"/>
      <c r="AC580" s="126"/>
      <c r="AD580" s="126"/>
      <c r="AE580" s="126"/>
      <c r="AF580" s="126"/>
      <c r="AG580" s="126"/>
      <c r="AH580" s="126"/>
      <c r="AI580" s="126"/>
      <c r="AJ580" s="126"/>
      <c r="AK580" s="126"/>
      <c r="AL580" s="126"/>
      <c r="AM580" s="126"/>
      <c r="AN580" s="126"/>
      <c r="AO580" s="126"/>
    </row>
    <row r="581">
      <c r="A581" s="158"/>
      <c r="B581" s="158"/>
      <c r="C581" s="158"/>
      <c r="D581" s="158"/>
      <c r="E581" s="158"/>
      <c r="F581" s="158"/>
      <c r="G581" s="158"/>
      <c r="H581" s="158"/>
      <c r="I581" s="145"/>
      <c r="J581" s="158"/>
      <c r="K581" s="158"/>
      <c r="L581" s="126"/>
      <c r="M581" s="126"/>
      <c r="N581" s="126"/>
      <c r="O581" s="126"/>
      <c r="P581" s="126"/>
      <c r="Q581" s="126"/>
      <c r="R581" s="126"/>
      <c r="S581" s="126"/>
      <c r="T581" s="126"/>
      <c r="U581" s="126"/>
      <c r="V581" s="126"/>
      <c r="W581" s="126"/>
      <c r="X581" s="126"/>
      <c r="Y581" s="126"/>
      <c r="Z581" s="126"/>
      <c r="AA581" s="126"/>
      <c r="AB581" s="126"/>
      <c r="AC581" s="126"/>
      <c r="AD581" s="126"/>
      <c r="AE581" s="126"/>
      <c r="AF581" s="126"/>
      <c r="AG581" s="126"/>
      <c r="AH581" s="126"/>
      <c r="AI581" s="126"/>
      <c r="AJ581" s="126"/>
      <c r="AK581" s="126"/>
      <c r="AL581" s="126"/>
      <c r="AM581" s="126"/>
      <c r="AN581" s="126"/>
      <c r="AO581" s="126"/>
    </row>
    <row r="582">
      <c r="A582" s="158"/>
      <c r="B582" s="158"/>
      <c r="C582" s="158"/>
      <c r="D582" s="158"/>
      <c r="E582" s="158"/>
      <c r="F582" s="158"/>
      <c r="G582" s="158"/>
      <c r="H582" s="158"/>
      <c r="I582" s="145"/>
      <c r="J582" s="158"/>
      <c r="K582" s="158"/>
      <c r="L582" s="126"/>
      <c r="M582" s="126"/>
      <c r="N582" s="126"/>
      <c r="O582" s="126"/>
      <c r="P582" s="126"/>
      <c r="Q582" s="126"/>
      <c r="R582" s="126"/>
      <c r="S582" s="126"/>
      <c r="T582" s="126"/>
      <c r="U582" s="126"/>
      <c r="V582" s="126"/>
      <c r="W582" s="126"/>
      <c r="X582" s="126"/>
      <c r="Y582" s="126"/>
      <c r="Z582" s="126"/>
      <c r="AA582" s="126"/>
      <c r="AB582" s="126"/>
      <c r="AC582" s="126"/>
      <c r="AD582" s="126"/>
      <c r="AE582" s="126"/>
      <c r="AF582" s="126"/>
      <c r="AG582" s="126"/>
      <c r="AH582" s="126"/>
      <c r="AI582" s="126"/>
      <c r="AJ582" s="126"/>
      <c r="AK582" s="126"/>
      <c r="AL582" s="126"/>
      <c r="AM582" s="126"/>
      <c r="AN582" s="126"/>
      <c r="AO582" s="126"/>
    </row>
    <row r="583">
      <c r="A583" s="158"/>
      <c r="B583" s="158"/>
      <c r="C583" s="158"/>
      <c r="D583" s="158"/>
      <c r="E583" s="158"/>
      <c r="F583" s="158"/>
      <c r="G583" s="158"/>
      <c r="H583" s="158"/>
      <c r="I583" s="145"/>
      <c r="J583" s="158"/>
      <c r="K583" s="158"/>
      <c r="L583" s="126"/>
      <c r="M583" s="126"/>
      <c r="N583" s="126"/>
      <c r="O583" s="126"/>
      <c r="P583" s="126"/>
      <c r="Q583" s="126"/>
      <c r="R583" s="126"/>
      <c r="S583" s="126"/>
      <c r="T583" s="126"/>
      <c r="U583" s="126"/>
      <c r="V583" s="126"/>
      <c r="W583" s="126"/>
      <c r="X583" s="126"/>
      <c r="Y583" s="126"/>
      <c r="Z583" s="126"/>
      <c r="AA583" s="126"/>
      <c r="AB583" s="126"/>
      <c r="AC583" s="126"/>
      <c r="AD583" s="126"/>
      <c r="AE583" s="126"/>
      <c r="AF583" s="126"/>
      <c r="AG583" s="126"/>
      <c r="AH583" s="126"/>
      <c r="AI583" s="126"/>
      <c r="AJ583" s="126"/>
      <c r="AK583" s="126"/>
      <c r="AL583" s="126"/>
      <c r="AM583" s="126"/>
      <c r="AN583" s="126"/>
      <c r="AO583" s="126"/>
    </row>
    <row r="584">
      <c r="A584" s="158"/>
      <c r="B584" s="158"/>
      <c r="C584" s="158"/>
      <c r="D584" s="158"/>
      <c r="E584" s="158"/>
      <c r="F584" s="158"/>
      <c r="G584" s="158"/>
      <c r="H584" s="158"/>
      <c r="I584" s="145"/>
      <c r="J584" s="158"/>
      <c r="K584" s="158"/>
      <c r="L584" s="126"/>
      <c r="M584" s="126"/>
      <c r="N584" s="126"/>
      <c r="O584" s="126"/>
      <c r="P584" s="126"/>
      <c r="Q584" s="126"/>
      <c r="R584" s="126"/>
      <c r="S584" s="126"/>
      <c r="T584" s="126"/>
      <c r="U584" s="126"/>
      <c r="V584" s="126"/>
      <c r="W584" s="126"/>
      <c r="X584" s="126"/>
      <c r="Y584" s="126"/>
      <c r="Z584" s="126"/>
      <c r="AA584" s="126"/>
      <c r="AB584" s="126"/>
      <c r="AC584" s="126"/>
      <c r="AD584" s="126"/>
      <c r="AE584" s="126"/>
      <c r="AF584" s="126"/>
      <c r="AG584" s="126"/>
      <c r="AH584" s="126"/>
      <c r="AI584" s="126"/>
      <c r="AJ584" s="126"/>
      <c r="AK584" s="126"/>
      <c r="AL584" s="126"/>
      <c r="AM584" s="126"/>
      <c r="AN584" s="126"/>
      <c r="AO584" s="126"/>
    </row>
    <row r="585">
      <c r="A585" s="158"/>
      <c r="B585" s="158"/>
      <c r="C585" s="158"/>
      <c r="D585" s="158"/>
      <c r="E585" s="158"/>
      <c r="F585" s="158"/>
      <c r="G585" s="158"/>
      <c r="H585" s="158"/>
      <c r="I585" s="145"/>
      <c r="J585" s="158"/>
      <c r="K585" s="158"/>
      <c r="L585" s="126"/>
      <c r="M585" s="126"/>
      <c r="N585" s="126"/>
      <c r="O585" s="126"/>
      <c r="P585" s="126"/>
      <c r="Q585" s="126"/>
      <c r="R585" s="126"/>
      <c r="S585" s="126"/>
      <c r="T585" s="126"/>
      <c r="U585" s="126"/>
      <c r="V585" s="126"/>
      <c r="W585" s="126"/>
      <c r="X585" s="126"/>
      <c r="Y585" s="126"/>
      <c r="Z585" s="126"/>
      <c r="AA585" s="126"/>
      <c r="AB585" s="126"/>
      <c r="AC585" s="126"/>
      <c r="AD585" s="126"/>
      <c r="AE585" s="126"/>
      <c r="AF585" s="126"/>
      <c r="AG585" s="126"/>
      <c r="AH585" s="126"/>
      <c r="AI585" s="126"/>
      <c r="AJ585" s="126"/>
      <c r="AK585" s="126"/>
      <c r="AL585" s="126"/>
      <c r="AM585" s="126"/>
      <c r="AN585" s="126"/>
      <c r="AO585" s="126"/>
    </row>
    <row r="586">
      <c r="A586" s="158"/>
      <c r="B586" s="158"/>
      <c r="C586" s="158"/>
      <c r="D586" s="158"/>
      <c r="E586" s="158"/>
      <c r="F586" s="158"/>
      <c r="G586" s="158"/>
      <c r="H586" s="158"/>
      <c r="I586" s="145"/>
      <c r="J586" s="158"/>
      <c r="K586" s="158"/>
      <c r="L586" s="126"/>
      <c r="M586" s="126"/>
      <c r="N586" s="126"/>
      <c r="O586" s="126"/>
      <c r="P586" s="126"/>
      <c r="Q586" s="126"/>
      <c r="R586" s="126"/>
      <c r="S586" s="126"/>
      <c r="T586" s="126"/>
      <c r="U586" s="126"/>
      <c r="V586" s="126"/>
      <c r="W586" s="126"/>
      <c r="X586" s="126"/>
      <c r="Y586" s="126"/>
      <c r="Z586" s="126"/>
      <c r="AA586" s="126"/>
      <c r="AB586" s="126"/>
      <c r="AC586" s="126"/>
      <c r="AD586" s="126"/>
      <c r="AE586" s="126"/>
      <c r="AF586" s="126"/>
      <c r="AG586" s="126"/>
      <c r="AH586" s="126"/>
      <c r="AI586" s="126"/>
      <c r="AJ586" s="126"/>
      <c r="AK586" s="126"/>
      <c r="AL586" s="126"/>
      <c r="AM586" s="126"/>
      <c r="AN586" s="126"/>
      <c r="AO586" s="126"/>
    </row>
    <row r="587">
      <c r="A587" s="158"/>
      <c r="B587" s="158"/>
      <c r="C587" s="158"/>
      <c r="D587" s="158"/>
      <c r="E587" s="158"/>
      <c r="F587" s="158"/>
      <c r="G587" s="158"/>
      <c r="H587" s="158"/>
      <c r="I587" s="145"/>
      <c r="J587" s="158"/>
      <c r="K587" s="158"/>
      <c r="L587" s="126"/>
      <c r="M587" s="126"/>
      <c r="N587" s="126"/>
      <c r="O587" s="126"/>
      <c r="P587" s="126"/>
      <c r="Q587" s="126"/>
      <c r="R587" s="126"/>
      <c r="S587" s="126"/>
      <c r="T587" s="126"/>
      <c r="U587" s="126"/>
      <c r="V587" s="126"/>
      <c r="W587" s="126"/>
      <c r="X587" s="126"/>
      <c r="Y587" s="126"/>
      <c r="Z587" s="126"/>
      <c r="AA587" s="126"/>
      <c r="AB587" s="126"/>
      <c r="AC587" s="126"/>
      <c r="AD587" s="126"/>
      <c r="AE587" s="126"/>
      <c r="AF587" s="126"/>
      <c r="AG587" s="126"/>
      <c r="AH587" s="126"/>
      <c r="AI587" s="126"/>
      <c r="AJ587" s="126"/>
      <c r="AK587" s="126"/>
      <c r="AL587" s="126"/>
      <c r="AM587" s="126"/>
      <c r="AN587" s="126"/>
      <c r="AO587" s="126"/>
    </row>
    <row r="588">
      <c r="A588" s="158"/>
      <c r="B588" s="158"/>
      <c r="C588" s="158"/>
      <c r="D588" s="158"/>
      <c r="E588" s="158"/>
      <c r="F588" s="158"/>
      <c r="G588" s="158"/>
      <c r="H588" s="158"/>
      <c r="I588" s="145"/>
      <c r="J588" s="158"/>
      <c r="K588" s="158"/>
      <c r="L588" s="126"/>
      <c r="M588" s="126"/>
      <c r="N588" s="126"/>
      <c r="O588" s="126"/>
      <c r="P588" s="126"/>
      <c r="Q588" s="126"/>
      <c r="R588" s="126"/>
      <c r="S588" s="126"/>
      <c r="T588" s="126"/>
      <c r="U588" s="126"/>
      <c r="V588" s="126"/>
      <c r="W588" s="126"/>
      <c r="X588" s="126"/>
      <c r="Y588" s="126"/>
      <c r="Z588" s="126"/>
      <c r="AA588" s="126"/>
      <c r="AB588" s="126"/>
      <c r="AC588" s="126"/>
      <c r="AD588" s="126"/>
      <c r="AE588" s="126"/>
      <c r="AF588" s="126"/>
      <c r="AG588" s="126"/>
      <c r="AH588" s="126"/>
      <c r="AI588" s="126"/>
      <c r="AJ588" s="126"/>
      <c r="AK588" s="126"/>
      <c r="AL588" s="126"/>
      <c r="AM588" s="126"/>
      <c r="AN588" s="126"/>
      <c r="AO588" s="126"/>
    </row>
    <row r="589">
      <c r="A589" s="158"/>
      <c r="B589" s="158"/>
      <c r="C589" s="158"/>
      <c r="D589" s="158"/>
      <c r="E589" s="158"/>
      <c r="F589" s="158"/>
      <c r="G589" s="158"/>
      <c r="H589" s="158"/>
      <c r="I589" s="145"/>
      <c r="J589" s="158"/>
      <c r="K589" s="158"/>
      <c r="L589" s="126"/>
      <c r="M589" s="126"/>
      <c r="N589" s="126"/>
      <c r="O589" s="126"/>
      <c r="P589" s="126"/>
      <c r="Q589" s="126"/>
      <c r="R589" s="126"/>
      <c r="S589" s="126"/>
      <c r="T589" s="126"/>
      <c r="U589" s="126"/>
      <c r="V589" s="126"/>
      <c r="W589" s="126"/>
      <c r="X589" s="126"/>
      <c r="Y589" s="126"/>
      <c r="Z589" s="126"/>
      <c r="AA589" s="126"/>
      <c r="AB589" s="126"/>
      <c r="AC589" s="126"/>
      <c r="AD589" s="126"/>
      <c r="AE589" s="126"/>
      <c r="AF589" s="126"/>
      <c r="AG589" s="126"/>
      <c r="AH589" s="126"/>
      <c r="AI589" s="126"/>
      <c r="AJ589" s="126"/>
      <c r="AK589" s="126"/>
      <c r="AL589" s="126"/>
      <c r="AM589" s="126"/>
      <c r="AN589" s="126"/>
      <c r="AO589" s="126"/>
    </row>
    <row r="590">
      <c r="A590" s="158"/>
      <c r="B590" s="158"/>
      <c r="C590" s="158"/>
      <c r="D590" s="158"/>
      <c r="E590" s="158"/>
      <c r="F590" s="158"/>
      <c r="G590" s="158"/>
      <c r="H590" s="158"/>
      <c r="I590" s="145"/>
      <c r="J590" s="158"/>
      <c r="K590" s="158"/>
      <c r="L590" s="126"/>
      <c r="M590" s="126"/>
      <c r="N590" s="126"/>
      <c r="O590" s="126"/>
      <c r="P590" s="126"/>
      <c r="Q590" s="126"/>
      <c r="R590" s="126"/>
      <c r="S590" s="126"/>
      <c r="T590" s="126"/>
      <c r="U590" s="126"/>
      <c r="V590" s="126"/>
      <c r="W590" s="126"/>
      <c r="X590" s="126"/>
      <c r="Y590" s="126"/>
      <c r="Z590" s="126"/>
      <c r="AA590" s="126"/>
      <c r="AB590" s="126"/>
      <c r="AC590" s="126"/>
      <c r="AD590" s="126"/>
      <c r="AE590" s="126"/>
      <c r="AF590" s="126"/>
      <c r="AG590" s="126"/>
      <c r="AH590" s="126"/>
      <c r="AI590" s="126"/>
      <c r="AJ590" s="126"/>
      <c r="AK590" s="126"/>
      <c r="AL590" s="126"/>
      <c r="AM590" s="126"/>
      <c r="AN590" s="126"/>
      <c r="AO590" s="126"/>
    </row>
    <row r="591">
      <c r="A591" s="158"/>
      <c r="B591" s="158"/>
      <c r="C591" s="158"/>
      <c r="D591" s="158"/>
      <c r="E591" s="158"/>
      <c r="F591" s="158"/>
      <c r="G591" s="158"/>
      <c r="H591" s="158"/>
      <c r="I591" s="145"/>
      <c r="J591" s="158"/>
      <c r="K591" s="158"/>
      <c r="L591" s="126"/>
      <c r="M591" s="126"/>
      <c r="N591" s="126"/>
      <c r="O591" s="126"/>
      <c r="P591" s="126"/>
      <c r="Q591" s="126"/>
      <c r="R591" s="126"/>
      <c r="S591" s="126"/>
      <c r="T591" s="126"/>
      <c r="U591" s="126"/>
      <c r="V591" s="126"/>
      <c r="W591" s="126"/>
      <c r="X591" s="126"/>
      <c r="Y591" s="126"/>
      <c r="Z591" s="126"/>
      <c r="AA591" s="126"/>
      <c r="AB591" s="126"/>
      <c r="AC591" s="126"/>
      <c r="AD591" s="126"/>
      <c r="AE591" s="126"/>
      <c r="AF591" s="126"/>
      <c r="AG591" s="126"/>
      <c r="AH591" s="126"/>
      <c r="AI591" s="126"/>
      <c r="AJ591" s="126"/>
      <c r="AK591" s="126"/>
      <c r="AL591" s="126"/>
      <c r="AM591" s="126"/>
      <c r="AN591" s="126"/>
      <c r="AO591" s="126"/>
    </row>
    <row r="592">
      <c r="A592" s="158"/>
      <c r="B592" s="158"/>
      <c r="C592" s="158"/>
      <c r="D592" s="158"/>
      <c r="E592" s="158"/>
      <c r="F592" s="158"/>
      <c r="G592" s="158"/>
      <c r="H592" s="158"/>
      <c r="I592" s="145"/>
      <c r="J592" s="158"/>
      <c r="K592" s="158"/>
      <c r="L592" s="126"/>
      <c r="M592" s="126"/>
      <c r="N592" s="126"/>
      <c r="O592" s="126"/>
      <c r="P592" s="126"/>
      <c r="Q592" s="126"/>
      <c r="R592" s="126"/>
      <c r="S592" s="126"/>
      <c r="T592" s="126"/>
      <c r="U592" s="126"/>
      <c r="V592" s="126"/>
      <c r="W592" s="126"/>
      <c r="X592" s="126"/>
      <c r="Y592" s="126"/>
      <c r="Z592" s="126"/>
      <c r="AA592" s="126"/>
      <c r="AB592" s="126"/>
      <c r="AC592" s="126"/>
      <c r="AD592" s="126"/>
      <c r="AE592" s="126"/>
      <c r="AF592" s="126"/>
      <c r="AG592" s="126"/>
      <c r="AH592" s="126"/>
      <c r="AI592" s="126"/>
      <c r="AJ592" s="126"/>
      <c r="AK592" s="126"/>
      <c r="AL592" s="126"/>
      <c r="AM592" s="126"/>
      <c r="AN592" s="126"/>
      <c r="AO592" s="126"/>
    </row>
    <row r="593">
      <c r="A593" s="158"/>
      <c r="B593" s="158"/>
      <c r="C593" s="158"/>
      <c r="D593" s="158"/>
      <c r="E593" s="158"/>
      <c r="F593" s="158"/>
      <c r="G593" s="158"/>
      <c r="H593" s="158"/>
      <c r="I593" s="145"/>
      <c r="J593" s="158"/>
      <c r="K593" s="158"/>
      <c r="L593" s="126"/>
      <c r="M593" s="126"/>
      <c r="N593" s="126"/>
      <c r="O593" s="126"/>
      <c r="P593" s="126"/>
      <c r="Q593" s="126"/>
      <c r="R593" s="126"/>
      <c r="S593" s="126"/>
      <c r="T593" s="126"/>
      <c r="U593" s="126"/>
      <c r="V593" s="126"/>
      <c r="W593" s="126"/>
      <c r="X593" s="126"/>
      <c r="Y593" s="126"/>
      <c r="Z593" s="126"/>
      <c r="AA593" s="126"/>
      <c r="AB593" s="126"/>
      <c r="AC593" s="126"/>
      <c r="AD593" s="126"/>
      <c r="AE593" s="126"/>
      <c r="AF593" s="126"/>
      <c r="AG593" s="126"/>
      <c r="AH593" s="126"/>
      <c r="AI593" s="126"/>
      <c r="AJ593" s="126"/>
      <c r="AK593" s="126"/>
      <c r="AL593" s="126"/>
      <c r="AM593" s="126"/>
      <c r="AN593" s="126"/>
      <c r="AO593" s="126"/>
    </row>
    <row r="594">
      <c r="A594" s="158"/>
      <c r="B594" s="158"/>
      <c r="C594" s="158"/>
      <c r="D594" s="158"/>
      <c r="E594" s="158"/>
      <c r="F594" s="158"/>
      <c r="G594" s="158"/>
      <c r="H594" s="158"/>
      <c r="I594" s="145"/>
      <c r="J594" s="158"/>
      <c r="K594" s="158"/>
      <c r="L594" s="126"/>
      <c r="M594" s="126"/>
      <c r="N594" s="126"/>
      <c r="O594" s="126"/>
      <c r="P594" s="126"/>
      <c r="Q594" s="126"/>
      <c r="R594" s="126"/>
      <c r="S594" s="126"/>
      <c r="T594" s="126"/>
      <c r="U594" s="126"/>
      <c r="V594" s="126"/>
      <c r="W594" s="126"/>
      <c r="X594" s="126"/>
      <c r="Y594" s="126"/>
      <c r="Z594" s="126"/>
      <c r="AA594" s="126"/>
      <c r="AB594" s="126"/>
      <c r="AC594" s="126"/>
      <c r="AD594" s="126"/>
      <c r="AE594" s="126"/>
      <c r="AF594" s="126"/>
      <c r="AG594" s="126"/>
      <c r="AH594" s="126"/>
      <c r="AI594" s="126"/>
      <c r="AJ594" s="126"/>
      <c r="AK594" s="126"/>
      <c r="AL594" s="126"/>
      <c r="AM594" s="126"/>
      <c r="AN594" s="126"/>
      <c r="AO594" s="126"/>
    </row>
    <row r="595">
      <c r="A595" s="158"/>
      <c r="B595" s="158"/>
      <c r="C595" s="158"/>
      <c r="D595" s="158"/>
      <c r="E595" s="158"/>
      <c r="F595" s="158"/>
      <c r="G595" s="158"/>
      <c r="H595" s="158"/>
      <c r="I595" s="145"/>
      <c r="J595" s="158"/>
      <c r="K595" s="158"/>
      <c r="L595" s="126"/>
      <c r="M595" s="126"/>
      <c r="N595" s="126"/>
      <c r="O595" s="126"/>
      <c r="P595" s="126"/>
      <c r="Q595" s="126"/>
      <c r="R595" s="126"/>
      <c r="S595" s="126"/>
      <c r="T595" s="126"/>
      <c r="U595" s="126"/>
      <c r="V595" s="126"/>
      <c r="W595" s="126"/>
      <c r="X595" s="126"/>
      <c r="Y595" s="126"/>
      <c r="Z595" s="126"/>
      <c r="AA595" s="126"/>
      <c r="AB595" s="126"/>
      <c r="AC595" s="126"/>
      <c r="AD595" s="126"/>
      <c r="AE595" s="126"/>
      <c r="AF595" s="126"/>
      <c r="AG595" s="126"/>
      <c r="AH595" s="126"/>
      <c r="AI595" s="126"/>
      <c r="AJ595" s="126"/>
      <c r="AK595" s="126"/>
      <c r="AL595" s="126"/>
      <c r="AM595" s="126"/>
      <c r="AN595" s="126"/>
      <c r="AO595" s="126"/>
    </row>
    <row r="596">
      <c r="A596" s="158"/>
      <c r="B596" s="158"/>
      <c r="C596" s="158"/>
      <c r="D596" s="158"/>
      <c r="E596" s="158"/>
      <c r="F596" s="158"/>
      <c r="G596" s="158"/>
      <c r="H596" s="158"/>
      <c r="I596" s="145"/>
      <c r="J596" s="158"/>
      <c r="K596" s="158"/>
      <c r="L596" s="126"/>
      <c r="M596" s="126"/>
      <c r="N596" s="126"/>
      <c r="O596" s="126"/>
      <c r="P596" s="126"/>
      <c r="Q596" s="126"/>
      <c r="R596" s="126"/>
      <c r="S596" s="126"/>
      <c r="T596" s="126"/>
      <c r="U596" s="126"/>
      <c r="V596" s="126"/>
      <c r="W596" s="126"/>
      <c r="X596" s="126"/>
      <c r="Y596" s="126"/>
      <c r="Z596" s="126"/>
      <c r="AA596" s="126"/>
      <c r="AB596" s="126"/>
      <c r="AC596" s="126"/>
      <c r="AD596" s="126"/>
      <c r="AE596" s="126"/>
      <c r="AF596" s="126"/>
      <c r="AG596" s="126"/>
      <c r="AH596" s="126"/>
      <c r="AI596" s="126"/>
      <c r="AJ596" s="126"/>
      <c r="AK596" s="126"/>
      <c r="AL596" s="126"/>
      <c r="AM596" s="126"/>
      <c r="AN596" s="126"/>
      <c r="AO596" s="126"/>
    </row>
    <row r="597">
      <c r="A597" s="158"/>
      <c r="B597" s="158"/>
      <c r="C597" s="158"/>
      <c r="D597" s="158"/>
      <c r="E597" s="158"/>
      <c r="F597" s="158"/>
      <c r="G597" s="158"/>
      <c r="H597" s="158"/>
      <c r="I597" s="145"/>
      <c r="J597" s="158"/>
      <c r="K597" s="158"/>
      <c r="L597" s="126"/>
      <c r="M597" s="126"/>
      <c r="N597" s="126"/>
      <c r="O597" s="126"/>
      <c r="P597" s="126"/>
      <c r="Q597" s="126"/>
      <c r="R597" s="126"/>
      <c r="S597" s="126"/>
      <c r="T597" s="126"/>
      <c r="U597" s="126"/>
      <c r="V597" s="126"/>
      <c r="W597" s="126"/>
      <c r="X597" s="126"/>
      <c r="Y597" s="126"/>
      <c r="Z597" s="126"/>
      <c r="AA597" s="126"/>
      <c r="AB597" s="126"/>
      <c r="AC597" s="126"/>
      <c r="AD597" s="126"/>
      <c r="AE597" s="126"/>
      <c r="AF597" s="126"/>
      <c r="AG597" s="126"/>
      <c r="AH597" s="126"/>
      <c r="AI597" s="126"/>
      <c r="AJ597" s="126"/>
      <c r="AK597" s="126"/>
      <c r="AL597" s="126"/>
      <c r="AM597" s="126"/>
      <c r="AN597" s="126"/>
      <c r="AO597" s="126"/>
    </row>
    <row r="598">
      <c r="A598" s="158"/>
      <c r="B598" s="158"/>
      <c r="C598" s="158"/>
      <c r="D598" s="158"/>
      <c r="E598" s="158"/>
      <c r="F598" s="158"/>
      <c r="G598" s="158"/>
      <c r="H598" s="158"/>
      <c r="I598" s="145"/>
      <c r="J598" s="158"/>
      <c r="K598" s="158"/>
      <c r="L598" s="126"/>
      <c r="M598" s="126"/>
      <c r="N598" s="126"/>
      <c r="O598" s="126"/>
      <c r="P598" s="126"/>
      <c r="Q598" s="126"/>
      <c r="R598" s="126"/>
      <c r="S598" s="126"/>
      <c r="T598" s="126"/>
      <c r="U598" s="126"/>
      <c r="V598" s="126"/>
      <c r="W598" s="126"/>
      <c r="X598" s="126"/>
      <c r="Y598" s="126"/>
      <c r="Z598" s="126"/>
      <c r="AA598" s="126"/>
      <c r="AB598" s="126"/>
      <c r="AC598" s="126"/>
      <c r="AD598" s="126"/>
      <c r="AE598" s="126"/>
      <c r="AF598" s="126"/>
      <c r="AG598" s="126"/>
      <c r="AH598" s="126"/>
      <c r="AI598" s="126"/>
      <c r="AJ598" s="126"/>
      <c r="AK598" s="126"/>
      <c r="AL598" s="126"/>
      <c r="AM598" s="126"/>
      <c r="AN598" s="126"/>
      <c r="AO598" s="126"/>
    </row>
    <row r="599">
      <c r="A599" s="158"/>
      <c r="B599" s="158"/>
      <c r="C599" s="158"/>
      <c r="D599" s="158"/>
      <c r="E599" s="158"/>
      <c r="F599" s="158"/>
      <c r="G599" s="158"/>
      <c r="H599" s="158"/>
      <c r="I599" s="145"/>
      <c r="J599" s="158"/>
      <c r="K599" s="158"/>
      <c r="L599" s="126"/>
      <c r="M599" s="126"/>
      <c r="N599" s="126"/>
      <c r="O599" s="126"/>
      <c r="P599" s="126"/>
      <c r="Q599" s="126"/>
      <c r="R599" s="126"/>
      <c r="S599" s="126"/>
      <c r="T599" s="126"/>
      <c r="U599" s="126"/>
      <c r="V599" s="126"/>
      <c r="W599" s="126"/>
      <c r="X599" s="126"/>
      <c r="Y599" s="126"/>
      <c r="Z599" s="126"/>
      <c r="AA599" s="126"/>
      <c r="AB599" s="126"/>
      <c r="AC599" s="126"/>
      <c r="AD599" s="126"/>
      <c r="AE599" s="126"/>
      <c r="AF599" s="126"/>
      <c r="AG599" s="126"/>
      <c r="AH599" s="126"/>
      <c r="AI599" s="126"/>
      <c r="AJ599" s="126"/>
      <c r="AK599" s="126"/>
      <c r="AL599" s="126"/>
      <c r="AM599" s="126"/>
      <c r="AN599" s="126"/>
      <c r="AO599" s="126"/>
    </row>
    <row r="600">
      <c r="A600" s="158"/>
      <c r="B600" s="158"/>
      <c r="C600" s="158"/>
      <c r="D600" s="158"/>
      <c r="E600" s="158"/>
      <c r="F600" s="158"/>
      <c r="G600" s="158"/>
      <c r="H600" s="158"/>
      <c r="I600" s="145"/>
      <c r="J600" s="158"/>
      <c r="K600" s="158"/>
      <c r="L600" s="126"/>
      <c r="M600" s="126"/>
      <c r="N600" s="126"/>
      <c r="O600" s="126"/>
      <c r="P600" s="126"/>
      <c r="Q600" s="126"/>
      <c r="R600" s="126"/>
      <c r="S600" s="126"/>
      <c r="T600" s="126"/>
      <c r="U600" s="126"/>
      <c r="V600" s="126"/>
      <c r="W600" s="126"/>
      <c r="X600" s="126"/>
      <c r="Y600" s="126"/>
      <c r="Z600" s="126"/>
      <c r="AA600" s="126"/>
      <c r="AB600" s="126"/>
      <c r="AC600" s="126"/>
      <c r="AD600" s="126"/>
      <c r="AE600" s="126"/>
      <c r="AF600" s="126"/>
      <c r="AG600" s="126"/>
      <c r="AH600" s="126"/>
      <c r="AI600" s="126"/>
      <c r="AJ600" s="126"/>
      <c r="AK600" s="126"/>
      <c r="AL600" s="126"/>
      <c r="AM600" s="126"/>
      <c r="AN600" s="126"/>
      <c r="AO600" s="126"/>
    </row>
    <row r="601">
      <c r="A601" s="158"/>
      <c r="B601" s="158"/>
      <c r="C601" s="158"/>
      <c r="D601" s="158"/>
      <c r="E601" s="158"/>
      <c r="F601" s="158"/>
      <c r="G601" s="158"/>
      <c r="H601" s="158"/>
      <c r="I601" s="145"/>
      <c r="J601" s="158"/>
      <c r="K601" s="158"/>
      <c r="L601" s="126"/>
      <c r="M601" s="126"/>
      <c r="N601" s="126"/>
      <c r="O601" s="126"/>
      <c r="P601" s="126"/>
      <c r="Q601" s="126"/>
      <c r="R601" s="126"/>
      <c r="S601" s="126"/>
      <c r="T601" s="126"/>
      <c r="U601" s="126"/>
      <c r="V601" s="126"/>
      <c r="W601" s="126"/>
      <c r="X601" s="126"/>
      <c r="Y601" s="126"/>
      <c r="Z601" s="126"/>
      <c r="AA601" s="126"/>
      <c r="AB601" s="126"/>
      <c r="AC601" s="126"/>
      <c r="AD601" s="126"/>
      <c r="AE601" s="126"/>
      <c r="AF601" s="126"/>
      <c r="AG601" s="126"/>
      <c r="AH601" s="126"/>
      <c r="AI601" s="126"/>
      <c r="AJ601" s="126"/>
      <c r="AK601" s="126"/>
      <c r="AL601" s="126"/>
      <c r="AM601" s="126"/>
      <c r="AN601" s="126"/>
      <c r="AO601" s="126"/>
    </row>
    <row r="602">
      <c r="A602" s="158"/>
      <c r="B602" s="158"/>
      <c r="C602" s="158"/>
      <c r="D602" s="158"/>
      <c r="E602" s="158"/>
      <c r="F602" s="158"/>
      <c r="G602" s="158"/>
      <c r="H602" s="158"/>
      <c r="I602" s="145"/>
      <c r="J602" s="158"/>
      <c r="K602" s="158"/>
      <c r="L602" s="126"/>
      <c r="M602" s="126"/>
      <c r="N602" s="126"/>
      <c r="O602" s="126"/>
      <c r="P602" s="126"/>
      <c r="Q602" s="126"/>
      <c r="R602" s="126"/>
      <c r="S602" s="126"/>
      <c r="T602" s="126"/>
      <c r="U602" s="126"/>
      <c r="V602" s="126"/>
      <c r="W602" s="126"/>
      <c r="X602" s="126"/>
      <c r="Y602" s="126"/>
      <c r="Z602" s="126"/>
      <c r="AA602" s="126"/>
      <c r="AB602" s="126"/>
      <c r="AC602" s="126"/>
      <c r="AD602" s="126"/>
      <c r="AE602" s="126"/>
      <c r="AF602" s="126"/>
      <c r="AG602" s="126"/>
      <c r="AH602" s="126"/>
      <c r="AI602" s="126"/>
      <c r="AJ602" s="126"/>
      <c r="AK602" s="126"/>
      <c r="AL602" s="126"/>
      <c r="AM602" s="126"/>
      <c r="AN602" s="126"/>
      <c r="AO602" s="126"/>
    </row>
    <row r="603">
      <c r="A603" s="158"/>
      <c r="B603" s="158"/>
      <c r="C603" s="158"/>
      <c r="D603" s="158"/>
      <c r="E603" s="158"/>
      <c r="F603" s="158"/>
      <c r="G603" s="158"/>
      <c r="H603" s="158"/>
      <c r="I603" s="145"/>
      <c r="J603" s="158"/>
      <c r="K603" s="158"/>
      <c r="L603" s="126"/>
      <c r="M603" s="126"/>
      <c r="N603" s="126"/>
      <c r="O603" s="126"/>
      <c r="P603" s="126"/>
      <c r="Q603" s="126"/>
      <c r="R603" s="126"/>
      <c r="S603" s="126"/>
      <c r="T603" s="126"/>
      <c r="U603" s="126"/>
      <c r="V603" s="126"/>
      <c r="W603" s="126"/>
      <c r="X603" s="126"/>
      <c r="Y603" s="126"/>
      <c r="Z603" s="126"/>
      <c r="AA603" s="126"/>
      <c r="AB603" s="126"/>
      <c r="AC603" s="126"/>
      <c r="AD603" s="126"/>
      <c r="AE603" s="126"/>
      <c r="AF603" s="126"/>
      <c r="AG603" s="126"/>
      <c r="AH603" s="126"/>
      <c r="AI603" s="126"/>
      <c r="AJ603" s="126"/>
      <c r="AK603" s="126"/>
      <c r="AL603" s="126"/>
      <c r="AM603" s="126"/>
      <c r="AN603" s="126"/>
      <c r="AO603" s="126"/>
    </row>
    <row r="604">
      <c r="A604" s="158"/>
      <c r="B604" s="158"/>
      <c r="C604" s="158"/>
      <c r="D604" s="158"/>
      <c r="E604" s="158"/>
      <c r="F604" s="158"/>
      <c r="G604" s="158"/>
      <c r="H604" s="158"/>
      <c r="I604" s="145"/>
      <c r="J604" s="158"/>
      <c r="K604" s="158"/>
      <c r="L604" s="126"/>
      <c r="M604" s="126"/>
      <c r="N604" s="126"/>
      <c r="O604" s="126"/>
      <c r="P604" s="126"/>
      <c r="Q604" s="126"/>
      <c r="R604" s="126"/>
      <c r="S604" s="126"/>
      <c r="T604" s="126"/>
      <c r="U604" s="126"/>
      <c r="V604" s="126"/>
      <c r="W604" s="126"/>
      <c r="X604" s="126"/>
      <c r="Y604" s="126"/>
      <c r="Z604" s="126"/>
      <c r="AA604" s="126"/>
      <c r="AB604" s="126"/>
      <c r="AC604" s="126"/>
      <c r="AD604" s="126"/>
      <c r="AE604" s="126"/>
      <c r="AF604" s="126"/>
      <c r="AG604" s="126"/>
      <c r="AH604" s="126"/>
      <c r="AI604" s="126"/>
      <c r="AJ604" s="126"/>
      <c r="AK604" s="126"/>
      <c r="AL604" s="126"/>
      <c r="AM604" s="126"/>
      <c r="AN604" s="126"/>
      <c r="AO604" s="126"/>
    </row>
    <row r="605">
      <c r="A605" s="158"/>
      <c r="B605" s="158"/>
      <c r="C605" s="158"/>
      <c r="D605" s="158"/>
      <c r="E605" s="158"/>
      <c r="F605" s="158"/>
      <c r="G605" s="158"/>
      <c r="H605" s="158"/>
      <c r="I605" s="145"/>
      <c r="J605" s="158"/>
      <c r="K605" s="158"/>
      <c r="L605" s="126"/>
      <c r="M605" s="126"/>
      <c r="N605" s="126"/>
      <c r="O605" s="126"/>
      <c r="P605" s="126"/>
      <c r="Q605" s="126"/>
      <c r="R605" s="126"/>
      <c r="S605" s="126"/>
      <c r="T605" s="126"/>
      <c r="U605" s="126"/>
      <c r="V605" s="126"/>
      <c r="W605" s="126"/>
      <c r="X605" s="126"/>
      <c r="Y605" s="126"/>
      <c r="Z605" s="126"/>
      <c r="AA605" s="126"/>
      <c r="AB605" s="126"/>
      <c r="AC605" s="126"/>
      <c r="AD605" s="126"/>
      <c r="AE605" s="126"/>
      <c r="AF605" s="126"/>
      <c r="AG605" s="126"/>
      <c r="AH605" s="126"/>
      <c r="AI605" s="126"/>
      <c r="AJ605" s="126"/>
      <c r="AK605" s="126"/>
      <c r="AL605" s="126"/>
      <c r="AM605" s="126"/>
      <c r="AN605" s="126"/>
      <c r="AO605" s="126"/>
    </row>
    <row r="606">
      <c r="A606" s="158"/>
      <c r="B606" s="158"/>
      <c r="C606" s="158"/>
      <c r="D606" s="158"/>
      <c r="E606" s="158"/>
      <c r="F606" s="158"/>
      <c r="G606" s="158"/>
      <c r="H606" s="158"/>
      <c r="I606" s="145"/>
      <c r="J606" s="158"/>
      <c r="K606" s="158"/>
      <c r="L606" s="126"/>
      <c r="M606" s="126"/>
      <c r="N606" s="126"/>
      <c r="O606" s="126"/>
      <c r="P606" s="126"/>
      <c r="Q606" s="126"/>
      <c r="R606" s="126"/>
      <c r="S606" s="126"/>
      <c r="T606" s="126"/>
      <c r="U606" s="126"/>
      <c r="V606" s="126"/>
      <c r="W606" s="126"/>
      <c r="X606" s="126"/>
      <c r="Y606" s="126"/>
      <c r="Z606" s="126"/>
      <c r="AA606" s="126"/>
      <c r="AB606" s="126"/>
      <c r="AC606" s="126"/>
      <c r="AD606" s="126"/>
      <c r="AE606" s="126"/>
      <c r="AF606" s="126"/>
      <c r="AG606" s="126"/>
      <c r="AH606" s="126"/>
      <c r="AI606" s="126"/>
      <c r="AJ606" s="126"/>
      <c r="AK606" s="126"/>
      <c r="AL606" s="126"/>
      <c r="AM606" s="126"/>
      <c r="AN606" s="126"/>
      <c r="AO606" s="126"/>
    </row>
    <row r="607">
      <c r="A607" s="158"/>
      <c r="B607" s="158"/>
      <c r="C607" s="158"/>
      <c r="D607" s="158"/>
      <c r="E607" s="158"/>
      <c r="F607" s="158"/>
      <c r="G607" s="158"/>
      <c r="H607" s="158"/>
      <c r="I607" s="145"/>
      <c r="J607" s="158"/>
      <c r="K607" s="158"/>
      <c r="L607" s="126"/>
      <c r="M607" s="126"/>
      <c r="N607" s="126"/>
      <c r="O607" s="126"/>
      <c r="P607" s="126"/>
      <c r="Q607" s="126"/>
      <c r="R607" s="126"/>
      <c r="S607" s="126"/>
      <c r="T607" s="126"/>
      <c r="U607" s="126"/>
      <c r="V607" s="126"/>
      <c r="W607" s="126"/>
      <c r="X607" s="126"/>
      <c r="Y607" s="126"/>
      <c r="Z607" s="126"/>
      <c r="AA607" s="126"/>
      <c r="AB607" s="126"/>
      <c r="AC607" s="126"/>
      <c r="AD607" s="126"/>
      <c r="AE607" s="126"/>
      <c r="AF607" s="126"/>
      <c r="AG607" s="126"/>
      <c r="AH607" s="126"/>
      <c r="AI607" s="126"/>
      <c r="AJ607" s="126"/>
      <c r="AK607" s="126"/>
      <c r="AL607" s="126"/>
      <c r="AM607" s="126"/>
      <c r="AN607" s="126"/>
      <c r="AO607" s="126"/>
    </row>
    <row r="608">
      <c r="A608" s="158"/>
      <c r="B608" s="158"/>
      <c r="C608" s="158"/>
      <c r="D608" s="158"/>
      <c r="E608" s="158"/>
      <c r="F608" s="158"/>
      <c r="G608" s="158"/>
      <c r="H608" s="158"/>
      <c r="I608" s="145"/>
      <c r="J608" s="158"/>
      <c r="K608" s="158"/>
      <c r="L608" s="126"/>
      <c r="M608" s="126"/>
      <c r="N608" s="126"/>
      <c r="O608" s="126"/>
      <c r="P608" s="126"/>
      <c r="Q608" s="126"/>
      <c r="R608" s="126"/>
      <c r="S608" s="126"/>
      <c r="T608" s="126"/>
      <c r="U608" s="126"/>
      <c r="V608" s="126"/>
      <c r="W608" s="126"/>
      <c r="X608" s="126"/>
      <c r="Y608" s="126"/>
      <c r="Z608" s="126"/>
      <c r="AA608" s="126"/>
      <c r="AB608" s="126"/>
      <c r="AC608" s="126"/>
      <c r="AD608" s="126"/>
      <c r="AE608" s="126"/>
      <c r="AF608" s="126"/>
      <c r="AG608" s="126"/>
      <c r="AH608" s="126"/>
      <c r="AI608" s="126"/>
      <c r="AJ608" s="126"/>
      <c r="AK608" s="126"/>
      <c r="AL608" s="126"/>
      <c r="AM608" s="126"/>
      <c r="AN608" s="126"/>
      <c r="AO608" s="126"/>
    </row>
    <row r="609">
      <c r="A609" s="158"/>
      <c r="B609" s="158"/>
      <c r="C609" s="158"/>
      <c r="D609" s="158"/>
      <c r="E609" s="158"/>
      <c r="F609" s="158"/>
      <c r="G609" s="158"/>
      <c r="H609" s="158"/>
      <c r="I609" s="145"/>
      <c r="J609" s="158"/>
      <c r="K609" s="158"/>
      <c r="L609" s="126"/>
      <c r="M609" s="126"/>
      <c r="N609" s="126"/>
      <c r="O609" s="126"/>
      <c r="P609" s="126"/>
      <c r="Q609" s="126"/>
      <c r="R609" s="126"/>
      <c r="S609" s="126"/>
      <c r="T609" s="126"/>
      <c r="U609" s="126"/>
      <c r="V609" s="126"/>
      <c r="W609" s="126"/>
      <c r="X609" s="126"/>
      <c r="Y609" s="126"/>
      <c r="Z609" s="126"/>
      <c r="AA609" s="126"/>
      <c r="AB609" s="126"/>
      <c r="AC609" s="126"/>
      <c r="AD609" s="126"/>
      <c r="AE609" s="126"/>
      <c r="AF609" s="126"/>
      <c r="AG609" s="126"/>
      <c r="AH609" s="126"/>
      <c r="AI609" s="126"/>
      <c r="AJ609" s="126"/>
      <c r="AK609" s="126"/>
      <c r="AL609" s="126"/>
      <c r="AM609" s="126"/>
      <c r="AN609" s="126"/>
      <c r="AO609" s="126"/>
    </row>
    <row r="610">
      <c r="A610" s="158"/>
      <c r="B610" s="158"/>
      <c r="C610" s="158"/>
      <c r="D610" s="158"/>
      <c r="E610" s="158"/>
      <c r="F610" s="158"/>
      <c r="G610" s="158"/>
      <c r="H610" s="158"/>
      <c r="I610" s="145"/>
      <c r="J610" s="158"/>
      <c r="K610" s="158"/>
      <c r="L610" s="126"/>
      <c r="M610" s="126"/>
      <c r="N610" s="126"/>
      <c r="O610" s="126"/>
      <c r="P610" s="126"/>
      <c r="Q610" s="126"/>
      <c r="R610" s="126"/>
      <c r="S610" s="126"/>
      <c r="T610" s="126"/>
      <c r="U610" s="126"/>
      <c r="V610" s="126"/>
      <c r="W610" s="126"/>
      <c r="X610" s="126"/>
      <c r="Y610" s="126"/>
      <c r="Z610" s="126"/>
      <c r="AA610" s="126"/>
      <c r="AB610" s="126"/>
      <c r="AC610" s="126"/>
      <c r="AD610" s="126"/>
      <c r="AE610" s="126"/>
      <c r="AF610" s="126"/>
      <c r="AG610" s="126"/>
      <c r="AH610" s="126"/>
      <c r="AI610" s="126"/>
      <c r="AJ610" s="126"/>
      <c r="AK610" s="126"/>
      <c r="AL610" s="126"/>
      <c r="AM610" s="126"/>
      <c r="AN610" s="126"/>
      <c r="AO610" s="126"/>
    </row>
    <row r="611">
      <c r="A611" s="158"/>
      <c r="B611" s="158"/>
      <c r="C611" s="158"/>
      <c r="D611" s="158"/>
      <c r="E611" s="158"/>
      <c r="F611" s="158"/>
      <c r="G611" s="158"/>
      <c r="H611" s="158"/>
      <c r="I611" s="145"/>
      <c r="J611" s="158"/>
      <c r="K611" s="158"/>
      <c r="L611" s="126"/>
      <c r="M611" s="126"/>
      <c r="N611" s="126"/>
      <c r="O611" s="126"/>
      <c r="P611" s="126"/>
      <c r="Q611" s="126"/>
      <c r="R611" s="126"/>
      <c r="S611" s="126"/>
      <c r="T611" s="126"/>
      <c r="U611" s="126"/>
      <c r="V611" s="126"/>
      <c r="W611" s="126"/>
      <c r="X611" s="126"/>
      <c r="Y611" s="126"/>
      <c r="Z611" s="126"/>
      <c r="AA611" s="126"/>
      <c r="AB611" s="126"/>
      <c r="AC611" s="126"/>
      <c r="AD611" s="126"/>
      <c r="AE611" s="126"/>
      <c r="AF611" s="126"/>
      <c r="AG611" s="126"/>
      <c r="AH611" s="126"/>
      <c r="AI611" s="126"/>
      <c r="AJ611" s="126"/>
      <c r="AK611" s="126"/>
      <c r="AL611" s="126"/>
      <c r="AM611" s="126"/>
      <c r="AN611" s="126"/>
      <c r="AO611" s="126"/>
    </row>
    <row r="612">
      <c r="A612" s="158"/>
      <c r="B612" s="158"/>
      <c r="C612" s="158"/>
      <c r="D612" s="158"/>
      <c r="E612" s="158"/>
      <c r="F612" s="158"/>
      <c r="G612" s="158"/>
      <c r="H612" s="158"/>
      <c r="I612" s="145"/>
      <c r="J612" s="158"/>
      <c r="K612" s="158"/>
      <c r="L612" s="126"/>
      <c r="M612" s="126"/>
      <c r="N612" s="126"/>
      <c r="O612" s="126"/>
      <c r="P612" s="126"/>
      <c r="Q612" s="126"/>
      <c r="R612" s="126"/>
      <c r="S612" s="126"/>
      <c r="T612" s="126"/>
      <c r="U612" s="126"/>
      <c r="V612" s="126"/>
      <c r="W612" s="126"/>
      <c r="X612" s="126"/>
      <c r="Y612" s="126"/>
      <c r="Z612" s="126"/>
      <c r="AA612" s="126"/>
      <c r="AB612" s="126"/>
      <c r="AC612" s="126"/>
      <c r="AD612" s="126"/>
      <c r="AE612" s="126"/>
      <c r="AF612" s="126"/>
      <c r="AG612" s="126"/>
      <c r="AH612" s="126"/>
      <c r="AI612" s="126"/>
      <c r="AJ612" s="126"/>
      <c r="AK612" s="126"/>
      <c r="AL612" s="126"/>
      <c r="AM612" s="126"/>
      <c r="AN612" s="126"/>
      <c r="AO612" s="126"/>
    </row>
    <row r="613">
      <c r="A613" s="158"/>
      <c r="B613" s="158"/>
      <c r="C613" s="158"/>
      <c r="D613" s="158"/>
      <c r="E613" s="158"/>
      <c r="F613" s="158"/>
      <c r="G613" s="158"/>
      <c r="H613" s="158"/>
      <c r="I613" s="145"/>
      <c r="J613" s="158"/>
      <c r="K613" s="158"/>
      <c r="L613" s="126"/>
      <c r="M613" s="126"/>
      <c r="N613" s="126"/>
      <c r="O613" s="126"/>
      <c r="P613" s="126"/>
      <c r="Q613" s="126"/>
      <c r="R613" s="126"/>
      <c r="S613" s="126"/>
      <c r="T613" s="126"/>
      <c r="U613" s="126"/>
      <c r="V613" s="126"/>
      <c r="W613" s="126"/>
      <c r="X613" s="126"/>
      <c r="Y613" s="126"/>
      <c r="Z613" s="126"/>
      <c r="AA613" s="126"/>
      <c r="AB613" s="126"/>
      <c r="AC613" s="126"/>
      <c r="AD613" s="126"/>
      <c r="AE613" s="126"/>
      <c r="AF613" s="126"/>
      <c r="AG613" s="126"/>
      <c r="AH613" s="126"/>
      <c r="AI613" s="126"/>
      <c r="AJ613" s="126"/>
      <c r="AK613" s="126"/>
      <c r="AL613" s="126"/>
      <c r="AM613" s="126"/>
      <c r="AN613" s="126"/>
      <c r="AO613" s="126"/>
    </row>
    <row r="614">
      <c r="A614" s="158"/>
      <c r="B614" s="158"/>
      <c r="C614" s="158"/>
      <c r="D614" s="158"/>
      <c r="E614" s="158"/>
      <c r="F614" s="158"/>
      <c r="G614" s="158"/>
      <c r="H614" s="158"/>
      <c r="I614" s="145"/>
      <c r="J614" s="158"/>
      <c r="K614" s="158"/>
      <c r="L614" s="126"/>
      <c r="M614" s="126"/>
      <c r="N614" s="126"/>
      <c r="O614" s="126"/>
      <c r="P614" s="126"/>
      <c r="Q614" s="126"/>
      <c r="R614" s="126"/>
      <c r="S614" s="126"/>
      <c r="T614" s="126"/>
      <c r="U614" s="126"/>
      <c r="V614" s="126"/>
      <c r="W614" s="126"/>
      <c r="X614" s="126"/>
      <c r="Y614" s="126"/>
      <c r="Z614" s="126"/>
      <c r="AA614" s="126"/>
      <c r="AB614" s="126"/>
      <c r="AC614" s="126"/>
      <c r="AD614" s="126"/>
      <c r="AE614" s="126"/>
      <c r="AF614" s="126"/>
      <c r="AG614" s="126"/>
      <c r="AH614" s="126"/>
      <c r="AI614" s="126"/>
      <c r="AJ614" s="126"/>
      <c r="AK614" s="126"/>
      <c r="AL614" s="126"/>
      <c r="AM614" s="126"/>
      <c r="AN614" s="126"/>
      <c r="AO614" s="126"/>
    </row>
    <row r="615">
      <c r="A615" s="158"/>
      <c r="B615" s="158"/>
      <c r="C615" s="158"/>
      <c r="D615" s="158"/>
      <c r="E615" s="158"/>
      <c r="F615" s="158"/>
      <c r="G615" s="158"/>
      <c r="H615" s="158"/>
      <c r="I615" s="145"/>
      <c r="J615" s="158"/>
      <c r="K615" s="158"/>
      <c r="L615" s="126"/>
      <c r="M615" s="126"/>
      <c r="N615" s="126"/>
      <c r="O615" s="126"/>
      <c r="P615" s="126"/>
      <c r="Q615" s="126"/>
      <c r="R615" s="126"/>
      <c r="S615" s="126"/>
      <c r="T615" s="126"/>
      <c r="U615" s="126"/>
      <c r="V615" s="126"/>
      <c r="W615" s="126"/>
      <c r="X615" s="126"/>
      <c r="Y615" s="126"/>
      <c r="Z615" s="126"/>
      <c r="AA615" s="126"/>
      <c r="AB615" s="126"/>
      <c r="AC615" s="126"/>
      <c r="AD615" s="126"/>
      <c r="AE615" s="126"/>
      <c r="AF615" s="126"/>
      <c r="AG615" s="126"/>
      <c r="AH615" s="126"/>
      <c r="AI615" s="126"/>
      <c r="AJ615" s="126"/>
      <c r="AK615" s="126"/>
      <c r="AL615" s="126"/>
      <c r="AM615" s="126"/>
      <c r="AN615" s="126"/>
      <c r="AO615" s="126"/>
    </row>
    <row r="616">
      <c r="A616" s="158"/>
      <c r="B616" s="158"/>
      <c r="C616" s="158"/>
      <c r="D616" s="158"/>
      <c r="E616" s="158"/>
      <c r="F616" s="158"/>
      <c r="G616" s="158"/>
      <c r="H616" s="158"/>
      <c r="I616" s="145"/>
      <c r="J616" s="158"/>
      <c r="K616" s="158"/>
      <c r="L616" s="126"/>
      <c r="M616" s="126"/>
      <c r="N616" s="126"/>
      <c r="O616" s="126"/>
      <c r="P616" s="126"/>
      <c r="Q616" s="126"/>
      <c r="R616" s="126"/>
      <c r="S616" s="126"/>
      <c r="T616" s="126"/>
      <c r="U616" s="126"/>
      <c r="V616" s="126"/>
      <c r="W616" s="126"/>
      <c r="X616" s="126"/>
      <c r="Y616" s="126"/>
      <c r="Z616" s="126"/>
      <c r="AA616" s="126"/>
      <c r="AB616" s="126"/>
      <c r="AC616" s="126"/>
      <c r="AD616" s="126"/>
      <c r="AE616" s="126"/>
      <c r="AF616" s="126"/>
      <c r="AG616" s="126"/>
      <c r="AH616" s="126"/>
      <c r="AI616" s="126"/>
      <c r="AJ616" s="126"/>
      <c r="AK616" s="126"/>
      <c r="AL616" s="126"/>
      <c r="AM616" s="126"/>
      <c r="AN616" s="126"/>
      <c r="AO616" s="126"/>
    </row>
    <row r="617">
      <c r="A617" s="158"/>
      <c r="B617" s="158"/>
      <c r="C617" s="158"/>
      <c r="D617" s="158"/>
      <c r="E617" s="158"/>
      <c r="F617" s="158"/>
      <c r="G617" s="158"/>
      <c r="H617" s="158"/>
      <c r="I617" s="145"/>
      <c r="J617" s="158"/>
      <c r="K617" s="158"/>
      <c r="L617" s="126"/>
      <c r="M617" s="126"/>
      <c r="N617" s="126"/>
      <c r="O617" s="126"/>
      <c r="P617" s="126"/>
      <c r="Q617" s="126"/>
      <c r="R617" s="126"/>
      <c r="S617" s="126"/>
      <c r="T617" s="126"/>
      <c r="U617" s="126"/>
      <c r="V617" s="126"/>
      <c r="W617" s="126"/>
      <c r="X617" s="126"/>
      <c r="Y617" s="126"/>
      <c r="Z617" s="126"/>
      <c r="AA617" s="126"/>
      <c r="AB617" s="126"/>
      <c r="AC617" s="126"/>
      <c r="AD617" s="126"/>
      <c r="AE617" s="126"/>
      <c r="AF617" s="126"/>
      <c r="AG617" s="126"/>
      <c r="AH617" s="126"/>
      <c r="AI617" s="126"/>
      <c r="AJ617" s="126"/>
      <c r="AK617" s="126"/>
      <c r="AL617" s="126"/>
      <c r="AM617" s="126"/>
      <c r="AN617" s="126"/>
      <c r="AO617" s="126"/>
    </row>
    <row r="618">
      <c r="A618" s="158"/>
      <c r="B618" s="158"/>
      <c r="C618" s="158"/>
      <c r="D618" s="158"/>
      <c r="E618" s="158"/>
      <c r="F618" s="158"/>
      <c r="G618" s="158"/>
      <c r="H618" s="158"/>
      <c r="I618" s="145"/>
      <c r="J618" s="158"/>
      <c r="K618" s="158"/>
      <c r="L618" s="126"/>
      <c r="M618" s="126"/>
      <c r="N618" s="126"/>
      <c r="O618" s="126"/>
      <c r="P618" s="126"/>
      <c r="Q618" s="126"/>
      <c r="R618" s="126"/>
      <c r="S618" s="126"/>
      <c r="T618" s="126"/>
      <c r="U618" s="126"/>
      <c r="V618" s="126"/>
      <c r="W618" s="126"/>
      <c r="X618" s="126"/>
      <c r="Y618" s="126"/>
      <c r="Z618" s="126"/>
      <c r="AA618" s="126"/>
      <c r="AB618" s="126"/>
      <c r="AC618" s="126"/>
      <c r="AD618" s="126"/>
      <c r="AE618" s="126"/>
      <c r="AF618" s="126"/>
      <c r="AG618" s="126"/>
      <c r="AH618" s="126"/>
      <c r="AI618" s="126"/>
      <c r="AJ618" s="126"/>
      <c r="AK618" s="126"/>
      <c r="AL618" s="126"/>
      <c r="AM618" s="126"/>
      <c r="AN618" s="126"/>
      <c r="AO618" s="126"/>
    </row>
    <row r="619">
      <c r="A619" s="158"/>
      <c r="B619" s="158"/>
      <c r="C619" s="158"/>
      <c r="D619" s="158"/>
      <c r="E619" s="158"/>
      <c r="F619" s="158"/>
      <c r="G619" s="158"/>
      <c r="H619" s="158"/>
      <c r="I619" s="145"/>
      <c r="J619" s="158"/>
      <c r="K619" s="158"/>
      <c r="L619" s="126"/>
      <c r="M619" s="126"/>
      <c r="N619" s="126"/>
      <c r="O619" s="126"/>
      <c r="P619" s="126"/>
      <c r="Q619" s="126"/>
      <c r="R619" s="126"/>
      <c r="S619" s="126"/>
      <c r="T619" s="126"/>
      <c r="U619" s="126"/>
      <c r="V619" s="126"/>
      <c r="W619" s="126"/>
      <c r="X619" s="126"/>
      <c r="Y619" s="126"/>
      <c r="Z619" s="126"/>
      <c r="AA619" s="126"/>
      <c r="AB619" s="126"/>
      <c r="AC619" s="126"/>
      <c r="AD619" s="126"/>
      <c r="AE619" s="126"/>
      <c r="AF619" s="126"/>
      <c r="AG619" s="126"/>
      <c r="AH619" s="126"/>
      <c r="AI619" s="126"/>
      <c r="AJ619" s="126"/>
      <c r="AK619" s="126"/>
      <c r="AL619" s="126"/>
      <c r="AM619" s="126"/>
      <c r="AN619" s="126"/>
      <c r="AO619" s="126"/>
    </row>
    <row r="620">
      <c r="A620" s="158"/>
      <c r="B620" s="158"/>
      <c r="C620" s="158"/>
      <c r="D620" s="158"/>
      <c r="E620" s="158"/>
      <c r="F620" s="158"/>
      <c r="G620" s="158"/>
      <c r="H620" s="158"/>
      <c r="I620" s="145"/>
      <c r="J620" s="158"/>
      <c r="K620" s="158"/>
      <c r="L620" s="126"/>
      <c r="M620" s="126"/>
      <c r="N620" s="126"/>
      <c r="O620" s="126"/>
      <c r="P620" s="126"/>
      <c r="Q620" s="126"/>
      <c r="R620" s="126"/>
      <c r="S620" s="126"/>
      <c r="T620" s="126"/>
      <c r="U620" s="126"/>
      <c r="V620" s="126"/>
      <c r="W620" s="126"/>
      <c r="X620" s="126"/>
      <c r="Y620" s="126"/>
      <c r="Z620" s="126"/>
      <c r="AA620" s="126"/>
      <c r="AB620" s="126"/>
      <c r="AC620" s="126"/>
      <c r="AD620" s="126"/>
      <c r="AE620" s="126"/>
      <c r="AF620" s="126"/>
      <c r="AG620" s="126"/>
      <c r="AH620" s="126"/>
      <c r="AI620" s="126"/>
      <c r="AJ620" s="126"/>
      <c r="AK620" s="126"/>
      <c r="AL620" s="126"/>
      <c r="AM620" s="126"/>
      <c r="AN620" s="126"/>
      <c r="AO620" s="126"/>
    </row>
    <row r="621">
      <c r="A621" s="158"/>
      <c r="B621" s="158"/>
      <c r="C621" s="158"/>
      <c r="D621" s="158"/>
      <c r="E621" s="158"/>
      <c r="F621" s="158"/>
      <c r="G621" s="158"/>
      <c r="H621" s="158"/>
      <c r="I621" s="145"/>
      <c r="J621" s="158"/>
      <c r="K621" s="158"/>
      <c r="L621" s="126"/>
      <c r="M621" s="126"/>
      <c r="N621" s="126"/>
      <c r="O621" s="126"/>
      <c r="P621" s="126"/>
      <c r="Q621" s="126"/>
      <c r="R621" s="126"/>
      <c r="S621" s="126"/>
      <c r="T621" s="126"/>
      <c r="U621" s="126"/>
      <c r="V621" s="126"/>
      <c r="W621" s="126"/>
      <c r="X621" s="126"/>
      <c r="Y621" s="126"/>
      <c r="Z621" s="126"/>
      <c r="AA621" s="126"/>
      <c r="AB621" s="126"/>
      <c r="AC621" s="126"/>
      <c r="AD621" s="126"/>
      <c r="AE621" s="126"/>
      <c r="AF621" s="126"/>
      <c r="AG621" s="126"/>
      <c r="AH621" s="126"/>
      <c r="AI621" s="126"/>
      <c r="AJ621" s="126"/>
      <c r="AK621" s="126"/>
      <c r="AL621" s="126"/>
      <c r="AM621" s="126"/>
      <c r="AN621" s="126"/>
      <c r="AO621" s="126"/>
    </row>
    <row r="622">
      <c r="A622" s="158"/>
      <c r="B622" s="158"/>
      <c r="C622" s="158"/>
      <c r="D622" s="158"/>
      <c r="E622" s="158"/>
      <c r="F622" s="158"/>
      <c r="G622" s="158"/>
      <c r="H622" s="158"/>
      <c r="I622" s="145"/>
      <c r="J622" s="158"/>
      <c r="K622" s="158"/>
      <c r="L622" s="126"/>
      <c r="M622" s="126"/>
      <c r="N622" s="126"/>
      <c r="O622" s="126"/>
      <c r="P622" s="126"/>
      <c r="Q622" s="126"/>
      <c r="R622" s="126"/>
      <c r="S622" s="126"/>
      <c r="T622" s="126"/>
      <c r="U622" s="126"/>
      <c r="V622" s="126"/>
      <c r="W622" s="126"/>
      <c r="X622" s="126"/>
      <c r="Y622" s="126"/>
      <c r="Z622" s="126"/>
      <c r="AA622" s="126"/>
      <c r="AB622" s="126"/>
      <c r="AC622" s="126"/>
      <c r="AD622" s="126"/>
      <c r="AE622" s="126"/>
      <c r="AF622" s="126"/>
      <c r="AG622" s="126"/>
      <c r="AH622" s="126"/>
      <c r="AI622" s="126"/>
      <c r="AJ622" s="126"/>
      <c r="AK622" s="126"/>
      <c r="AL622" s="126"/>
      <c r="AM622" s="126"/>
      <c r="AN622" s="126"/>
      <c r="AO622" s="126"/>
    </row>
    <row r="623">
      <c r="A623" s="158"/>
      <c r="B623" s="158"/>
      <c r="C623" s="158"/>
      <c r="D623" s="158"/>
      <c r="E623" s="158"/>
      <c r="F623" s="158"/>
      <c r="G623" s="158"/>
      <c r="H623" s="158"/>
      <c r="I623" s="145"/>
      <c r="J623" s="158"/>
      <c r="K623" s="158"/>
      <c r="L623" s="126"/>
      <c r="M623" s="126"/>
      <c r="N623" s="126"/>
      <c r="O623" s="126"/>
      <c r="P623" s="126"/>
      <c r="Q623" s="126"/>
      <c r="R623" s="126"/>
      <c r="S623" s="126"/>
      <c r="T623" s="126"/>
      <c r="U623" s="126"/>
      <c r="V623" s="126"/>
      <c r="W623" s="126"/>
      <c r="X623" s="126"/>
      <c r="Y623" s="126"/>
      <c r="Z623" s="126"/>
      <c r="AA623" s="126"/>
      <c r="AB623" s="126"/>
      <c r="AC623" s="126"/>
      <c r="AD623" s="126"/>
      <c r="AE623" s="126"/>
      <c r="AF623" s="126"/>
      <c r="AG623" s="126"/>
      <c r="AH623" s="126"/>
      <c r="AI623" s="126"/>
      <c r="AJ623" s="126"/>
      <c r="AK623" s="126"/>
      <c r="AL623" s="126"/>
      <c r="AM623" s="126"/>
      <c r="AN623" s="126"/>
      <c r="AO623" s="126"/>
    </row>
    <row r="624">
      <c r="A624" s="158"/>
      <c r="B624" s="158"/>
      <c r="C624" s="158"/>
      <c r="D624" s="158"/>
      <c r="E624" s="158"/>
      <c r="F624" s="158"/>
      <c r="G624" s="158"/>
      <c r="H624" s="158"/>
      <c r="I624" s="145"/>
      <c r="J624" s="158"/>
      <c r="K624" s="158"/>
      <c r="L624" s="126"/>
      <c r="M624" s="126"/>
      <c r="N624" s="126"/>
      <c r="O624" s="126"/>
      <c r="P624" s="126"/>
      <c r="Q624" s="126"/>
      <c r="R624" s="126"/>
      <c r="S624" s="126"/>
      <c r="T624" s="126"/>
      <c r="U624" s="126"/>
      <c r="V624" s="126"/>
      <c r="W624" s="126"/>
      <c r="X624" s="126"/>
      <c r="Y624" s="126"/>
      <c r="Z624" s="126"/>
      <c r="AA624" s="126"/>
      <c r="AB624" s="126"/>
      <c r="AC624" s="126"/>
      <c r="AD624" s="126"/>
      <c r="AE624" s="126"/>
      <c r="AF624" s="126"/>
      <c r="AG624" s="126"/>
      <c r="AH624" s="126"/>
      <c r="AI624" s="126"/>
      <c r="AJ624" s="126"/>
      <c r="AK624" s="126"/>
      <c r="AL624" s="126"/>
      <c r="AM624" s="126"/>
      <c r="AN624" s="126"/>
      <c r="AO624" s="126"/>
    </row>
    <row r="625">
      <c r="A625" s="158"/>
      <c r="B625" s="158"/>
      <c r="C625" s="158"/>
      <c r="D625" s="158"/>
      <c r="E625" s="158"/>
      <c r="F625" s="158"/>
      <c r="G625" s="158"/>
      <c r="H625" s="158"/>
      <c r="I625" s="145"/>
      <c r="J625" s="158"/>
      <c r="K625" s="158"/>
      <c r="L625" s="126"/>
      <c r="M625" s="126"/>
      <c r="N625" s="126"/>
      <c r="O625" s="126"/>
      <c r="P625" s="126"/>
      <c r="Q625" s="126"/>
      <c r="R625" s="126"/>
      <c r="S625" s="126"/>
      <c r="T625" s="126"/>
      <c r="U625" s="126"/>
      <c r="V625" s="126"/>
      <c r="W625" s="126"/>
      <c r="X625" s="126"/>
      <c r="Y625" s="126"/>
      <c r="Z625" s="126"/>
      <c r="AA625" s="126"/>
      <c r="AB625" s="126"/>
      <c r="AC625" s="126"/>
      <c r="AD625" s="126"/>
      <c r="AE625" s="126"/>
      <c r="AF625" s="126"/>
      <c r="AG625" s="126"/>
      <c r="AH625" s="126"/>
      <c r="AI625" s="126"/>
      <c r="AJ625" s="126"/>
      <c r="AK625" s="126"/>
      <c r="AL625" s="126"/>
      <c r="AM625" s="126"/>
      <c r="AN625" s="126"/>
      <c r="AO625" s="126"/>
    </row>
    <row r="626">
      <c r="A626" s="158"/>
      <c r="B626" s="158"/>
      <c r="C626" s="158"/>
      <c r="D626" s="158"/>
      <c r="E626" s="158"/>
      <c r="F626" s="158"/>
      <c r="G626" s="158"/>
      <c r="H626" s="158"/>
      <c r="I626" s="145"/>
      <c r="J626" s="158"/>
      <c r="K626" s="158"/>
      <c r="L626" s="126"/>
      <c r="M626" s="126"/>
      <c r="N626" s="126"/>
      <c r="O626" s="126"/>
      <c r="P626" s="126"/>
      <c r="Q626" s="126"/>
      <c r="R626" s="126"/>
      <c r="S626" s="126"/>
      <c r="T626" s="126"/>
      <c r="U626" s="126"/>
      <c r="V626" s="126"/>
      <c r="W626" s="126"/>
      <c r="X626" s="126"/>
      <c r="Y626" s="126"/>
      <c r="Z626" s="126"/>
      <c r="AA626" s="126"/>
      <c r="AB626" s="126"/>
      <c r="AC626" s="126"/>
      <c r="AD626" s="126"/>
      <c r="AE626" s="126"/>
      <c r="AF626" s="126"/>
      <c r="AG626" s="126"/>
      <c r="AH626" s="126"/>
      <c r="AI626" s="126"/>
      <c r="AJ626" s="126"/>
      <c r="AK626" s="126"/>
      <c r="AL626" s="126"/>
      <c r="AM626" s="126"/>
      <c r="AN626" s="126"/>
      <c r="AO626" s="126"/>
    </row>
    <row r="627">
      <c r="A627" s="158"/>
      <c r="B627" s="158"/>
      <c r="C627" s="158"/>
      <c r="D627" s="158"/>
      <c r="E627" s="158"/>
      <c r="F627" s="158"/>
      <c r="G627" s="158"/>
      <c r="H627" s="158"/>
      <c r="I627" s="145"/>
      <c r="J627" s="158"/>
      <c r="K627" s="158"/>
      <c r="L627" s="126"/>
      <c r="M627" s="126"/>
      <c r="N627" s="126"/>
      <c r="O627" s="126"/>
      <c r="P627" s="126"/>
      <c r="Q627" s="126"/>
      <c r="R627" s="126"/>
      <c r="S627" s="126"/>
      <c r="T627" s="126"/>
      <c r="U627" s="126"/>
      <c r="V627" s="126"/>
      <c r="W627" s="126"/>
      <c r="X627" s="126"/>
      <c r="Y627" s="126"/>
      <c r="Z627" s="126"/>
      <c r="AA627" s="126"/>
      <c r="AB627" s="126"/>
      <c r="AC627" s="126"/>
      <c r="AD627" s="126"/>
      <c r="AE627" s="126"/>
      <c r="AF627" s="126"/>
      <c r="AG627" s="126"/>
      <c r="AH627" s="126"/>
      <c r="AI627" s="126"/>
      <c r="AJ627" s="126"/>
      <c r="AK627" s="126"/>
      <c r="AL627" s="126"/>
      <c r="AM627" s="126"/>
      <c r="AN627" s="126"/>
      <c r="AO627" s="126"/>
    </row>
    <row r="628">
      <c r="A628" s="158"/>
      <c r="B628" s="158"/>
      <c r="C628" s="158"/>
      <c r="D628" s="158"/>
      <c r="E628" s="158"/>
      <c r="F628" s="158"/>
      <c r="G628" s="158"/>
      <c r="H628" s="158"/>
      <c r="I628" s="145"/>
      <c r="J628" s="158"/>
      <c r="K628" s="158"/>
      <c r="L628" s="126"/>
      <c r="M628" s="126"/>
      <c r="N628" s="126"/>
      <c r="O628" s="126"/>
      <c r="P628" s="126"/>
      <c r="Q628" s="126"/>
      <c r="R628" s="126"/>
      <c r="S628" s="126"/>
      <c r="T628" s="126"/>
      <c r="U628" s="126"/>
      <c r="V628" s="126"/>
      <c r="W628" s="126"/>
      <c r="X628" s="126"/>
      <c r="Y628" s="126"/>
      <c r="Z628" s="126"/>
      <c r="AA628" s="126"/>
      <c r="AB628" s="126"/>
      <c r="AC628" s="126"/>
      <c r="AD628" s="126"/>
      <c r="AE628" s="126"/>
      <c r="AF628" s="126"/>
      <c r="AG628" s="126"/>
      <c r="AH628" s="126"/>
      <c r="AI628" s="126"/>
      <c r="AJ628" s="126"/>
      <c r="AK628" s="126"/>
      <c r="AL628" s="126"/>
      <c r="AM628" s="126"/>
      <c r="AN628" s="126"/>
      <c r="AO628" s="126"/>
    </row>
    <row r="629">
      <c r="A629" s="158"/>
      <c r="B629" s="158"/>
      <c r="C629" s="158"/>
      <c r="D629" s="158"/>
      <c r="E629" s="158"/>
      <c r="F629" s="158"/>
      <c r="G629" s="158"/>
      <c r="H629" s="158"/>
      <c r="I629" s="145"/>
      <c r="J629" s="158"/>
      <c r="K629" s="158"/>
      <c r="L629" s="126"/>
      <c r="M629" s="126"/>
      <c r="N629" s="126"/>
      <c r="O629" s="126"/>
      <c r="P629" s="126"/>
      <c r="Q629" s="126"/>
      <c r="R629" s="126"/>
      <c r="S629" s="126"/>
      <c r="T629" s="126"/>
      <c r="U629" s="126"/>
      <c r="V629" s="126"/>
      <c r="W629" s="126"/>
      <c r="X629" s="126"/>
      <c r="Y629" s="126"/>
      <c r="Z629" s="126"/>
      <c r="AA629" s="126"/>
      <c r="AB629" s="126"/>
      <c r="AC629" s="126"/>
      <c r="AD629" s="126"/>
      <c r="AE629" s="126"/>
      <c r="AF629" s="126"/>
      <c r="AG629" s="126"/>
      <c r="AH629" s="126"/>
      <c r="AI629" s="126"/>
      <c r="AJ629" s="126"/>
      <c r="AK629" s="126"/>
      <c r="AL629" s="126"/>
      <c r="AM629" s="126"/>
      <c r="AN629" s="126"/>
      <c r="AO629" s="126"/>
    </row>
    <row r="630">
      <c r="A630" s="158"/>
      <c r="B630" s="158"/>
      <c r="C630" s="158"/>
      <c r="D630" s="158"/>
      <c r="E630" s="158"/>
      <c r="F630" s="158"/>
      <c r="G630" s="158"/>
      <c r="H630" s="158"/>
      <c r="I630" s="145"/>
      <c r="J630" s="158"/>
      <c r="K630" s="158"/>
      <c r="L630" s="126"/>
      <c r="M630" s="126"/>
      <c r="N630" s="126"/>
      <c r="O630" s="126"/>
      <c r="P630" s="126"/>
      <c r="Q630" s="126"/>
      <c r="R630" s="126"/>
      <c r="S630" s="126"/>
      <c r="T630" s="126"/>
      <c r="U630" s="126"/>
      <c r="V630" s="126"/>
      <c r="W630" s="126"/>
      <c r="X630" s="126"/>
      <c r="Y630" s="126"/>
      <c r="Z630" s="126"/>
      <c r="AA630" s="126"/>
      <c r="AB630" s="126"/>
      <c r="AC630" s="126"/>
      <c r="AD630" s="126"/>
      <c r="AE630" s="126"/>
      <c r="AF630" s="126"/>
      <c r="AG630" s="126"/>
      <c r="AH630" s="126"/>
      <c r="AI630" s="126"/>
      <c r="AJ630" s="126"/>
      <c r="AK630" s="126"/>
      <c r="AL630" s="126"/>
      <c r="AM630" s="126"/>
      <c r="AN630" s="126"/>
      <c r="AO630" s="126"/>
    </row>
    <row r="631">
      <c r="A631" s="158"/>
      <c r="B631" s="158"/>
      <c r="C631" s="158"/>
      <c r="D631" s="158"/>
      <c r="E631" s="158"/>
      <c r="F631" s="158"/>
      <c r="G631" s="158"/>
      <c r="H631" s="158"/>
      <c r="I631" s="145"/>
      <c r="J631" s="158"/>
      <c r="K631" s="158"/>
      <c r="L631" s="126"/>
      <c r="M631" s="126"/>
      <c r="N631" s="126"/>
      <c r="O631" s="126"/>
      <c r="P631" s="126"/>
      <c r="Q631" s="126"/>
      <c r="R631" s="126"/>
      <c r="S631" s="126"/>
      <c r="T631" s="126"/>
      <c r="U631" s="126"/>
      <c r="V631" s="126"/>
      <c r="W631" s="126"/>
      <c r="X631" s="126"/>
      <c r="Y631" s="126"/>
      <c r="Z631" s="126"/>
      <c r="AA631" s="126"/>
      <c r="AB631" s="126"/>
      <c r="AC631" s="126"/>
      <c r="AD631" s="126"/>
      <c r="AE631" s="126"/>
      <c r="AF631" s="126"/>
      <c r="AG631" s="126"/>
      <c r="AH631" s="126"/>
      <c r="AI631" s="126"/>
      <c r="AJ631" s="126"/>
      <c r="AK631" s="126"/>
      <c r="AL631" s="126"/>
      <c r="AM631" s="126"/>
      <c r="AN631" s="126"/>
      <c r="AO631" s="126"/>
    </row>
    <row r="632">
      <c r="A632" s="158"/>
      <c r="B632" s="158"/>
      <c r="C632" s="158"/>
      <c r="D632" s="158"/>
      <c r="E632" s="158"/>
      <c r="F632" s="158"/>
      <c r="G632" s="158"/>
      <c r="H632" s="158"/>
      <c r="I632" s="145"/>
      <c r="J632" s="158"/>
      <c r="K632" s="158"/>
      <c r="L632" s="126"/>
      <c r="M632" s="126"/>
      <c r="N632" s="126"/>
      <c r="O632" s="126"/>
      <c r="P632" s="126"/>
      <c r="Q632" s="126"/>
      <c r="R632" s="126"/>
      <c r="S632" s="126"/>
      <c r="T632" s="126"/>
      <c r="U632" s="126"/>
      <c r="V632" s="126"/>
      <c r="W632" s="126"/>
      <c r="X632" s="126"/>
      <c r="Y632" s="126"/>
      <c r="Z632" s="126"/>
      <c r="AA632" s="126"/>
      <c r="AB632" s="126"/>
      <c r="AC632" s="126"/>
      <c r="AD632" s="126"/>
      <c r="AE632" s="126"/>
      <c r="AF632" s="126"/>
      <c r="AG632" s="126"/>
      <c r="AH632" s="126"/>
      <c r="AI632" s="126"/>
      <c r="AJ632" s="126"/>
      <c r="AK632" s="126"/>
      <c r="AL632" s="126"/>
      <c r="AM632" s="126"/>
      <c r="AN632" s="126"/>
      <c r="AO632" s="126"/>
    </row>
    <row r="633">
      <c r="A633" s="158"/>
      <c r="B633" s="158"/>
      <c r="C633" s="158"/>
      <c r="D633" s="158"/>
      <c r="E633" s="158"/>
      <c r="F633" s="158"/>
      <c r="G633" s="158"/>
      <c r="H633" s="158"/>
      <c r="I633" s="145"/>
      <c r="J633" s="158"/>
      <c r="K633" s="158"/>
      <c r="L633" s="126"/>
      <c r="M633" s="126"/>
      <c r="N633" s="126"/>
      <c r="O633" s="126"/>
      <c r="P633" s="126"/>
      <c r="Q633" s="126"/>
      <c r="R633" s="126"/>
      <c r="S633" s="126"/>
      <c r="T633" s="126"/>
      <c r="U633" s="126"/>
      <c r="V633" s="126"/>
      <c r="W633" s="126"/>
      <c r="X633" s="126"/>
      <c r="Y633" s="126"/>
      <c r="Z633" s="126"/>
      <c r="AA633" s="126"/>
      <c r="AB633" s="126"/>
      <c r="AC633" s="126"/>
      <c r="AD633" s="126"/>
      <c r="AE633" s="126"/>
      <c r="AF633" s="126"/>
      <c r="AG633" s="126"/>
      <c r="AH633" s="126"/>
      <c r="AI633" s="126"/>
      <c r="AJ633" s="126"/>
      <c r="AK633" s="126"/>
      <c r="AL633" s="126"/>
      <c r="AM633" s="126"/>
      <c r="AN633" s="126"/>
      <c r="AO633" s="126"/>
    </row>
    <row r="634">
      <c r="A634" s="158"/>
      <c r="B634" s="158"/>
      <c r="C634" s="158"/>
      <c r="D634" s="158"/>
      <c r="E634" s="158"/>
      <c r="F634" s="158"/>
      <c r="G634" s="158"/>
      <c r="H634" s="158"/>
      <c r="I634" s="145"/>
      <c r="J634" s="158"/>
      <c r="K634" s="158"/>
      <c r="L634" s="126"/>
      <c r="M634" s="126"/>
      <c r="N634" s="126"/>
      <c r="O634" s="126"/>
      <c r="P634" s="126"/>
      <c r="Q634" s="126"/>
      <c r="R634" s="126"/>
      <c r="S634" s="126"/>
      <c r="T634" s="126"/>
      <c r="U634" s="126"/>
      <c r="V634" s="126"/>
      <c r="W634" s="126"/>
      <c r="X634" s="126"/>
      <c r="Y634" s="126"/>
      <c r="Z634" s="126"/>
      <c r="AA634" s="126"/>
      <c r="AB634" s="126"/>
      <c r="AC634" s="126"/>
      <c r="AD634" s="126"/>
      <c r="AE634" s="126"/>
      <c r="AF634" s="126"/>
      <c r="AG634" s="126"/>
      <c r="AH634" s="126"/>
      <c r="AI634" s="126"/>
      <c r="AJ634" s="126"/>
      <c r="AK634" s="126"/>
      <c r="AL634" s="126"/>
      <c r="AM634" s="126"/>
      <c r="AN634" s="126"/>
      <c r="AO634" s="126"/>
    </row>
    <row r="635">
      <c r="A635" s="158"/>
      <c r="B635" s="158"/>
      <c r="C635" s="158"/>
      <c r="D635" s="158"/>
      <c r="E635" s="158"/>
      <c r="F635" s="158"/>
      <c r="G635" s="158"/>
      <c r="H635" s="158"/>
      <c r="I635" s="145"/>
      <c r="J635" s="158"/>
      <c r="K635" s="158"/>
      <c r="L635" s="126"/>
      <c r="M635" s="126"/>
      <c r="N635" s="126"/>
      <c r="O635" s="126"/>
      <c r="P635" s="126"/>
      <c r="Q635" s="126"/>
      <c r="R635" s="126"/>
      <c r="S635" s="126"/>
      <c r="T635" s="126"/>
      <c r="U635" s="126"/>
      <c r="V635" s="126"/>
      <c r="W635" s="126"/>
      <c r="X635" s="126"/>
      <c r="Y635" s="126"/>
      <c r="Z635" s="126"/>
      <c r="AA635" s="126"/>
      <c r="AB635" s="126"/>
      <c r="AC635" s="126"/>
      <c r="AD635" s="126"/>
      <c r="AE635" s="126"/>
      <c r="AF635" s="126"/>
      <c r="AG635" s="126"/>
      <c r="AH635" s="126"/>
      <c r="AI635" s="126"/>
      <c r="AJ635" s="126"/>
      <c r="AK635" s="126"/>
      <c r="AL635" s="126"/>
      <c r="AM635" s="126"/>
      <c r="AN635" s="126"/>
      <c r="AO635" s="126"/>
    </row>
    <row r="636">
      <c r="A636" s="158"/>
      <c r="B636" s="158"/>
      <c r="C636" s="158"/>
      <c r="D636" s="158"/>
      <c r="E636" s="158"/>
      <c r="F636" s="158"/>
      <c r="G636" s="158"/>
      <c r="H636" s="158"/>
      <c r="I636" s="145"/>
      <c r="J636" s="158"/>
      <c r="K636" s="158"/>
      <c r="L636" s="126"/>
      <c r="M636" s="126"/>
      <c r="N636" s="126"/>
      <c r="O636" s="126"/>
      <c r="P636" s="126"/>
      <c r="Q636" s="126"/>
      <c r="R636" s="126"/>
      <c r="S636" s="126"/>
      <c r="T636" s="126"/>
      <c r="U636" s="126"/>
      <c r="V636" s="126"/>
      <c r="W636" s="126"/>
      <c r="X636" s="126"/>
      <c r="Y636" s="126"/>
      <c r="Z636" s="126"/>
      <c r="AA636" s="126"/>
      <c r="AB636" s="126"/>
      <c r="AC636" s="126"/>
      <c r="AD636" s="126"/>
      <c r="AE636" s="126"/>
      <c r="AF636" s="126"/>
      <c r="AG636" s="126"/>
      <c r="AH636" s="126"/>
      <c r="AI636" s="126"/>
      <c r="AJ636" s="126"/>
      <c r="AK636" s="126"/>
      <c r="AL636" s="126"/>
      <c r="AM636" s="126"/>
      <c r="AN636" s="126"/>
      <c r="AO636" s="126"/>
    </row>
    <row r="637">
      <c r="A637" s="158"/>
      <c r="B637" s="158"/>
      <c r="C637" s="158"/>
      <c r="D637" s="158"/>
      <c r="E637" s="158"/>
      <c r="F637" s="158"/>
      <c r="G637" s="158"/>
      <c r="H637" s="158"/>
      <c r="I637" s="145"/>
      <c r="J637" s="158"/>
      <c r="K637" s="158"/>
      <c r="L637" s="126"/>
      <c r="M637" s="126"/>
      <c r="N637" s="126"/>
      <c r="O637" s="126"/>
      <c r="P637" s="126"/>
      <c r="Q637" s="126"/>
      <c r="R637" s="126"/>
      <c r="S637" s="126"/>
      <c r="T637" s="126"/>
      <c r="U637" s="126"/>
      <c r="V637" s="126"/>
      <c r="W637" s="126"/>
      <c r="X637" s="126"/>
      <c r="Y637" s="126"/>
      <c r="Z637" s="126"/>
      <c r="AA637" s="126"/>
      <c r="AB637" s="126"/>
      <c r="AC637" s="126"/>
      <c r="AD637" s="126"/>
      <c r="AE637" s="126"/>
      <c r="AF637" s="126"/>
      <c r="AG637" s="126"/>
      <c r="AH637" s="126"/>
      <c r="AI637" s="126"/>
      <c r="AJ637" s="126"/>
      <c r="AK637" s="126"/>
      <c r="AL637" s="126"/>
      <c r="AM637" s="126"/>
      <c r="AN637" s="126"/>
      <c r="AO637" s="126"/>
    </row>
    <row r="638">
      <c r="A638" s="158"/>
      <c r="B638" s="158"/>
      <c r="C638" s="158"/>
      <c r="D638" s="158"/>
      <c r="E638" s="158"/>
      <c r="F638" s="158"/>
      <c r="G638" s="158"/>
      <c r="H638" s="158"/>
      <c r="I638" s="145"/>
      <c r="J638" s="158"/>
      <c r="K638" s="158"/>
      <c r="L638" s="126"/>
      <c r="M638" s="126"/>
      <c r="N638" s="126"/>
      <c r="O638" s="126"/>
      <c r="P638" s="126"/>
      <c r="Q638" s="126"/>
      <c r="R638" s="126"/>
      <c r="S638" s="126"/>
      <c r="T638" s="126"/>
      <c r="U638" s="126"/>
      <c r="V638" s="126"/>
      <c r="W638" s="126"/>
      <c r="X638" s="126"/>
      <c r="Y638" s="126"/>
      <c r="Z638" s="126"/>
      <c r="AA638" s="126"/>
      <c r="AB638" s="126"/>
      <c r="AC638" s="126"/>
      <c r="AD638" s="126"/>
      <c r="AE638" s="126"/>
      <c r="AF638" s="126"/>
      <c r="AG638" s="126"/>
      <c r="AH638" s="126"/>
      <c r="AI638" s="126"/>
      <c r="AJ638" s="126"/>
      <c r="AK638" s="126"/>
      <c r="AL638" s="126"/>
      <c r="AM638" s="126"/>
      <c r="AN638" s="126"/>
      <c r="AO638" s="126"/>
    </row>
    <row r="639">
      <c r="A639" s="158"/>
      <c r="B639" s="158"/>
      <c r="C639" s="158"/>
      <c r="D639" s="158"/>
      <c r="E639" s="158"/>
      <c r="F639" s="158"/>
      <c r="G639" s="158"/>
      <c r="H639" s="158"/>
      <c r="I639" s="145"/>
      <c r="J639" s="158"/>
      <c r="K639" s="158"/>
      <c r="L639" s="126"/>
      <c r="M639" s="126"/>
      <c r="N639" s="126"/>
      <c r="O639" s="126"/>
      <c r="P639" s="126"/>
      <c r="Q639" s="126"/>
      <c r="R639" s="126"/>
      <c r="S639" s="126"/>
      <c r="T639" s="126"/>
      <c r="U639" s="126"/>
      <c r="V639" s="126"/>
      <c r="W639" s="126"/>
      <c r="X639" s="126"/>
      <c r="Y639" s="126"/>
      <c r="Z639" s="126"/>
      <c r="AA639" s="126"/>
      <c r="AB639" s="126"/>
      <c r="AC639" s="126"/>
      <c r="AD639" s="126"/>
      <c r="AE639" s="126"/>
      <c r="AF639" s="126"/>
      <c r="AG639" s="126"/>
      <c r="AH639" s="126"/>
      <c r="AI639" s="126"/>
      <c r="AJ639" s="126"/>
      <c r="AK639" s="126"/>
      <c r="AL639" s="126"/>
      <c r="AM639" s="126"/>
      <c r="AN639" s="126"/>
      <c r="AO639" s="126"/>
    </row>
    <row r="640">
      <c r="A640" s="158"/>
      <c r="B640" s="158"/>
      <c r="C640" s="158"/>
      <c r="D640" s="158"/>
      <c r="E640" s="158"/>
      <c r="F640" s="158"/>
      <c r="G640" s="158"/>
      <c r="H640" s="158"/>
      <c r="I640" s="145"/>
      <c r="J640" s="158"/>
      <c r="K640" s="158"/>
      <c r="L640" s="126"/>
      <c r="M640" s="126"/>
      <c r="N640" s="126"/>
      <c r="O640" s="126"/>
      <c r="P640" s="126"/>
      <c r="Q640" s="126"/>
      <c r="R640" s="126"/>
      <c r="S640" s="126"/>
      <c r="T640" s="126"/>
      <c r="U640" s="126"/>
      <c r="V640" s="126"/>
      <c r="W640" s="126"/>
      <c r="X640" s="126"/>
      <c r="Y640" s="126"/>
      <c r="Z640" s="126"/>
      <c r="AA640" s="126"/>
      <c r="AB640" s="126"/>
      <c r="AC640" s="126"/>
      <c r="AD640" s="126"/>
      <c r="AE640" s="126"/>
      <c r="AF640" s="126"/>
      <c r="AG640" s="126"/>
      <c r="AH640" s="126"/>
      <c r="AI640" s="126"/>
      <c r="AJ640" s="126"/>
      <c r="AK640" s="126"/>
      <c r="AL640" s="126"/>
      <c r="AM640" s="126"/>
      <c r="AN640" s="126"/>
      <c r="AO640" s="126"/>
    </row>
    <row r="641">
      <c r="A641" s="158"/>
      <c r="B641" s="158"/>
      <c r="C641" s="158"/>
      <c r="D641" s="158"/>
      <c r="E641" s="158"/>
      <c r="F641" s="158"/>
      <c r="G641" s="158"/>
      <c r="H641" s="158"/>
      <c r="I641" s="145"/>
      <c r="J641" s="158"/>
      <c r="K641" s="158"/>
      <c r="L641" s="126"/>
      <c r="M641" s="126"/>
      <c r="N641" s="126"/>
      <c r="O641" s="126"/>
      <c r="P641" s="126"/>
      <c r="Q641" s="126"/>
      <c r="R641" s="126"/>
      <c r="S641" s="126"/>
      <c r="T641" s="126"/>
      <c r="U641" s="126"/>
      <c r="V641" s="126"/>
      <c r="W641" s="126"/>
      <c r="X641" s="126"/>
      <c r="Y641" s="126"/>
      <c r="Z641" s="126"/>
      <c r="AA641" s="126"/>
      <c r="AB641" s="126"/>
      <c r="AC641" s="126"/>
      <c r="AD641" s="126"/>
      <c r="AE641" s="126"/>
      <c r="AF641" s="126"/>
      <c r="AG641" s="126"/>
      <c r="AH641" s="126"/>
      <c r="AI641" s="126"/>
      <c r="AJ641" s="126"/>
      <c r="AK641" s="126"/>
      <c r="AL641" s="126"/>
      <c r="AM641" s="126"/>
      <c r="AN641" s="126"/>
      <c r="AO641" s="126"/>
    </row>
    <row r="642">
      <c r="A642" s="158"/>
      <c r="B642" s="158"/>
      <c r="C642" s="158"/>
      <c r="D642" s="158"/>
      <c r="E642" s="158"/>
      <c r="F642" s="158"/>
      <c r="G642" s="158"/>
      <c r="H642" s="158"/>
      <c r="I642" s="145"/>
      <c r="J642" s="158"/>
      <c r="K642" s="158"/>
      <c r="L642" s="126"/>
      <c r="M642" s="126"/>
      <c r="N642" s="126"/>
      <c r="O642" s="126"/>
      <c r="P642" s="126"/>
      <c r="Q642" s="126"/>
      <c r="R642" s="126"/>
      <c r="S642" s="126"/>
      <c r="T642" s="126"/>
      <c r="U642" s="126"/>
      <c r="V642" s="126"/>
      <c r="W642" s="126"/>
      <c r="X642" s="126"/>
      <c r="Y642" s="126"/>
      <c r="Z642" s="126"/>
      <c r="AA642" s="126"/>
      <c r="AB642" s="126"/>
      <c r="AC642" s="126"/>
      <c r="AD642" s="126"/>
      <c r="AE642" s="126"/>
      <c r="AF642" s="126"/>
      <c r="AG642" s="126"/>
      <c r="AH642" s="126"/>
      <c r="AI642" s="126"/>
      <c r="AJ642" s="126"/>
      <c r="AK642" s="126"/>
      <c r="AL642" s="126"/>
      <c r="AM642" s="126"/>
      <c r="AN642" s="126"/>
      <c r="AO642" s="126"/>
    </row>
    <row r="643">
      <c r="A643" s="158"/>
      <c r="B643" s="158"/>
      <c r="C643" s="158"/>
      <c r="D643" s="158"/>
      <c r="E643" s="158"/>
      <c r="F643" s="158"/>
      <c r="G643" s="158"/>
      <c r="H643" s="158"/>
      <c r="I643" s="145"/>
      <c r="J643" s="158"/>
      <c r="K643" s="158"/>
      <c r="L643" s="126"/>
      <c r="M643" s="126"/>
      <c r="N643" s="126"/>
      <c r="O643" s="126"/>
      <c r="P643" s="126"/>
      <c r="Q643" s="126"/>
      <c r="R643" s="126"/>
      <c r="S643" s="126"/>
      <c r="T643" s="126"/>
      <c r="U643" s="126"/>
      <c r="V643" s="126"/>
      <c r="W643" s="126"/>
      <c r="X643" s="126"/>
      <c r="Y643" s="126"/>
      <c r="Z643" s="126"/>
      <c r="AA643" s="126"/>
      <c r="AB643" s="126"/>
      <c r="AC643" s="126"/>
      <c r="AD643" s="126"/>
      <c r="AE643" s="126"/>
      <c r="AF643" s="126"/>
      <c r="AG643" s="126"/>
      <c r="AH643" s="126"/>
      <c r="AI643" s="126"/>
      <c r="AJ643" s="126"/>
      <c r="AK643" s="126"/>
      <c r="AL643" s="126"/>
      <c r="AM643" s="126"/>
      <c r="AN643" s="126"/>
      <c r="AO643" s="126"/>
    </row>
    <row r="644">
      <c r="A644" s="158"/>
      <c r="B644" s="158"/>
      <c r="C644" s="158"/>
      <c r="D644" s="158"/>
      <c r="E644" s="158"/>
      <c r="F644" s="158"/>
      <c r="G644" s="158"/>
      <c r="H644" s="158"/>
      <c r="I644" s="145"/>
      <c r="J644" s="158"/>
      <c r="K644" s="158"/>
      <c r="L644" s="126"/>
      <c r="M644" s="126"/>
      <c r="N644" s="126"/>
      <c r="O644" s="126"/>
      <c r="P644" s="126"/>
      <c r="Q644" s="126"/>
      <c r="R644" s="126"/>
      <c r="S644" s="126"/>
      <c r="T644" s="126"/>
      <c r="U644" s="126"/>
      <c r="V644" s="126"/>
      <c r="W644" s="126"/>
      <c r="X644" s="126"/>
      <c r="Y644" s="126"/>
      <c r="Z644" s="126"/>
      <c r="AA644" s="126"/>
      <c r="AB644" s="126"/>
      <c r="AC644" s="126"/>
      <c r="AD644" s="126"/>
      <c r="AE644" s="126"/>
      <c r="AF644" s="126"/>
      <c r="AG644" s="126"/>
      <c r="AH644" s="126"/>
      <c r="AI644" s="126"/>
      <c r="AJ644" s="126"/>
      <c r="AK644" s="126"/>
      <c r="AL644" s="126"/>
      <c r="AM644" s="126"/>
      <c r="AN644" s="126"/>
      <c r="AO644" s="126"/>
    </row>
    <row r="645">
      <c r="A645" s="158"/>
      <c r="B645" s="158"/>
      <c r="C645" s="158"/>
      <c r="D645" s="158"/>
      <c r="E645" s="158"/>
      <c r="F645" s="158"/>
      <c r="G645" s="158"/>
      <c r="H645" s="158"/>
      <c r="I645" s="145"/>
      <c r="J645" s="158"/>
      <c r="K645" s="158"/>
      <c r="L645" s="126"/>
      <c r="M645" s="126"/>
      <c r="N645" s="126"/>
      <c r="O645" s="126"/>
      <c r="P645" s="126"/>
      <c r="Q645" s="126"/>
      <c r="R645" s="126"/>
      <c r="S645" s="126"/>
      <c r="T645" s="126"/>
      <c r="U645" s="126"/>
      <c r="V645" s="126"/>
      <c r="W645" s="126"/>
      <c r="X645" s="126"/>
      <c r="Y645" s="126"/>
      <c r="Z645" s="126"/>
      <c r="AA645" s="126"/>
      <c r="AB645" s="126"/>
      <c r="AC645" s="126"/>
      <c r="AD645" s="126"/>
      <c r="AE645" s="126"/>
      <c r="AF645" s="126"/>
      <c r="AG645" s="126"/>
      <c r="AH645" s="126"/>
      <c r="AI645" s="126"/>
      <c r="AJ645" s="126"/>
      <c r="AK645" s="126"/>
      <c r="AL645" s="126"/>
      <c r="AM645" s="126"/>
      <c r="AN645" s="126"/>
      <c r="AO645" s="126"/>
    </row>
    <row r="646">
      <c r="A646" s="158"/>
      <c r="B646" s="158"/>
      <c r="C646" s="158"/>
      <c r="D646" s="158"/>
      <c r="E646" s="158"/>
      <c r="F646" s="158"/>
      <c r="G646" s="158"/>
      <c r="H646" s="158"/>
      <c r="I646" s="145"/>
      <c r="J646" s="158"/>
      <c r="K646" s="158"/>
      <c r="L646" s="126"/>
      <c r="M646" s="126"/>
      <c r="N646" s="126"/>
      <c r="O646" s="126"/>
      <c r="P646" s="126"/>
      <c r="Q646" s="126"/>
      <c r="R646" s="126"/>
      <c r="S646" s="126"/>
      <c r="T646" s="126"/>
      <c r="U646" s="126"/>
      <c r="V646" s="126"/>
      <c r="W646" s="126"/>
      <c r="X646" s="126"/>
      <c r="Y646" s="126"/>
      <c r="Z646" s="126"/>
      <c r="AA646" s="126"/>
      <c r="AB646" s="126"/>
      <c r="AC646" s="126"/>
      <c r="AD646" s="126"/>
      <c r="AE646" s="126"/>
      <c r="AF646" s="126"/>
      <c r="AG646" s="126"/>
      <c r="AH646" s="126"/>
      <c r="AI646" s="126"/>
      <c r="AJ646" s="126"/>
      <c r="AK646" s="126"/>
      <c r="AL646" s="126"/>
      <c r="AM646" s="126"/>
      <c r="AN646" s="126"/>
      <c r="AO646" s="126"/>
    </row>
    <row r="647">
      <c r="A647" s="158"/>
      <c r="B647" s="158"/>
      <c r="C647" s="158"/>
      <c r="D647" s="158"/>
      <c r="E647" s="158"/>
      <c r="F647" s="158"/>
      <c r="G647" s="158"/>
      <c r="H647" s="158"/>
      <c r="I647" s="145"/>
      <c r="J647" s="158"/>
      <c r="K647" s="158"/>
      <c r="L647" s="126"/>
      <c r="M647" s="126"/>
      <c r="N647" s="126"/>
      <c r="O647" s="126"/>
      <c r="P647" s="126"/>
      <c r="Q647" s="126"/>
      <c r="R647" s="126"/>
      <c r="S647" s="126"/>
      <c r="T647" s="126"/>
      <c r="U647" s="126"/>
      <c r="V647" s="126"/>
      <c r="W647" s="126"/>
      <c r="X647" s="126"/>
      <c r="Y647" s="126"/>
      <c r="Z647" s="126"/>
      <c r="AA647" s="126"/>
      <c r="AB647" s="126"/>
      <c r="AC647" s="126"/>
      <c r="AD647" s="126"/>
      <c r="AE647" s="126"/>
      <c r="AF647" s="126"/>
      <c r="AG647" s="126"/>
      <c r="AH647" s="126"/>
      <c r="AI647" s="126"/>
      <c r="AJ647" s="126"/>
      <c r="AK647" s="126"/>
      <c r="AL647" s="126"/>
      <c r="AM647" s="126"/>
      <c r="AN647" s="126"/>
      <c r="AO647" s="126"/>
    </row>
    <row r="648">
      <c r="A648" s="158"/>
      <c r="B648" s="158"/>
      <c r="C648" s="158"/>
      <c r="D648" s="158"/>
      <c r="E648" s="158"/>
      <c r="F648" s="158"/>
      <c r="G648" s="158"/>
      <c r="H648" s="158"/>
      <c r="I648" s="145"/>
      <c r="J648" s="158"/>
      <c r="K648" s="158"/>
      <c r="L648" s="126"/>
      <c r="M648" s="126"/>
      <c r="N648" s="126"/>
      <c r="O648" s="126"/>
      <c r="P648" s="126"/>
      <c r="Q648" s="126"/>
      <c r="R648" s="126"/>
      <c r="S648" s="126"/>
      <c r="T648" s="126"/>
      <c r="U648" s="126"/>
      <c r="V648" s="126"/>
      <c r="W648" s="126"/>
      <c r="X648" s="126"/>
      <c r="Y648" s="126"/>
      <c r="Z648" s="126"/>
      <c r="AA648" s="126"/>
      <c r="AB648" s="126"/>
      <c r="AC648" s="126"/>
      <c r="AD648" s="126"/>
      <c r="AE648" s="126"/>
      <c r="AF648" s="126"/>
      <c r="AG648" s="126"/>
      <c r="AH648" s="126"/>
      <c r="AI648" s="126"/>
      <c r="AJ648" s="126"/>
      <c r="AK648" s="126"/>
      <c r="AL648" s="126"/>
      <c r="AM648" s="126"/>
      <c r="AN648" s="126"/>
      <c r="AO648" s="126"/>
    </row>
    <row r="649">
      <c r="A649" s="158"/>
      <c r="B649" s="158"/>
      <c r="C649" s="158"/>
      <c r="D649" s="158"/>
      <c r="E649" s="158"/>
      <c r="F649" s="158"/>
      <c r="G649" s="158"/>
      <c r="H649" s="158"/>
      <c r="I649" s="145"/>
      <c r="J649" s="158"/>
      <c r="K649" s="158"/>
      <c r="L649" s="126"/>
      <c r="M649" s="126"/>
      <c r="N649" s="126"/>
      <c r="O649" s="126"/>
      <c r="P649" s="126"/>
      <c r="Q649" s="126"/>
      <c r="R649" s="126"/>
      <c r="S649" s="126"/>
      <c r="T649" s="126"/>
      <c r="U649" s="126"/>
      <c r="V649" s="126"/>
      <c r="W649" s="126"/>
      <c r="X649" s="126"/>
      <c r="Y649" s="126"/>
      <c r="Z649" s="126"/>
      <c r="AA649" s="126"/>
      <c r="AB649" s="126"/>
      <c r="AC649" s="126"/>
      <c r="AD649" s="126"/>
      <c r="AE649" s="126"/>
      <c r="AF649" s="126"/>
      <c r="AG649" s="126"/>
      <c r="AH649" s="126"/>
      <c r="AI649" s="126"/>
      <c r="AJ649" s="126"/>
      <c r="AK649" s="126"/>
      <c r="AL649" s="126"/>
      <c r="AM649" s="126"/>
      <c r="AN649" s="126"/>
      <c r="AO649" s="126"/>
    </row>
    <row r="650">
      <c r="A650" s="158"/>
      <c r="B650" s="158"/>
      <c r="C650" s="158"/>
      <c r="D650" s="158"/>
      <c r="E650" s="158"/>
      <c r="F650" s="158"/>
      <c r="G650" s="158"/>
      <c r="H650" s="158"/>
      <c r="I650" s="145"/>
      <c r="J650" s="158"/>
      <c r="K650" s="158"/>
      <c r="L650" s="126"/>
      <c r="M650" s="126"/>
      <c r="N650" s="126"/>
      <c r="O650" s="126"/>
      <c r="P650" s="126"/>
      <c r="Q650" s="126"/>
      <c r="R650" s="126"/>
      <c r="S650" s="126"/>
      <c r="T650" s="126"/>
      <c r="U650" s="126"/>
      <c r="V650" s="126"/>
      <c r="W650" s="126"/>
      <c r="X650" s="126"/>
      <c r="Y650" s="126"/>
      <c r="Z650" s="126"/>
      <c r="AA650" s="126"/>
      <c r="AB650" s="126"/>
      <c r="AC650" s="126"/>
      <c r="AD650" s="126"/>
      <c r="AE650" s="126"/>
      <c r="AF650" s="126"/>
      <c r="AG650" s="126"/>
      <c r="AH650" s="126"/>
      <c r="AI650" s="126"/>
      <c r="AJ650" s="126"/>
      <c r="AK650" s="126"/>
      <c r="AL650" s="126"/>
      <c r="AM650" s="126"/>
      <c r="AN650" s="126"/>
      <c r="AO650" s="126"/>
    </row>
    <row r="651">
      <c r="A651" s="158"/>
      <c r="B651" s="158"/>
      <c r="C651" s="158"/>
      <c r="D651" s="158"/>
      <c r="E651" s="158"/>
      <c r="F651" s="158"/>
      <c r="G651" s="158"/>
      <c r="H651" s="158"/>
      <c r="I651" s="145"/>
      <c r="J651" s="158"/>
      <c r="K651" s="158"/>
      <c r="L651" s="126"/>
      <c r="M651" s="126"/>
      <c r="N651" s="126"/>
      <c r="O651" s="126"/>
      <c r="P651" s="126"/>
      <c r="Q651" s="126"/>
      <c r="R651" s="126"/>
      <c r="S651" s="126"/>
      <c r="T651" s="126"/>
      <c r="U651" s="126"/>
      <c r="V651" s="126"/>
      <c r="W651" s="126"/>
      <c r="X651" s="126"/>
      <c r="Y651" s="126"/>
      <c r="Z651" s="126"/>
      <c r="AA651" s="126"/>
      <c r="AB651" s="126"/>
      <c r="AC651" s="126"/>
      <c r="AD651" s="126"/>
      <c r="AE651" s="126"/>
      <c r="AF651" s="126"/>
      <c r="AG651" s="126"/>
      <c r="AH651" s="126"/>
      <c r="AI651" s="126"/>
      <c r="AJ651" s="126"/>
      <c r="AK651" s="126"/>
      <c r="AL651" s="126"/>
      <c r="AM651" s="126"/>
      <c r="AN651" s="126"/>
      <c r="AO651" s="126"/>
    </row>
    <row r="652">
      <c r="A652" s="158"/>
      <c r="B652" s="158"/>
      <c r="C652" s="158"/>
      <c r="D652" s="158"/>
      <c r="E652" s="158"/>
      <c r="F652" s="158"/>
      <c r="G652" s="158"/>
      <c r="H652" s="158"/>
      <c r="I652" s="145"/>
      <c r="J652" s="158"/>
      <c r="K652" s="158"/>
      <c r="L652" s="126"/>
      <c r="M652" s="126"/>
      <c r="N652" s="126"/>
      <c r="O652" s="126"/>
      <c r="P652" s="126"/>
      <c r="Q652" s="126"/>
      <c r="R652" s="126"/>
      <c r="S652" s="126"/>
      <c r="T652" s="126"/>
      <c r="U652" s="126"/>
      <c r="V652" s="126"/>
      <c r="W652" s="126"/>
      <c r="X652" s="126"/>
      <c r="Y652" s="126"/>
      <c r="Z652" s="126"/>
      <c r="AA652" s="126"/>
      <c r="AB652" s="126"/>
      <c r="AC652" s="126"/>
      <c r="AD652" s="126"/>
      <c r="AE652" s="126"/>
      <c r="AF652" s="126"/>
      <c r="AG652" s="126"/>
      <c r="AH652" s="126"/>
      <c r="AI652" s="126"/>
      <c r="AJ652" s="126"/>
      <c r="AK652" s="126"/>
      <c r="AL652" s="126"/>
      <c r="AM652" s="126"/>
      <c r="AN652" s="126"/>
      <c r="AO652" s="126"/>
    </row>
    <row r="653">
      <c r="A653" s="158"/>
      <c r="B653" s="158"/>
      <c r="C653" s="158"/>
      <c r="D653" s="158"/>
      <c r="E653" s="158"/>
      <c r="F653" s="158"/>
      <c r="G653" s="158"/>
      <c r="H653" s="158"/>
      <c r="I653" s="145"/>
      <c r="J653" s="158"/>
      <c r="K653" s="158"/>
      <c r="L653" s="126"/>
      <c r="M653" s="126"/>
      <c r="N653" s="126"/>
      <c r="O653" s="126"/>
      <c r="P653" s="126"/>
      <c r="Q653" s="126"/>
      <c r="R653" s="126"/>
      <c r="S653" s="126"/>
      <c r="T653" s="126"/>
      <c r="U653" s="126"/>
      <c r="V653" s="126"/>
      <c r="W653" s="126"/>
      <c r="X653" s="126"/>
      <c r="Y653" s="126"/>
      <c r="Z653" s="126"/>
      <c r="AA653" s="126"/>
      <c r="AB653" s="126"/>
      <c r="AC653" s="126"/>
      <c r="AD653" s="126"/>
      <c r="AE653" s="126"/>
      <c r="AF653" s="126"/>
      <c r="AG653" s="126"/>
      <c r="AH653" s="126"/>
      <c r="AI653" s="126"/>
      <c r="AJ653" s="126"/>
      <c r="AK653" s="126"/>
      <c r="AL653" s="126"/>
      <c r="AM653" s="126"/>
      <c r="AN653" s="126"/>
      <c r="AO653" s="126"/>
    </row>
    <row r="654">
      <c r="A654" s="158"/>
      <c r="B654" s="158"/>
      <c r="C654" s="158"/>
      <c r="D654" s="158"/>
      <c r="E654" s="158"/>
      <c r="F654" s="158"/>
      <c r="G654" s="158"/>
      <c r="H654" s="158"/>
      <c r="I654" s="145"/>
      <c r="J654" s="158"/>
      <c r="K654" s="158"/>
      <c r="L654" s="126"/>
      <c r="M654" s="126"/>
      <c r="N654" s="126"/>
      <c r="O654" s="126"/>
      <c r="P654" s="126"/>
      <c r="Q654" s="126"/>
      <c r="R654" s="126"/>
      <c r="S654" s="126"/>
      <c r="T654" s="126"/>
      <c r="U654" s="126"/>
      <c r="V654" s="126"/>
      <c r="W654" s="126"/>
      <c r="X654" s="126"/>
      <c r="Y654" s="126"/>
      <c r="Z654" s="126"/>
      <c r="AA654" s="126"/>
      <c r="AB654" s="126"/>
      <c r="AC654" s="126"/>
      <c r="AD654" s="126"/>
      <c r="AE654" s="126"/>
      <c r="AF654" s="126"/>
      <c r="AG654" s="126"/>
      <c r="AH654" s="126"/>
      <c r="AI654" s="126"/>
      <c r="AJ654" s="126"/>
      <c r="AK654" s="126"/>
      <c r="AL654" s="126"/>
      <c r="AM654" s="126"/>
      <c r="AN654" s="126"/>
      <c r="AO654" s="126"/>
    </row>
    <row r="655">
      <c r="A655" s="158"/>
      <c r="B655" s="158"/>
      <c r="C655" s="158"/>
      <c r="D655" s="158"/>
      <c r="E655" s="158"/>
      <c r="F655" s="158"/>
      <c r="G655" s="158"/>
      <c r="H655" s="158"/>
      <c r="I655" s="145"/>
      <c r="J655" s="158"/>
      <c r="K655" s="158"/>
      <c r="L655" s="126"/>
      <c r="M655" s="126"/>
      <c r="N655" s="126"/>
      <c r="O655" s="126"/>
      <c r="P655" s="126"/>
      <c r="Q655" s="126"/>
      <c r="R655" s="126"/>
      <c r="S655" s="126"/>
      <c r="T655" s="126"/>
      <c r="U655" s="126"/>
      <c r="V655" s="126"/>
      <c r="W655" s="126"/>
      <c r="X655" s="126"/>
      <c r="Y655" s="126"/>
      <c r="Z655" s="126"/>
      <c r="AA655" s="126"/>
      <c r="AB655" s="126"/>
      <c r="AC655" s="126"/>
      <c r="AD655" s="126"/>
      <c r="AE655" s="126"/>
      <c r="AF655" s="126"/>
      <c r="AG655" s="126"/>
      <c r="AH655" s="126"/>
      <c r="AI655" s="126"/>
      <c r="AJ655" s="126"/>
      <c r="AK655" s="126"/>
      <c r="AL655" s="126"/>
      <c r="AM655" s="126"/>
      <c r="AN655" s="126"/>
      <c r="AO655" s="126"/>
    </row>
    <row r="656">
      <c r="A656" s="158"/>
      <c r="B656" s="158"/>
      <c r="C656" s="158"/>
      <c r="D656" s="158"/>
      <c r="E656" s="158"/>
      <c r="F656" s="158"/>
      <c r="G656" s="158"/>
      <c r="H656" s="158"/>
      <c r="I656" s="145"/>
      <c r="J656" s="158"/>
      <c r="K656" s="158"/>
      <c r="L656" s="126"/>
      <c r="M656" s="126"/>
      <c r="N656" s="126"/>
      <c r="O656" s="126"/>
      <c r="P656" s="126"/>
      <c r="Q656" s="126"/>
      <c r="R656" s="126"/>
      <c r="S656" s="126"/>
      <c r="T656" s="126"/>
      <c r="U656" s="126"/>
      <c r="V656" s="126"/>
      <c r="W656" s="126"/>
      <c r="X656" s="126"/>
      <c r="Y656" s="126"/>
      <c r="Z656" s="126"/>
      <c r="AA656" s="126"/>
      <c r="AB656" s="126"/>
      <c r="AC656" s="126"/>
      <c r="AD656" s="126"/>
      <c r="AE656" s="126"/>
      <c r="AF656" s="126"/>
      <c r="AG656" s="126"/>
      <c r="AH656" s="126"/>
      <c r="AI656" s="126"/>
      <c r="AJ656" s="126"/>
      <c r="AK656" s="126"/>
      <c r="AL656" s="126"/>
      <c r="AM656" s="126"/>
      <c r="AN656" s="126"/>
      <c r="AO656" s="126"/>
    </row>
    <row r="657">
      <c r="A657" s="158"/>
      <c r="B657" s="158"/>
      <c r="C657" s="158"/>
      <c r="D657" s="158"/>
      <c r="E657" s="158"/>
      <c r="F657" s="158"/>
      <c r="G657" s="158"/>
      <c r="H657" s="158"/>
      <c r="I657" s="145"/>
      <c r="J657" s="158"/>
      <c r="K657" s="158"/>
      <c r="L657" s="126"/>
      <c r="M657" s="126"/>
      <c r="N657" s="126"/>
      <c r="O657" s="126"/>
      <c r="P657" s="126"/>
      <c r="Q657" s="126"/>
      <c r="R657" s="126"/>
      <c r="S657" s="126"/>
      <c r="T657" s="126"/>
      <c r="U657" s="126"/>
      <c r="V657" s="126"/>
      <c r="W657" s="126"/>
      <c r="X657" s="126"/>
      <c r="Y657" s="126"/>
      <c r="Z657" s="126"/>
      <c r="AA657" s="126"/>
      <c r="AB657" s="126"/>
      <c r="AC657" s="126"/>
      <c r="AD657" s="126"/>
      <c r="AE657" s="126"/>
      <c r="AF657" s="126"/>
      <c r="AG657" s="126"/>
      <c r="AH657" s="126"/>
      <c r="AI657" s="126"/>
      <c r="AJ657" s="126"/>
      <c r="AK657" s="126"/>
      <c r="AL657" s="126"/>
      <c r="AM657" s="126"/>
      <c r="AN657" s="126"/>
      <c r="AO657" s="126"/>
    </row>
    <row r="658">
      <c r="A658" s="158"/>
      <c r="B658" s="158"/>
      <c r="C658" s="158"/>
      <c r="D658" s="158"/>
      <c r="E658" s="158"/>
      <c r="F658" s="158"/>
      <c r="G658" s="158"/>
      <c r="H658" s="158"/>
      <c r="I658" s="145"/>
      <c r="J658" s="158"/>
      <c r="K658" s="158"/>
      <c r="L658" s="126"/>
      <c r="M658" s="126"/>
      <c r="N658" s="126"/>
      <c r="O658" s="126"/>
      <c r="P658" s="126"/>
      <c r="Q658" s="126"/>
      <c r="R658" s="126"/>
      <c r="S658" s="126"/>
      <c r="T658" s="126"/>
      <c r="U658" s="126"/>
      <c r="V658" s="126"/>
      <c r="W658" s="126"/>
      <c r="X658" s="126"/>
      <c r="Y658" s="126"/>
      <c r="Z658" s="126"/>
      <c r="AA658" s="126"/>
      <c r="AB658" s="126"/>
      <c r="AC658" s="126"/>
      <c r="AD658" s="126"/>
      <c r="AE658" s="126"/>
      <c r="AF658" s="126"/>
      <c r="AG658" s="126"/>
      <c r="AH658" s="126"/>
      <c r="AI658" s="126"/>
      <c r="AJ658" s="126"/>
      <c r="AK658" s="126"/>
      <c r="AL658" s="126"/>
      <c r="AM658" s="126"/>
      <c r="AN658" s="126"/>
      <c r="AO658" s="126"/>
    </row>
    <row r="659">
      <c r="A659" s="158"/>
      <c r="B659" s="158"/>
      <c r="C659" s="158"/>
      <c r="D659" s="158"/>
      <c r="E659" s="158"/>
      <c r="F659" s="158"/>
      <c r="G659" s="158"/>
      <c r="H659" s="158"/>
      <c r="I659" s="145"/>
      <c r="J659" s="158"/>
      <c r="K659" s="158"/>
      <c r="L659" s="126"/>
      <c r="M659" s="126"/>
      <c r="N659" s="126"/>
      <c r="O659" s="126"/>
      <c r="P659" s="126"/>
      <c r="Q659" s="126"/>
      <c r="R659" s="126"/>
      <c r="S659" s="126"/>
      <c r="T659" s="126"/>
      <c r="U659" s="126"/>
      <c r="V659" s="126"/>
      <c r="W659" s="126"/>
      <c r="X659" s="126"/>
      <c r="Y659" s="126"/>
      <c r="Z659" s="126"/>
      <c r="AA659" s="126"/>
      <c r="AB659" s="126"/>
      <c r="AC659" s="126"/>
      <c r="AD659" s="126"/>
      <c r="AE659" s="126"/>
      <c r="AF659" s="126"/>
      <c r="AG659" s="126"/>
      <c r="AH659" s="126"/>
      <c r="AI659" s="126"/>
      <c r="AJ659" s="126"/>
      <c r="AK659" s="126"/>
      <c r="AL659" s="126"/>
      <c r="AM659" s="126"/>
      <c r="AN659" s="126"/>
      <c r="AO659" s="126"/>
    </row>
    <row r="660">
      <c r="A660" s="158"/>
      <c r="B660" s="158"/>
      <c r="C660" s="158"/>
      <c r="D660" s="158"/>
      <c r="E660" s="158"/>
      <c r="F660" s="158"/>
      <c r="G660" s="158"/>
      <c r="H660" s="158"/>
      <c r="I660" s="145"/>
      <c r="J660" s="158"/>
      <c r="K660" s="158"/>
      <c r="L660" s="126"/>
      <c r="M660" s="126"/>
      <c r="N660" s="126"/>
      <c r="O660" s="126"/>
      <c r="P660" s="126"/>
      <c r="Q660" s="126"/>
      <c r="R660" s="126"/>
      <c r="S660" s="126"/>
      <c r="T660" s="126"/>
      <c r="U660" s="126"/>
      <c r="V660" s="126"/>
      <c r="W660" s="126"/>
      <c r="X660" s="126"/>
      <c r="Y660" s="126"/>
      <c r="Z660" s="126"/>
      <c r="AA660" s="126"/>
      <c r="AB660" s="126"/>
      <c r="AC660" s="126"/>
      <c r="AD660" s="126"/>
      <c r="AE660" s="126"/>
      <c r="AF660" s="126"/>
      <c r="AG660" s="126"/>
      <c r="AH660" s="126"/>
      <c r="AI660" s="126"/>
      <c r="AJ660" s="126"/>
      <c r="AK660" s="126"/>
      <c r="AL660" s="126"/>
      <c r="AM660" s="126"/>
      <c r="AN660" s="126"/>
      <c r="AO660" s="126"/>
    </row>
    <row r="661">
      <c r="A661" s="158"/>
      <c r="B661" s="158"/>
      <c r="C661" s="158"/>
      <c r="D661" s="158"/>
      <c r="E661" s="158"/>
      <c r="F661" s="158"/>
      <c r="G661" s="158"/>
      <c r="H661" s="158"/>
      <c r="I661" s="145"/>
      <c r="J661" s="158"/>
      <c r="K661" s="158"/>
      <c r="L661" s="126"/>
      <c r="M661" s="126"/>
      <c r="N661" s="126"/>
      <c r="O661" s="126"/>
      <c r="P661" s="126"/>
      <c r="Q661" s="126"/>
      <c r="R661" s="126"/>
      <c r="S661" s="126"/>
      <c r="T661" s="126"/>
      <c r="U661" s="126"/>
      <c r="V661" s="126"/>
      <c r="W661" s="126"/>
      <c r="X661" s="126"/>
      <c r="Y661" s="126"/>
      <c r="Z661" s="126"/>
      <c r="AA661" s="126"/>
      <c r="AB661" s="126"/>
      <c r="AC661" s="126"/>
      <c r="AD661" s="126"/>
      <c r="AE661" s="126"/>
      <c r="AF661" s="126"/>
      <c r="AG661" s="126"/>
      <c r="AH661" s="126"/>
      <c r="AI661" s="126"/>
      <c r="AJ661" s="126"/>
      <c r="AK661" s="126"/>
      <c r="AL661" s="126"/>
      <c r="AM661" s="126"/>
      <c r="AN661" s="126"/>
      <c r="AO661" s="126"/>
    </row>
    <row r="662">
      <c r="A662" s="158"/>
      <c r="B662" s="158"/>
      <c r="C662" s="158"/>
      <c r="D662" s="158"/>
      <c r="E662" s="158"/>
      <c r="F662" s="158"/>
      <c r="G662" s="158"/>
      <c r="H662" s="158"/>
      <c r="I662" s="145"/>
      <c r="J662" s="158"/>
      <c r="K662" s="158"/>
      <c r="L662" s="126"/>
      <c r="M662" s="126"/>
      <c r="N662" s="126"/>
      <c r="O662" s="126"/>
      <c r="P662" s="126"/>
      <c r="Q662" s="126"/>
      <c r="R662" s="126"/>
      <c r="S662" s="126"/>
      <c r="T662" s="126"/>
      <c r="U662" s="126"/>
      <c r="V662" s="126"/>
      <c r="W662" s="126"/>
      <c r="X662" s="126"/>
      <c r="Y662" s="126"/>
      <c r="Z662" s="126"/>
      <c r="AA662" s="126"/>
      <c r="AB662" s="126"/>
      <c r="AC662" s="126"/>
      <c r="AD662" s="126"/>
      <c r="AE662" s="126"/>
      <c r="AF662" s="126"/>
      <c r="AG662" s="126"/>
      <c r="AH662" s="126"/>
      <c r="AI662" s="126"/>
      <c r="AJ662" s="126"/>
      <c r="AK662" s="126"/>
      <c r="AL662" s="126"/>
      <c r="AM662" s="126"/>
      <c r="AN662" s="126"/>
      <c r="AO662" s="126"/>
    </row>
    <row r="663">
      <c r="A663" s="158"/>
      <c r="B663" s="158"/>
      <c r="C663" s="158"/>
      <c r="D663" s="158"/>
      <c r="E663" s="158"/>
      <c r="F663" s="158"/>
      <c r="G663" s="158"/>
      <c r="H663" s="158"/>
      <c r="I663" s="145"/>
      <c r="J663" s="158"/>
      <c r="K663" s="158"/>
      <c r="L663" s="126"/>
      <c r="M663" s="126"/>
      <c r="N663" s="126"/>
      <c r="O663" s="126"/>
      <c r="P663" s="126"/>
      <c r="Q663" s="126"/>
      <c r="R663" s="126"/>
      <c r="S663" s="126"/>
      <c r="T663" s="126"/>
      <c r="U663" s="126"/>
      <c r="V663" s="126"/>
      <c r="W663" s="126"/>
      <c r="X663" s="126"/>
      <c r="Y663" s="126"/>
      <c r="Z663" s="126"/>
      <c r="AA663" s="126"/>
      <c r="AB663" s="126"/>
      <c r="AC663" s="126"/>
      <c r="AD663" s="126"/>
      <c r="AE663" s="126"/>
      <c r="AF663" s="126"/>
      <c r="AG663" s="126"/>
      <c r="AH663" s="126"/>
      <c r="AI663" s="126"/>
      <c r="AJ663" s="126"/>
      <c r="AK663" s="126"/>
      <c r="AL663" s="126"/>
      <c r="AM663" s="126"/>
      <c r="AN663" s="126"/>
      <c r="AO663" s="126"/>
    </row>
    <row r="664">
      <c r="A664" s="158"/>
      <c r="B664" s="158"/>
      <c r="C664" s="158"/>
      <c r="D664" s="158"/>
      <c r="E664" s="158"/>
      <c r="F664" s="158"/>
      <c r="G664" s="158"/>
      <c r="H664" s="158"/>
      <c r="I664" s="145"/>
      <c r="J664" s="158"/>
      <c r="K664" s="158"/>
      <c r="L664" s="126"/>
      <c r="M664" s="126"/>
      <c r="N664" s="126"/>
      <c r="O664" s="126"/>
      <c r="P664" s="126"/>
      <c r="Q664" s="126"/>
      <c r="R664" s="126"/>
      <c r="S664" s="126"/>
      <c r="T664" s="126"/>
      <c r="U664" s="126"/>
      <c r="V664" s="126"/>
      <c r="W664" s="126"/>
      <c r="X664" s="126"/>
      <c r="Y664" s="126"/>
      <c r="Z664" s="126"/>
      <c r="AA664" s="126"/>
      <c r="AB664" s="126"/>
      <c r="AC664" s="126"/>
      <c r="AD664" s="126"/>
      <c r="AE664" s="126"/>
      <c r="AF664" s="126"/>
      <c r="AG664" s="126"/>
      <c r="AH664" s="126"/>
      <c r="AI664" s="126"/>
      <c r="AJ664" s="126"/>
      <c r="AK664" s="126"/>
      <c r="AL664" s="126"/>
      <c r="AM664" s="126"/>
      <c r="AN664" s="126"/>
      <c r="AO664" s="126"/>
    </row>
    <row r="665">
      <c r="A665" s="158"/>
      <c r="B665" s="158"/>
      <c r="C665" s="158"/>
      <c r="D665" s="158"/>
      <c r="E665" s="158"/>
      <c r="F665" s="158"/>
      <c r="G665" s="158"/>
      <c r="H665" s="158"/>
      <c r="I665" s="145"/>
      <c r="J665" s="158"/>
      <c r="K665" s="158"/>
      <c r="L665" s="126"/>
      <c r="M665" s="126"/>
      <c r="N665" s="126"/>
      <c r="O665" s="126"/>
      <c r="P665" s="126"/>
      <c r="Q665" s="126"/>
      <c r="R665" s="126"/>
      <c r="S665" s="126"/>
      <c r="T665" s="126"/>
      <c r="U665" s="126"/>
      <c r="V665" s="126"/>
      <c r="W665" s="126"/>
      <c r="X665" s="126"/>
      <c r="Y665" s="126"/>
      <c r="Z665" s="126"/>
      <c r="AA665" s="126"/>
      <c r="AB665" s="126"/>
      <c r="AC665" s="126"/>
      <c r="AD665" s="126"/>
      <c r="AE665" s="126"/>
      <c r="AF665" s="126"/>
      <c r="AG665" s="126"/>
      <c r="AH665" s="126"/>
      <c r="AI665" s="126"/>
      <c r="AJ665" s="126"/>
      <c r="AK665" s="126"/>
      <c r="AL665" s="126"/>
      <c r="AM665" s="126"/>
      <c r="AN665" s="126"/>
      <c r="AO665" s="126"/>
    </row>
    <row r="666">
      <c r="A666" s="158"/>
      <c r="B666" s="158"/>
      <c r="C666" s="158"/>
      <c r="D666" s="158"/>
      <c r="E666" s="158"/>
      <c r="F666" s="158"/>
      <c r="G666" s="158"/>
      <c r="H666" s="158"/>
      <c r="I666" s="145"/>
      <c r="J666" s="158"/>
      <c r="K666" s="158"/>
      <c r="L666" s="126"/>
      <c r="M666" s="126"/>
      <c r="N666" s="126"/>
      <c r="O666" s="126"/>
      <c r="P666" s="126"/>
      <c r="Q666" s="126"/>
      <c r="R666" s="126"/>
      <c r="S666" s="126"/>
      <c r="T666" s="126"/>
      <c r="U666" s="126"/>
      <c r="V666" s="126"/>
      <c r="W666" s="126"/>
      <c r="X666" s="126"/>
      <c r="Y666" s="126"/>
      <c r="Z666" s="126"/>
      <c r="AA666" s="126"/>
      <c r="AB666" s="126"/>
      <c r="AC666" s="126"/>
      <c r="AD666" s="126"/>
      <c r="AE666" s="126"/>
      <c r="AF666" s="126"/>
      <c r="AG666" s="126"/>
      <c r="AH666" s="126"/>
      <c r="AI666" s="126"/>
      <c r="AJ666" s="126"/>
      <c r="AK666" s="126"/>
      <c r="AL666" s="126"/>
      <c r="AM666" s="126"/>
      <c r="AN666" s="126"/>
      <c r="AO666" s="126"/>
    </row>
    <row r="667">
      <c r="A667" s="158"/>
      <c r="B667" s="158"/>
      <c r="C667" s="158"/>
      <c r="D667" s="158"/>
      <c r="E667" s="158"/>
      <c r="F667" s="158"/>
      <c r="G667" s="158"/>
      <c r="H667" s="158"/>
      <c r="I667" s="145"/>
      <c r="J667" s="158"/>
      <c r="K667" s="158"/>
      <c r="L667" s="126"/>
      <c r="M667" s="126"/>
      <c r="N667" s="126"/>
      <c r="O667" s="126"/>
      <c r="P667" s="126"/>
      <c r="Q667" s="126"/>
      <c r="R667" s="126"/>
      <c r="S667" s="126"/>
      <c r="T667" s="126"/>
      <c r="U667" s="126"/>
      <c r="V667" s="126"/>
      <c r="W667" s="126"/>
      <c r="X667" s="126"/>
      <c r="Y667" s="126"/>
      <c r="Z667" s="126"/>
      <c r="AA667" s="126"/>
      <c r="AB667" s="126"/>
      <c r="AC667" s="126"/>
      <c r="AD667" s="126"/>
      <c r="AE667" s="126"/>
      <c r="AF667" s="126"/>
      <c r="AG667" s="126"/>
      <c r="AH667" s="126"/>
      <c r="AI667" s="126"/>
      <c r="AJ667" s="126"/>
      <c r="AK667" s="126"/>
      <c r="AL667" s="126"/>
      <c r="AM667" s="126"/>
      <c r="AN667" s="126"/>
      <c r="AO667" s="126"/>
    </row>
    <row r="668">
      <c r="A668" s="158"/>
      <c r="B668" s="158"/>
      <c r="C668" s="158"/>
      <c r="D668" s="158"/>
      <c r="E668" s="158"/>
      <c r="F668" s="158"/>
      <c r="G668" s="158"/>
      <c r="H668" s="158"/>
      <c r="I668" s="145"/>
      <c r="J668" s="158"/>
      <c r="K668" s="158"/>
      <c r="L668" s="126"/>
      <c r="M668" s="126"/>
      <c r="N668" s="126"/>
      <c r="O668" s="126"/>
      <c r="P668" s="126"/>
      <c r="Q668" s="126"/>
      <c r="R668" s="126"/>
      <c r="S668" s="126"/>
      <c r="T668" s="126"/>
      <c r="U668" s="126"/>
      <c r="V668" s="126"/>
      <c r="W668" s="126"/>
      <c r="X668" s="126"/>
      <c r="Y668" s="126"/>
      <c r="Z668" s="126"/>
      <c r="AA668" s="126"/>
      <c r="AB668" s="126"/>
      <c r="AC668" s="126"/>
      <c r="AD668" s="126"/>
      <c r="AE668" s="126"/>
      <c r="AF668" s="126"/>
      <c r="AG668" s="126"/>
      <c r="AH668" s="126"/>
      <c r="AI668" s="126"/>
      <c r="AJ668" s="126"/>
      <c r="AK668" s="126"/>
      <c r="AL668" s="126"/>
      <c r="AM668" s="126"/>
      <c r="AN668" s="126"/>
      <c r="AO668" s="126"/>
    </row>
    <row r="669">
      <c r="A669" s="158"/>
      <c r="B669" s="158"/>
      <c r="C669" s="158"/>
      <c r="D669" s="158"/>
      <c r="E669" s="158"/>
      <c r="F669" s="158"/>
      <c r="G669" s="158"/>
      <c r="H669" s="158"/>
      <c r="I669" s="145"/>
      <c r="J669" s="158"/>
      <c r="K669" s="158"/>
      <c r="L669" s="126"/>
      <c r="M669" s="126"/>
      <c r="N669" s="126"/>
      <c r="O669" s="126"/>
      <c r="P669" s="126"/>
      <c r="Q669" s="126"/>
      <c r="R669" s="126"/>
      <c r="S669" s="126"/>
      <c r="T669" s="126"/>
      <c r="U669" s="126"/>
      <c r="V669" s="126"/>
      <c r="W669" s="126"/>
      <c r="X669" s="126"/>
      <c r="Y669" s="126"/>
      <c r="Z669" s="126"/>
      <c r="AA669" s="126"/>
      <c r="AB669" s="126"/>
      <c r="AC669" s="126"/>
      <c r="AD669" s="126"/>
      <c r="AE669" s="126"/>
      <c r="AF669" s="126"/>
      <c r="AG669" s="126"/>
      <c r="AH669" s="126"/>
      <c r="AI669" s="126"/>
      <c r="AJ669" s="126"/>
      <c r="AK669" s="126"/>
      <c r="AL669" s="126"/>
      <c r="AM669" s="126"/>
      <c r="AN669" s="126"/>
      <c r="AO669" s="126"/>
    </row>
    <row r="670">
      <c r="A670" s="158"/>
      <c r="B670" s="158"/>
      <c r="C670" s="158"/>
      <c r="D670" s="158"/>
      <c r="E670" s="158"/>
      <c r="F670" s="158"/>
      <c r="G670" s="158"/>
      <c r="H670" s="158"/>
      <c r="I670" s="145"/>
      <c r="J670" s="158"/>
      <c r="K670" s="158"/>
      <c r="L670" s="126"/>
      <c r="M670" s="126"/>
      <c r="N670" s="126"/>
      <c r="O670" s="126"/>
      <c r="P670" s="126"/>
      <c r="Q670" s="126"/>
      <c r="R670" s="126"/>
      <c r="S670" s="126"/>
      <c r="T670" s="126"/>
      <c r="U670" s="126"/>
      <c r="V670" s="126"/>
      <c r="W670" s="126"/>
      <c r="X670" s="126"/>
      <c r="Y670" s="126"/>
      <c r="Z670" s="126"/>
      <c r="AA670" s="126"/>
      <c r="AB670" s="126"/>
      <c r="AC670" s="126"/>
      <c r="AD670" s="126"/>
      <c r="AE670" s="126"/>
      <c r="AF670" s="126"/>
      <c r="AG670" s="126"/>
      <c r="AH670" s="126"/>
      <c r="AI670" s="126"/>
      <c r="AJ670" s="126"/>
      <c r="AK670" s="126"/>
      <c r="AL670" s="126"/>
      <c r="AM670" s="126"/>
      <c r="AN670" s="126"/>
      <c r="AO670" s="126"/>
    </row>
    <row r="671">
      <c r="A671" s="158"/>
      <c r="B671" s="158"/>
      <c r="C671" s="158"/>
      <c r="D671" s="158"/>
      <c r="E671" s="158"/>
      <c r="F671" s="158"/>
      <c r="G671" s="158"/>
      <c r="H671" s="158"/>
      <c r="I671" s="145"/>
      <c r="J671" s="158"/>
      <c r="K671" s="158"/>
      <c r="L671" s="126"/>
      <c r="M671" s="126"/>
      <c r="N671" s="126"/>
      <c r="O671" s="126"/>
      <c r="P671" s="126"/>
      <c r="Q671" s="126"/>
      <c r="R671" s="126"/>
      <c r="S671" s="126"/>
      <c r="T671" s="126"/>
      <c r="U671" s="126"/>
      <c r="V671" s="126"/>
      <c r="W671" s="126"/>
      <c r="X671" s="126"/>
      <c r="Y671" s="126"/>
      <c r="Z671" s="126"/>
      <c r="AA671" s="126"/>
      <c r="AB671" s="126"/>
      <c r="AC671" s="126"/>
      <c r="AD671" s="126"/>
      <c r="AE671" s="126"/>
      <c r="AF671" s="126"/>
      <c r="AG671" s="126"/>
      <c r="AH671" s="126"/>
      <c r="AI671" s="126"/>
      <c r="AJ671" s="126"/>
      <c r="AK671" s="126"/>
      <c r="AL671" s="126"/>
      <c r="AM671" s="126"/>
      <c r="AN671" s="126"/>
      <c r="AO671" s="126"/>
    </row>
    <row r="672">
      <c r="A672" s="158"/>
      <c r="B672" s="158"/>
      <c r="C672" s="158"/>
      <c r="D672" s="158"/>
      <c r="E672" s="158"/>
      <c r="F672" s="158"/>
      <c r="G672" s="158"/>
      <c r="H672" s="158"/>
      <c r="I672" s="145"/>
      <c r="J672" s="158"/>
      <c r="K672" s="158"/>
      <c r="L672" s="126"/>
      <c r="M672" s="126"/>
      <c r="N672" s="126"/>
      <c r="O672" s="126"/>
      <c r="P672" s="126"/>
      <c r="Q672" s="126"/>
      <c r="R672" s="126"/>
      <c r="S672" s="126"/>
      <c r="T672" s="126"/>
      <c r="U672" s="126"/>
      <c r="V672" s="126"/>
      <c r="W672" s="126"/>
      <c r="X672" s="126"/>
      <c r="Y672" s="126"/>
      <c r="Z672" s="126"/>
      <c r="AA672" s="126"/>
      <c r="AB672" s="126"/>
      <c r="AC672" s="126"/>
      <c r="AD672" s="126"/>
      <c r="AE672" s="126"/>
      <c r="AF672" s="126"/>
      <c r="AG672" s="126"/>
      <c r="AH672" s="126"/>
      <c r="AI672" s="126"/>
      <c r="AJ672" s="126"/>
      <c r="AK672" s="126"/>
      <c r="AL672" s="126"/>
      <c r="AM672" s="126"/>
      <c r="AN672" s="126"/>
      <c r="AO672" s="126"/>
    </row>
    <row r="673">
      <c r="A673" s="158"/>
      <c r="B673" s="158"/>
      <c r="C673" s="158"/>
      <c r="D673" s="158"/>
      <c r="E673" s="158"/>
      <c r="F673" s="158"/>
      <c r="G673" s="158"/>
      <c r="H673" s="158"/>
      <c r="I673" s="145"/>
      <c r="J673" s="158"/>
      <c r="K673" s="158"/>
      <c r="L673" s="126"/>
      <c r="M673" s="126"/>
      <c r="N673" s="126"/>
      <c r="O673" s="126"/>
      <c r="P673" s="126"/>
      <c r="Q673" s="126"/>
      <c r="R673" s="126"/>
      <c r="S673" s="126"/>
      <c r="T673" s="126"/>
      <c r="U673" s="126"/>
      <c r="V673" s="126"/>
      <c r="W673" s="126"/>
      <c r="X673" s="126"/>
      <c r="Y673" s="126"/>
      <c r="Z673" s="126"/>
      <c r="AA673" s="126"/>
      <c r="AB673" s="126"/>
      <c r="AC673" s="126"/>
      <c r="AD673" s="126"/>
      <c r="AE673" s="126"/>
      <c r="AF673" s="126"/>
      <c r="AG673" s="126"/>
      <c r="AH673" s="126"/>
      <c r="AI673" s="126"/>
      <c r="AJ673" s="126"/>
      <c r="AK673" s="126"/>
      <c r="AL673" s="126"/>
      <c r="AM673" s="126"/>
      <c r="AN673" s="126"/>
      <c r="AO673" s="126"/>
    </row>
    <row r="674">
      <c r="A674" s="158"/>
      <c r="B674" s="158"/>
      <c r="C674" s="158"/>
      <c r="D674" s="158"/>
      <c r="E674" s="158"/>
      <c r="F674" s="158"/>
      <c r="G674" s="158"/>
      <c r="H674" s="158"/>
      <c r="I674" s="145"/>
      <c r="J674" s="158"/>
      <c r="K674" s="158"/>
      <c r="L674" s="126"/>
      <c r="M674" s="126"/>
      <c r="N674" s="126"/>
      <c r="O674" s="126"/>
      <c r="P674" s="126"/>
      <c r="Q674" s="126"/>
      <c r="R674" s="126"/>
      <c r="S674" s="126"/>
      <c r="T674" s="126"/>
      <c r="U674" s="126"/>
      <c r="V674" s="126"/>
      <c r="W674" s="126"/>
      <c r="X674" s="126"/>
      <c r="Y674" s="126"/>
      <c r="Z674" s="126"/>
      <c r="AA674" s="126"/>
      <c r="AB674" s="126"/>
      <c r="AC674" s="126"/>
      <c r="AD674" s="126"/>
      <c r="AE674" s="126"/>
      <c r="AF674" s="126"/>
      <c r="AG674" s="126"/>
      <c r="AH674" s="126"/>
      <c r="AI674" s="126"/>
      <c r="AJ674" s="126"/>
      <c r="AK674" s="126"/>
      <c r="AL674" s="126"/>
      <c r="AM674" s="126"/>
      <c r="AN674" s="126"/>
      <c r="AO674" s="126"/>
    </row>
    <row r="675">
      <c r="A675" s="158"/>
      <c r="B675" s="158"/>
      <c r="C675" s="158"/>
      <c r="D675" s="158"/>
      <c r="E675" s="158"/>
      <c r="F675" s="158"/>
      <c r="G675" s="158"/>
      <c r="H675" s="158"/>
      <c r="I675" s="145"/>
      <c r="J675" s="158"/>
      <c r="K675" s="158"/>
      <c r="L675" s="126"/>
      <c r="M675" s="126"/>
      <c r="N675" s="126"/>
      <c r="O675" s="126"/>
      <c r="P675" s="126"/>
      <c r="Q675" s="126"/>
      <c r="R675" s="126"/>
      <c r="S675" s="126"/>
      <c r="T675" s="126"/>
      <c r="U675" s="126"/>
      <c r="V675" s="126"/>
      <c r="W675" s="126"/>
      <c r="X675" s="126"/>
      <c r="Y675" s="126"/>
      <c r="Z675" s="126"/>
      <c r="AA675" s="126"/>
      <c r="AB675" s="126"/>
      <c r="AC675" s="126"/>
      <c r="AD675" s="126"/>
      <c r="AE675" s="126"/>
      <c r="AF675" s="126"/>
      <c r="AG675" s="126"/>
      <c r="AH675" s="126"/>
      <c r="AI675" s="126"/>
      <c r="AJ675" s="126"/>
      <c r="AK675" s="126"/>
      <c r="AL675" s="126"/>
      <c r="AM675" s="126"/>
      <c r="AN675" s="126"/>
      <c r="AO675" s="126"/>
    </row>
    <row r="676">
      <c r="A676" s="158"/>
      <c r="B676" s="158"/>
      <c r="C676" s="158"/>
      <c r="D676" s="158"/>
      <c r="E676" s="158"/>
      <c r="F676" s="158"/>
      <c r="G676" s="158"/>
      <c r="H676" s="158"/>
      <c r="I676" s="145"/>
      <c r="J676" s="158"/>
      <c r="K676" s="158"/>
      <c r="L676" s="126"/>
      <c r="M676" s="126"/>
      <c r="N676" s="126"/>
      <c r="O676" s="126"/>
      <c r="P676" s="126"/>
      <c r="Q676" s="126"/>
      <c r="R676" s="126"/>
      <c r="S676" s="126"/>
      <c r="T676" s="126"/>
      <c r="U676" s="126"/>
      <c r="V676" s="126"/>
      <c r="W676" s="126"/>
      <c r="X676" s="126"/>
      <c r="Y676" s="126"/>
      <c r="Z676" s="126"/>
      <c r="AA676" s="126"/>
      <c r="AB676" s="126"/>
      <c r="AC676" s="126"/>
      <c r="AD676" s="126"/>
      <c r="AE676" s="126"/>
      <c r="AF676" s="126"/>
      <c r="AG676" s="126"/>
      <c r="AH676" s="126"/>
      <c r="AI676" s="126"/>
      <c r="AJ676" s="126"/>
      <c r="AK676" s="126"/>
      <c r="AL676" s="126"/>
      <c r="AM676" s="126"/>
      <c r="AN676" s="126"/>
      <c r="AO676" s="126"/>
    </row>
    <row r="677">
      <c r="A677" s="158"/>
      <c r="B677" s="158"/>
      <c r="C677" s="158"/>
      <c r="D677" s="158"/>
      <c r="E677" s="158"/>
      <c r="F677" s="158"/>
      <c r="G677" s="158"/>
      <c r="H677" s="158"/>
      <c r="I677" s="145"/>
      <c r="J677" s="158"/>
      <c r="K677" s="158"/>
      <c r="L677" s="126"/>
      <c r="M677" s="126"/>
      <c r="N677" s="126"/>
      <c r="O677" s="126"/>
      <c r="P677" s="126"/>
      <c r="Q677" s="126"/>
      <c r="R677" s="126"/>
      <c r="S677" s="126"/>
      <c r="T677" s="126"/>
      <c r="U677" s="126"/>
      <c r="V677" s="126"/>
      <c r="W677" s="126"/>
      <c r="X677" s="126"/>
      <c r="Y677" s="126"/>
      <c r="Z677" s="126"/>
      <c r="AA677" s="126"/>
      <c r="AB677" s="126"/>
      <c r="AC677" s="126"/>
      <c r="AD677" s="126"/>
      <c r="AE677" s="126"/>
      <c r="AF677" s="126"/>
      <c r="AG677" s="126"/>
      <c r="AH677" s="126"/>
      <c r="AI677" s="126"/>
      <c r="AJ677" s="126"/>
      <c r="AK677" s="126"/>
      <c r="AL677" s="126"/>
      <c r="AM677" s="126"/>
      <c r="AN677" s="126"/>
      <c r="AO677" s="126"/>
    </row>
    <row r="678">
      <c r="A678" s="158"/>
      <c r="B678" s="158"/>
      <c r="C678" s="158"/>
      <c r="D678" s="158"/>
      <c r="E678" s="158"/>
      <c r="F678" s="158"/>
      <c r="G678" s="158"/>
      <c r="H678" s="158"/>
      <c r="I678" s="145"/>
      <c r="J678" s="158"/>
      <c r="K678" s="158"/>
      <c r="L678" s="126"/>
      <c r="M678" s="126"/>
      <c r="N678" s="126"/>
      <c r="O678" s="126"/>
      <c r="P678" s="126"/>
      <c r="Q678" s="126"/>
      <c r="R678" s="126"/>
      <c r="S678" s="126"/>
      <c r="T678" s="126"/>
      <c r="U678" s="126"/>
      <c r="V678" s="126"/>
      <c r="W678" s="126"/>
      <c r="X678" s="126"/>
      <c r="Y678" s="126"/>
      <c r="Z678" s="126"/>
      <c r="AA678" s="126"/>
      <c r="AB678" s="126"/>
      <c r="AC678" s="126"/>
      <c r="AD678" s="126"/>
      <c r="AE678" s="126"/>
      <c r="AF678" s="126"/>
      <c r="AG678" s="126"/>
      <c r="AH678" s="126"/>
      <c r="AI678" s="126"/>
      <c r="AJ678" s="126"/>
      <c r="AK678" s="126"/>
      <c r="AL678" s="126"/>
      <c r="AM678" s="126"/>
      <c r="AN678" s="126"/>
      <c r="AO678" s="126"/>
    </row>
    <row r="679">
      <c r="A679" s="158"/>
      <c r="B679" s="158"/>
      <c r="C679" s="158"/>
      <c r="D679" s="158"/>
      <c r="E679" s="158"/>
      <c r="F679" s="158"/>
      <c r="G679" s="158"/>
      <c r="H679" s="158"/>
      <c r="I679" s="145"/>
      <c r="J679" s="158"/>
      <c r="K679" s="158"/>
      <c r="L679" s="126"/>
      <c r="M679" s="126"/>
      <c r="N679" s="126"/>
      <c r="O679" s="126"/>
      <c r="P679" s="126"/>
      <c r="Q679" s="126"/>
      <c r="R679" s="126"/>
      <c r="S679" s="126"/>
      <c r="T679" s="126"/>
      <c r="U679" s="126"/>
      <c r="V679" s="126"/>
      <c r="W679" s="126"/>
      <c r="X679" s="126"/>
      <c r="Y679" s="126"/>
      <c r="Z679" s="126"/>
      <c r="AA679" s="126"/>
      <c r="AB679" s="126"/>
      <c r="AC679" s="126"/>
      <c r="AD679" s="126"/>
      <c r="AE679" s="126"/>
      <c r="AF679" s="126"/>
      <c r="AG679" s="126"/>
      <c r="AH679" s="126"/>
      <c r="AI679" s="126"/>
      <c r="AJ679" s="126"/>
      <c r="AK679" s="126"/>
      <c r="AL679" s="126"/>
      <c r="AM679" s="126"/>
      <c r="AN679" s="126"/>
      <c r="AO679" s="126"/>
    </row>
    <row r="680">
      <c r="A680" s="158"/>
      <c r="B680" s="158"/>
      <c r="C680" s="158"/>
      <c r="D680" s="158"/>
      <c r="E680" s="158"/>
      <c r="F680" s="158"/>
      <c r="G680" s="158"/>
      <c r="H680" s="158"/>
      <c r="I680" s="145"/>
      <c r="J680" s="158"/>
      <c r="K680" s="158"/>
      <c r="L680" s="126"/>
      <c r="M680" s="126"/>
      <c r="N680" s="126"/>
      <c r="O680" s="126"/>
      <c r="P680" s="126"/>
      <c r="Q680" s="126"/>
      <c r="R680" s="126"/>
      <c r="S680" s="126"/>
      <c r="T680" s="126"/>
      <c r="U680" s="126"/>
      <c r="V680" s="126"/>
      <c r="W680" s="126"/>
      <c r="X680" s="126"/>
      <c r="Y680" s="126"/>
      <c r="Z680" s="126"/>
      <c r="AA680" s="126"/>
      <c r="AB680" s="126"/>
      <c r="AC680" s="126"/>
      <c r="AD680" s="126"/>
      <c r="AE680" s="126"/>
      <c r="AF680" s="126"/>
      <c r="AG680" s="126"/>
      <c r="AH680" s="126"/>
      <c r="AI680" s="126"/>
      <c r="AJ680" s="126"/>
      <c r="AK680" s="126"/>
      <c r="AL680" s="126"/>
      <c r="AM680" s="126"/>
      <c r="AN680" s="126"/>
      <c r="AO680" s="126"/>
    </row>
    <row r="681">
      <c r="A681" s="158"/>
      <c r="B681" s="158"/>
      <c r="C681" s="158"/>
      <c r="D681" s="158"/>
      <c r="E681" s="158"/>
      <c r="F681" s="158"/>
      <c r="G681" s="158"/>
      <c r="H681" s="158"/>
      <c r="I681" s="145"/>
      <c r="J681" s="158"/>
      <c r="K681" s="158"/>
      <c r="L681" s="126"/>
      <c r="M681" s="126"/>
      <c r="N681" s="126"/>
      <c r="O681" s="126"/>
      <c r="P681" s="126"/>
      <c r="Q681" s="126"/>
      <c r="R681" s="126"/>
      <c r="S681" s="126"/>
      <c r="T681" s="126"/>
      <c r="U681" s="126"/>
      <c r="V681" s="126"/>
      <c r="W681" s="126"/>
      <c r="X681" s="126"/>
      <c r="Y681" s="126"/>
      <c r="Z681" s="126"/>
      <c r="AA681" s="126"/>
      <c r="AB681" s="126"/>
      <c r="AC681" s="126"/>
      <c r="AD681" s="126"/>
      <c r="AE681" s="126"/>
      <c r="AF681" s="126"/>
      <c r="AG681" s="126"/>
      <c r="AH681" s="126"/>
      <c r="AI681" s="126"/>
      <c r="AJ681" s="126"/>
      <c r="AK681" s="126"/>
      <c r="AL681" s="126"/>
      <c r="AM681" s="126"/>
      <c r="AN681" s="126"/>
      <c r="AO681" s="126"/>
    </row>
    <row r="682">
      <c r="A682" s="158"/>
      <c r="B682" s="158"/>
      <c r="C682" s="158"/>
      <c r="D682" s="158"/>
      <c r="E682" s="158"/>
      <c r="F682" s="158"/>
      <c r="G682" s="158"/>
      <c r="H682" s="158"/>
      <c r="I682" s="145"/>
      <c r="J682" s="158"/>
      <c r="K682" s="158"/>
      <c r="L682" s="126"/>
      <c r="M682" s="126"/>
      <c r="N682" s="126"/>
      <c r="O682" s="126"/>
      <c r="P682" s="126"/>
      <c r="Q682" s="126"/>
      <c r="R682" s="126"/>
      <c r="S682" s="126"/>
      <c r="T682" s="126"/>
      <c r="U682" s="126"/>
      <c r="V682" s="126"/>
      <c r="W682" s="126"/>
      <c r="X682" s="126"/>
      <c r="Y682" s="126"/>
      <c r="Z682" s="126"/>
      <c r="AA682" s="126"/>
      <c r="AB682" s="126"/>
      <c r="AC682" s="126"/>
      <c r="AD682" s="126"/>
      <c r="AE682" s="126"/>
      <c r="AF682" s="126"/>
      <c r="AG682" s="126"/>
      <c r="AH682" s="126"/>
      <c r="AI682" s="126"/>
      <c r="AJ682" s="126"/>
      <c r="AK682" s="126"/>
      <c r="AL682" s="126"/>
      <c r="AM682" s="126"/>
      <c r="AN682" s="126"/>
      <c r="AO682" s="126"/>
    </row>
    <row r="683">
      <c r="A683" s="158"/>
      <c r="B683" s="158"/>
      <c r="C683" s="158"/>
      <c r="D683" s="158"/>
      <c r="E683" s="158"/>
      <c r="F683" s="158"/>
      <c r="G683" s="158"/>
      <c r="H683" s="158"/>
      <c r="I683" s="145"/>
      <c r="J683" s="158"/>
      <c r="K683" s="158"/>
      <c r="L683" s="126"/>
      <c r="M683" s="126"/>
      <c r="N683" s="126"/>
      <c r="O683" s="126"/>
      <c r="P683" s="126"/>
      <c r="Q683" s="126"/>
      <c r="R683" s="126"/>
      <c r="S683" s="126"/>
      <c r="T683" s="126"/>
      <c r="U683" s="126"/>
      <c r="V683" s="126"/>
      <c r="W683" s="126"/>
      <c r="X683" s="126"/>
      <c r="Y683" s="126"/>
      <c r="Z683" s="126"/>
      <c r="AA683" s="126"/>
      <c r="AB683" s="126"/>
      <c r="AC683" s="126"/>
      <c r="AD683" s="126"/>
      <c r="AE683" s="126"/>
      <c r="AF683" s="126"/>
      <c r="AG683" s="126"/>
      <c r="AH683" s="126"/>
      <c r="AI683" s="126"/>
      <c r="AJ683" s="126"/>
      <c r="AK683" s="126"/>
      <c r="AL683" s="126"/>
      <c r="AM683" s="126"/>
      <c r="AN683" s="126"/>
      <c r="AO683" s="126"/>
    </row>
    <row r="684">
      <c r="A684" s="158"/>
      <c r="B684" s="158"/>
      <c r="C684" s="158"/>
      <c r="D684" s="158"/>
      <c r="E684" s="158"/>
      <c r="F684" s="158"/>
      <c r="G684" s="158"/>
      <c r="H684" s="158"/>
      <c r="I684" s="145"/>
      <c r="J684" s="158"/>
      <c r="K684" s="158"/>
      <c r="L684" s="126"/>
      <c r="M684" s="126"/>
      <c r="N684" s="126"/>
      <c r="O684" s="126"/>
      <c r="P684" s="126"/>
      <c r="Q684" s="126"/>
      <c r="R684" s="126"/>
      <c r="S684" s="126"/>
      <c r="T684" s="126"/>
      <c r="U684" s="126"/>
      <c r="V684" s="126"/>
      <c r="W684" s="126"/>
      <c r="X684" s="126"/>
      <c r="Y684" s="126"/>
      <c r="Z684" s="126"/>
      <c r="AA684" s="126"/>
      <c r="AB684" s="126"/>
      <c r="AC684" s="126"/>
      <c r="AD684" s="126"/>
      <c r="AE684" s="126"/>
      <c r="AF684" s="126"/>
      <c r="AG684" s="126"/>
      <c r="AH684" s="126"/>
      <c r="AI684" s="126"/>
      <c r="AJ684" s="126"/>
      <c r="AK684" s="126"/>
      <c r="AL684" s="126"/>
      <c r="AM684" s="126"/>
      <c r="AN684" s="126"/>
      <c r="AO684" s="126"/>
    </row>
    <row r="685">
      <c r="A685" s="158"/>
      <c r="B685" s="158"/>
      <c r="C685" s="158"/>
      <c r="D685" s="158"/>
      <c r="E685" s="158"/>
      <c r="F685" s="158"/>
      <c r="G685" s="158"/>
      <c r="H685" s="158"/>
      <c r="I685" s="145"/>
      <c r="J685" s="158"/>
      <c r="K685" s="158"/>
      <c r="L685" s="126"/>
      <c r="M685" s="126"/>
      <c r="N685" s="126"/>
      <c r="O685" s="126"/>
      <c r="P685" s="126"/>
      <c r="Q685" s="126"/>
      <c r="R685" s="126"/>
      <c r="S685" s="126"/>
      <c r="T685" s="126"/>
      <c r="U685" s="126"/>
      <c r="V685" s="126"/>
      <c r="W685" s="126"/>
      <c r="X685" s="126"/>
      <c r="Y685" s="126"/>
      <c r="Z685" s="126"/>
      <c r="AA685" s="126"/>
      <c r="AB685" s="126"/>
      <c r="AC685" s="126"/>
      <c r="AD685" s="126"/>
      <c r="AE685" s="126"/>
      <c r="AF685" s="126"/>
      <c r="AG685" s="126"/>
      <c r="AH685" s="126"/>
      <c r="AI685" s="126"/>
      <c r="AJ685" s="126"/>
      <c r="AK685" s="126"/>
      <c r="AL685" s="126"/>
      <c r="AM685" s="126"/>
      <c r="AN685" s="126"/>
      <c r="AO685" s="126"/>
    </row>
    <row r="686">
      <c r="A686" s="158"/>
      <c r="B686" s="158"/>
      <c r="C686" s="158"/>
      <c r="D686" s="158"/>
      <c r="E686" s="158"/>
      <c r="F686" s="158"/>
      <c r="G686" s="158"/>
      <c r="H686" s="158"/>
      <c r="I686" s="145"/>
      <c r="J686" s="158"/>
      <c r="K686" s="158"/>
      <c r="L686" s="126"/>
      <c r="M686" s="126"/>
      <c r="N686" s="126"/>
      <c r="O686" s="126"/>
      <c r="P686" s="126"/>
      <c r="Q686" s="126"/>
      <c r="R686" s="126"/>
      <c r="S686" s="126"/>
      <c r="T686" s="126"/>
      <c r="U686" s="126"/>
      <c r="V686" s="126"/>
      <c r="W686" s="126"/>
      <c r="X686" s="126"/>
      <c r="Y686" s="126"/>
      <c r="Z686" s="126"/>
      <c r="AA686" s="126"/>
      <c r="AB686" s="126"/>
      <c r="AC686" s="126"/>
      <c r="AD686" s="126"/>
      <c r="AE686" s="126"/>
      <c r="AF686" s="126"/>
      <c r="AG686" s="126"/>
      <c r="AH686" s="126"/>
      <c r="AI686" s="126"/>
      <c r="AJ686" s="126"/>
      <c r="AK686" s="126"/>
      <c r="AL686" s="126"/>
      <c r="AM686" s="126"/>
      <c r="AN686" s="126"/>
      <c r="AO686" s="126"/>
    </row>
    <row r="687">
      <c r="A687" s="158"/>
      <c r="B687" s="158"/>
      <c r="C687" s="158"/>
      <c r="D687" s="158"/>
      <c r="E687" s="158"/>
      <c r="F687" s="158"/>
      <c r="G687" s="158"/>
      <c r="H687" s="158"/>
      <c r="I687" s="145"/>
      <c r="J687" s="158"/>
      <c r="K687" s="158"/>
      <c r="L687" s="126"/>
      <c r="M687" s="126"/>
      <c r="N687" s="126"/>
      <c r="O687" s="126"/>
      <c r="P687" s="126"/>
      <c r="Q687" s="126"/>
      <c r="R687" s="126"/>
      <c r="S687" s="126"/>
      <c r="T687" s="126"/>
      <c r="U687" s="126"/>
      <c r="V687" s="126"/>
      <c r="W687" s="126"/>
      <c r="X687" s="126"/>
      <c r="Y687" s="126"/>
      <c r="Z687" s="126"/>
      <c r="AA687" s="126"/>
      <c r="AB687" s="126"/>
      <c r="AC687" s="126"/>
      <c r="AD687" s="126"/>
      <c r="AE687" s="126"/>
      <c r="AF687" s="126"/>
      <c r="AG687" s="126"/>
      <c r="AH687" s="126"/>
      <c r="AI687" s="126"/>
      <c r="AJ687" s="126"/>
      <c r="AK687" s="126"/>
      <c r="AL687" s="126"/>
      <c r="AM687" s="126"/>
      <c r="AN687" s="126"/>
      <c r="AO687" s="126"/>
    </row>
    <row r="688">
      <c r="A688" s="158"/>
      <c r="B688" s="158"/>
      <c r="C688" s="158"/>
      <c r="D688" s="158"/>
      <c r="E688" s="158"/>
      <c r="F688" s="158"/>
      <c r="G688" s="158"/>
      <c r="H688" s="158"/>
      <c r="I688" s="145"/>
      <c r="J688" s="158"/>
      <c r="K688" s="158"/>
      <c r="L688" s="126"/>
      <c r="M688" s="126"/>
      <c r="N688" s="126"/>
      <c r="O688" s="126"/>
      <c r="P688" s="126"/>
      <c r="Q688" s="126"/>
      <c r="R688" s="126"/>
      <c r="S688" s="126"/>
      <c r="T688" s="126"/>
      <c r="U688" s="126"/>
      <c r="V688" s="126"/>
      <c r="W688" s="126"/>
      <c r="X688" s="126"/>
      <c r="Y688" s="126"/>
      <c r="Z688" s="126"/>
      <c r="AA688" s="126"/>
      <c r="AB688" s="126"/>
      <c r="AC688" s="126"/>
      <c r="AD688" s="126"/>
      <c r="AE688" s="126"/>
      <c r="AF688" s="126"/>
      <c r="AG688" s="126"/>
      <c r="AH688" s="126"/>
      <c r="AI688" s="126"/>
      <c r="AJ688" s="126"/>
      <c r="AK688" s="126"/>
      <c r="AL688" s="126"/>
      <c r="AM688" s="126"/>
      <c r="AN688" s="126"/>
      <c r="AO688" s="126"/>
    </row>
    <row r="689">
      <c r="A689" s="158"/>
      <c r="B689" s="158"/>
      <c r="C689" s="158"/>
      <c r="D689" s="158"/>
      <c r="E689" s="158"/>
      <c r="F689" s="158"/>
      <c r="G689" s="158"/>
      <c r="H689" s="158"/>
      <c r="I689" s="145"/>
      <c r="J689" s="158"/>
      <c r="K689" s="158"/>
      <c r="L689" s="126"/>
      <c r="M689" s="126"/>
      <c r="N689" s="126"/>
      <c r="O689" s="126"/>
      <c r="P689" s="126"/>
      <c r="Q689" s="126"/>
      <c r="R689" s="126"/>
      <c r="S689" s="126"/>
      <c r="T689" s="126"/>
      <c r="U689" s="126"/>
      <c r="V689" s="126"/>
      <c r="W689" s="126"/>
      <c r="X689" s="126"/>
      <c r="Y689" s="126"/>
      <c r="Z689" s="126"/>
      <c r="AA689" s="126"/>
      <c r="AB689" s="126"/>
      <c r="AC689" s="126"/>
      <c r="AD689" s="126"/>
      <c r="AE689" s="126"/>
      <c r="AF689" s="126"/>
      <c r="AG689" s="126"/>
      <c r="AH689" s="126"/>
      <c r="AI689" s="126"/>
      <c r="AJ689" s="126"/>
      <c r="AK689" s="126"/>
      <c r="AL689" s="126"/>
      <c r="AM689" s="126"/>
      <c r="AN689" s="126"/>
      <c r="AO689" s="126"/>
    </row>
    <row r="690">
      <c r="A690" s="158"/>
      <c r="B690" s="158"/>
      <c r="C690" s="158"/>
      <c r="D690" s="158"/>
      <c r="E690" s="158"/>
      <c r="F690" s="158"/>
      <c r="G690" s="158"/>
      <c r="H690" s="158"/>
      <c r="I690" s="145"/>
      <c r="J690" s="158"/>
      <c r="K690" s="158"/>
      <c r="L690" s="126"/>
      <c r="M690" s="126"/>
      <c r="N690" s="126"/>
      <c r="O690" s="126"/>
      <c r="P690" s="126"/>
      <c r="Q690" s="126"/>
      <c r="R690" s="126"/>
      <c r="S690" s="126"/>
      <c r="T690" s="126"/>
      <c r="U690" s="126"/>
      <c r="V690" s="126"/>
      <c r="W690" s="126"/>
      <c r="X690" s="126"/>
      <c r="Y690" s="126"/>
      <c r="Z690" s="126"/>
      <c r="AA690" s="126"/>
      <c r="AB690" s="126"/>
      <c r="AC690" s="126"/>
      <c r="AD690" s="126"/>
      <c r="AE690" s="126"/>
      <c r="AF690" s="126"/>
      <c r="AG690" s="126"/>
      <c r="AH690" s="126"/>
      <c r="AI690" s="126"/>
      <c r="AJ690" s="126"/>
      <c r="AK690" s="126"/>
      <c r="AL690" s="126"/>
      <c r="AM690" s="126"/>
      <c r="AN690" s="126"/>
      <c r="AO690" s="126"/>
    </row>
    <row r="691">
      <c r="A691" s="158"/>
      <c r="B691" s="158"/>
      <c r="C691" s="158"/>
      <c r="D691" s="158"/>
      <c r="E691" s="158"/>
      <c r="F691" s="158"/>
      <c r="G691" s="158"/>
      <c r="H691" s="158"/>
      <c r="I691" s="145"/>
      <c r="J691" s="158"/>
      <c r="K691" s="158"/>
      <c r="L691" s="126"/>
      <c r="M691" s="126"/>
      <c r="N691" s="126"/>
      <c r="O691" s="126"/>
      <c r="P691" s="126"/>
      <c r="Q691" s="126"/>
      <c r="R691" s="126"/>
      <c r="S691" s="126"/>
      <c r="T691" s="126"/>
      <c r="U691" s="126"/>
      <c r="V691" s="126"/>
      <c r="W691" s="126"/>
      <c r="X691" s="126"/>
      <c r="Y691" s="126"/>
      <c r="Z691" s="126"/>
      <c r="AA691" s="126"/>
      <c r="AB691" s="126"/>
      <c r="AC691" s="126"/>
      <c r="AD691" s="126"/>
      <c r="AE691" s="126"/>
      <c r="AF691" s="126"/>
      <c r="AG691" s="126"/>
      <c r="AH691" s="126"/>
      <c r="AI691" s="126"/>
      <c r="AJ691" s="126"/>
      <c r="AK691" s="126"/>
      <c r="AL691" s="126"/>
      <c r="AM691" s="126"/>
      <c r="AN691" s="126"/>
      <c r="AO691" s="126"/>
    </row>
    <row r="692">
      <c r="A692" s="158"/>
      <c r="B692" s="158"/>
      <c r="C692" s="158"/>
      <c r="D692" s="158"/>
      <c r="E692" s="158"/>
      <c r="F692" s="158"/>
      <c r="G692" s="158"/>
      <c r="H692" s="158"/>
      <c r="I692" s="145"/>
      <c r="J692" s="158"/>
      <c r="K692" s="158"/>
      <c r="L692" s="126"/>
      <c r="M692" s="126"/>
      <c r="N692" s="126"/>
      <c r="O692" s="126"/>
      <c r="P692" s="126"/>
      <c r="Q692" s="126"/>
      <c r="R692" s="126"/>
      <c r="S692" s="126"/>
      <c r="T692" s="126"/>
      <c r="U692" s="126"/>
      <c r="V692" s="126"/>
      <c r="W692" s="126"/>
      <c r="X692" s="126"/>
      <c r="Y692" s="126"/>
      <c r="Z692" s="126"/>
      <c r="AA692" s="126"/>
      <c r="AB692" s="126"/>
      <c r="AC692" s="126"/>
      <c r="AD692" s="126"/>
      <c r="AE692" s="126"/>
      <c r="AF692" s="126"/>
      <c r="AG692" s="126"/>
      <c r="AH692" s="126"/>
      <c r="AI692" s="126"/>
      <c r="AJ692" s="126"/>
      <c r="AK692" s="126"/>
      <c r="AL692" s="126"/>
      <c r="AM692" s="126"/>
      <c r="AN692" s="126"/>
      <c r="AO692" s="126"/>
    </row>
    <row r="693">
      <c r="A693" s="158"/>
      <c r="B693" s="158"/>
      <c r="C693" s="158"/>
      <c r="D693" s="158"/>
      <c r="E693" s="158"/>
      <c r="F693" s="158"/>
      <c r="G693" s="158"/>
      <c r="H693" s="158"/>
      <c r="I693" s="145"/>
      <c r="J693" s="158"/>
      <c r="K693" s="158"/>
      <c r="L693" s="126"/>
      <c r="M693" s="126"/>
      <c r="N693" s="126"/>
      <c r="O693" s="126"/>
      <c r="P693" s="126"/>
      <c r="Q693" s="126"/>
      <c r="R693" s="126"/>
      <c r="S693" s="126"/>
      <c r="T693" s="126"/>
      <c r="U693" s="126"/>
      <c r="V693" s="126"/>
      <c r="W693" s="126"/>
      <c r="X693" s="126"/>
      <c r="Y693" s="126"/>
      <c r="Z693" s="126"/>
      <c r="AA693" s="126"/>
      <c r="AB693" s="126"/>
      <c r="AC693" s="126"/>
      <c r="AD693" s="126"/>
      <c r="AE693" s="126"/>
      <c r="AF693" s="126"/>
      <c r="AG693" s="126"/>
      <c r="AH693" s="126"/>
      <c r="AI693" s="126"/>
      <c r="AJ693" s="126"/>
      <c r="AK693" s="126"/>
      <c r="AL693" s="126"/>
      <c r="AM693" s="126"/>
      <c r="AN693" s="126"/>
      <c r="AO693" s="126"/>
    </row>
    <row r="694">
      <c r="A694" s="158"/>
      <c r="B694" s="158"/>
      <c r="C694" s="158"/>
      <c r="D694" s="158"/>
      <c r="E694" s="158"/>
      <c r="F694" s="158"/>
      <c r="G694" s="158"/>
      <c r="H694" s="158"/>
      <c r="I694" s="145"/>
      <c r="J694" s="158"/>
      <c r="K694" s="158"/>
      <c r="L694" s="126"/>
      <c r="M694" s="126"/>
      <c r="N694" s="126"/>
      <c r="O694" s="126"/>
      <c r="P694" s="126"/>
      <c r="Q694" s="126"/>
      <c r="R694" s="126"/>
      <c r="S694" s="126"/>
      <c r="T694" s="126"/>
      <c r="U694" s="126"/>
      <c r="V694" s="126"/>
      <c r="W694" s="126"/>
      <c r="X694" s="126"/>
      <c r="Y694" s="126"/>
      <c r="Z694" s="126"/>
      <c r="AA694" s="126"/>
      <c r="AB694" s="126"/>
      <c r="AC694" s="126"/>
      <c r="AD694" s="126"/>
      <c r="AE694" s="126"/>
      <c r="AF694" s="126"/>
      <c r="AG694" s="126"/>
      <c r="AH694" s="126"/>
      <c r="AI694" s="126"/>
      <c r="AJ694" s="126"/>
      <c r="AK694" s="126"/>
      <c r="AL694" s="126"/>
      <c r="AM694" s="126"/>
      <c r="AN694" s="126"/>
      <c r="AO694" s="126"/>
    </row>
    <row r="695">
      <c r="A695" s="158"/>
      <c r="B695" s="158"/>
      <c r="C695" s="158"/>
      <c r="D695" s="158"/>
      <c r="E695" s="158"/>
      <c r="F695" s="158"/>
      <c r="G695" s="158"/>
      <c r="H695" s="158"/>
      <c r="I695" s="145"/>
      <c r="J695" s="158"/>
      <c r="K695" s="158"/>
      <c r="L695" s="126"/>
      <c r="M695" s="126"/>
      <c r="N695" s="126"/>
      <c r="O695" s="126"/>
      <c r="P695" s="126"/>
      <c r="Q695" s="126"/>
      <c r="R695" s="126"/>
      <c r="S695" s="126"/>
      <c r="T695" s="126"/>
      <c r="U695" s="126"/>
      <c r="V695" s="126"/>
      <c r="W695" s="126"/>
      <c r="X695" s="126"/>
      <c r="Y695" s="126"/>
      <c r="Z695" s="126"/>
      <c r="AA695" s="126"/>
      <c r="AB695" s="126"/>
      <c r="AC695" s="126"/>
      <c r="AD695" s="126"/>
      <c r="AE695" s="126"/>
      <c r="AF695" s="126"/>
      <c r="AG695" s="126"/>
      <c r="AH695" s="126"/>
      <c r="AI695" s="126"/>
      <c r="AJ695" s="126"/>
      <c r="AK695" s="126"/>
      <c r="AL695" s="126"/>
      <c r="AM695" s="126"/>
      <c r="AN695" s="126"/>
      <c r="AO695" s="126"/>
    </row>
    <row r="696">
      <c r="A696" s="158"/>
      <c r="B696" s="158"/>
      <c r="C696" s="158"/>
      <c r="D696" s="158"/>
      <c r="E696" s="158"/>
      <c r="F696" s="158"/>
      <c r="G696" s="158"/>
      <c r="H696" s="158"/>
      <c r="I696" s="145"/>
      <c r="J696" s="158"/>
      <c r="K696" s="158"/>
      <c r="L696" s="126"/>
      <c r="M696" s="126"/>
      <c r="N696" s="126"/>
      <c r="O696" s="126"/>
      <c r="P696" s="126"/>
      <c r="Q696" s="126"/>
      <c r="R696" s="126"/>
      <c r="S696" s="126"/>
      <c r="T696" s="126"/>
      <c r="U696" s="126"/>
      <c r="V696" s="126"/>
      <c r="W696" s="126"/>
      <c r="X696" s="126"/>
      <c r="Y696" s="126"/>
      <c r="Z696" s="126"/>
      <c r="AA696" s="126"/>
      <c r="AB696" s="126"/>
      <c r="AC696" s="126"/>
      <c r="AD696" s="126"/>
      <c r="AE696" s="126"/>
      <c r="AF696" s="126"/>
      <c r="AG696" s="126"/>
      <c r="AH696" s="126"/>
      <c r="AI696" s="126"/>
      <c r="AJ696" s="126"/>
      <c r="AK696" s="126"/>
      <c r="AL696" s="126"/>
      <c r="AM696" s="126"/>
      <c r="AN696" s="126"/>
      <c r="AO696" s="126"/>
    </row>
    <row r="697">
      <c r="A697" s="158"/>
      <c r="B697" s="158"/>
      <c r="C697" s="158"/>
      <c r="D697" s="158"/>
      <c r="E697" s="158"/>
      <c r="F697" s="158"/>
      <c r="G697" s="158"/>
      <c r="H697" s="158"/>
      <c r="I697" s="145"/>
      <c r="J697" s="158"/>
      <c r="K697" s="158"/>
      <c r="L697" s="126"/>
      <c r="M697" s="126"/>
      <c r="N697" s="126"/>
      <c r="O697" s="126"/>
      <c r="P697" s="126"/>
      <c r="Q697" s="126"/>
      <c r="R697" s="126"/>
      <c r="S697" s="126"/>
      <c r="T697" s="126"/>
      <c r="U697" s="126"/>
      <c r="V697" s="126"/>
      <c r="W697" s="126"/>
      <c r="X697" s="126"/>
      <c r="Y697" s="126"/>
      <c r="Z697" s="126"/>
      <c r="AA697" s="126"/>
      <c r="AB697" s="126"/>
      <c r="AC697" s="126"/>
      <c r="AD697" s="126"/>
      <c r="AE697" s="126"/>
      <c r="AF697" s="126"/>
      <c r="AG697" s="126"/>
      <c r="AH697" s="126"/>
      <c r="AI697" s="126"/>
      <c r="AJ697" s="126"/>
      <c r="AK697" s="126"/>
      <c r="AL697" s="126"/>
      <c r="AM697" s="126"/>
      <c r="AN697" s="126"/>
      <c r="AO697" s="126"/>
    </row>
    <row r="698">
      <c r="A698" s="158"/>
      <c r="B698" s="158"/>
      <c r="C698" s="158"/>
      <c r="D698" s="158"/>
      <c r="E698" s="158"/>
      <c r="F698" s="158"/>
      <c r="G698" s="158"/>
      <c r="H698" s="158"/>
      <c r="I698" s="145"/>
      <c r="J698" s="158"/>
      <c r="K698" s="158"/>
      <c r="L698" s="126"/>
      <c r="M698" s="126"/>
      <c r="N698" s="126"/>
      <c r="O698" s="126"/>
      <c r="P698" s="126"/>
      <c r="Q698" s="126"/>
      <c r="R698" s="126"/>
      <c r="S698" s="126"/>
      <c r="T698" s="126"/>
      <c r="U698" s="126"/>
      <c r="V698" s="126"/>
      <c r="W698" s="126"/>
      <c r="X698" s="126"/>
      <c r="Y698" s="126"/>
      <c r="Z698" s="126"/>
      <c r="AA698" s="126"/>
      <c r="AB698" s="126"/>
      <c r="AC698" s="126"/>
      <c r="AD698" s="126"/>
      <c r="AE698" s="126"/>
      <c r="AF698" s="126"/>
      <c r="AG698" s="126"/>
      <c r="AH698" s="126"/>
      <c r="AI698" s="126"/>
      <c r="AJ698" s="126"/>
      <c r="AK698" s="126"/>
      <c r="AL698" s="126"/>
      <c r="AM698" s="126"/>
      <c r="AN698" s="126"/>
      <c r="AO698" s="126"/>
    </row>
    <row r="699">
      <c r="A699" s="158"/>
      <c r="B699" s="158"/>
      <c r="C699" s="158"/>
      <c r="D699" s="158"/>
      <c r="E699" s="158"/>
      <c r="F699" s="158"/>
      <c r="G699" s="158"/>
      <c r="H699" s="158"/>
      <c r="I699" s="145"/>
      <c r="J699" s="158"/>
      <c r="K699" s="158"/>
      <c r="L699" s="126"/>
      <c r="M699" s="126"/>
      <c r="N699" s="126"/>
      <c r="O699" s="126"/>
      <c r="P699" s="126"/>
      <c r="Q699" s="126"/>
      <c r="R699" s="126"/>
      <c r="S699" s="126"/>
      <c r="T699" s="126"/>
      <c r="U699" s="126"/>
      <c r="V699" s="126"/>
      <c r="W699" s="126"/>
      <c r="X699" s="126"/>
      <c r="Y699" s="126"/>
      <c r="Z699" s="126"/>
      <c r="AA699" s="126"/>
      <c r="AB699" s="126"/>
      <c r="AC699" s="126"/>
      <c r="AD699" s="126"/>
      <c r="AE699" s="126"/>
      <c r="AF699" s="126"/>
      <c r="AG699" s="126"/>
      <c r="AH699" s="126"/>
      <c r="AI699" s="126"/>
      <c r="AJ699" s="126"/>
      <c r="AK699" s="126"/>
      <c r="AL699" s="126"/>
      <c r="AM699" s="126"/>
      <c r="AN699" s="126"/>
      <c r="AO699" s="126"/>
    </row>
    <row r="700">
      <c r="A700" s="158"/>
      <c r="B700" s="158"/>
      <c r="C700" s="158"/>
      <c r="D700" s="158"/>
      <c r="E700" s="158"/>
      <c r="F700" s="158"/>
      <c r="G700" s="158"/>
      <c r="H700" s="158"/>
      <c r="I700" s="145"/>
      <c r="J700" s="158"/>
      <c r="K700" s="158"/>
      <c r="L700" s="126"/>
      <c r="M700" s="126"/>
      <c r="N700" s="126"/>
      <c r="O700" s="126"/>
      <c r="P700" s="126"/>
      <c r="Q700" s="126"/>
      <c r="R700" s="126"/>
      <c r="S700" s="126"/>
      <c r="T700" s="126"/>
      <c r="U700" s="126"/>
      <c r="V700" s="126"/>
      <c r="W700" s="126"/>
      <c r="X700" s="126"/>
      <c r="Y700" s="126"/>
      <c r="Z700" s="126"/>
      <c r="AA700" s="126"/>
      <c r="AB700" s="126"/>
      <c r="AC700" s="126"/>
      <c r="AD700" s="126"/>
      <c r="AE700" s="126"/>
      <c r="AF700" s="126"/>
      <c r="AG700" s="126"/>
      <c r="AH700" s="126"/>
      <c r="AI700" s="126"/>
      <c r="AJ700" s="126"/>
      <c r="AK700" s="126"/>
      <c r="AL700" s="126"/>
      <c r="AM700" s="126"/>
      <c r="AN700" s="126"/>
      <c r="AO700" s="126"/>
    </row>
    <row r="701">
      <c r="A701" s="158"/>
      <c r="B701" s="158"/>
      <c r="C701" s="158"/>
      <c r="D701" s="158"/>
      <c r="E701" s="158"/>
      <c r="F701" s="158"/>
      <c r="G701" s="158"/>
      <c r="H701" s="158"/>
      <c r="I701" s="145"/>
      <c r="J701" s="158"/>
      <c r="K701" s="158"/>
      <c r="L701" s="126"/>
      <c r="M701" s="126"/>
      <c r="N701" s="126"/>
      <c r="O701" s="126"/>
      <c r="P701" s="126"/>
      <c r="Q701" s="126"/>
      <c r="R701" s="126"/>
      <c r="S701" s="126"/>
      <c r="T701" s="126"/>
      <c r="U701" s="126"/>
      <c r="V701" s="126"/>
      <c r="W701" s="126"/>
      <c r="X701" s="126"/>
      <c r="Y701" s="126"/>
      <c r="Z701" s="126"/>
      <c r="AA701" s="126"/>
      <c r="AB701" s="126"/>
      <c r="AC701" s="126"/>
      <c r="AD701" s="126"/>
      <c r="AE701" s="126"/>
      <c r="AF701" s="126"/>
      <c r="AG701" s="126"/>
      <c r="AH701" s="126"/>
      <c r="AI701" s="126"/>
      <c r="AJ701" s="126"/>
      <c r="AK701" s="126"/>
      <c r="AL701" s="126"/>
      <c r="AM701" s="126"/>
      <c r="AN701" s="126"/>
      <c r="AO701" s="126"/>
    </row>
    <row r="702">
      <c r="A702" s="158"/>
      <c r="B702" s="158"/>
      <c r="C702" s="158"/>
      <c r="D702" s="158"/>
      <c r="E702" s="158"/>
      <c r="F702" s="158"/>
      <c r="G702" s="158"/>
      <c r="H702" s="158"/>
      <c r="I702" s="145"/>
      <c r="J702" s="158"/>
      <c r="K702" s="158"/>
      <c r="L702" s="126"/>
      <c r="M702" s="126"/>
      <c r="N702" s="126"/>
      <c r="O702" s="126"/>
      <c r="P702" s="126"/>
      <c r="Q702" s="126"/>
      <c r="R702" s="126"/>
      <c r="S702" s="126"/>
      <c r="T702" s="126"/>
      <c r="U702" s="126"/>
      <c r="V702" s="126"/>
      <c r="W702" s="126"/>
      <c r="X702" s="126"/>
      <c r="Y702" s="126"/>
      <c r="Z702" s="126"/>
      <c r="AA702" s="126"/>
      <c r="AB702" s="126"/>
      <c r="AC702" s="126"/>
      <c r="AD702" s="126"/>
      <c r="AE702" s="126"/>
      <c r="AF702" s="126"/>
      <c r="AG702" s="126"/>
      <c r="AH702" s="126"/>
      <c r="AI702" s="126"/>
      <c r="AJ702" s="126"/>
      <c r="AK702" s="126"/>
      <c r="AL702" s="126"/>
      <c r="AM702" s="126"/>
      <c r="AN702" s="126"/>
      <c r="AO702" s="126"/>
    </row>
    <row r="703">
      <c r="A703" s="158"/>
      <c r="B703" s="158"/>
      <c r="C703" s="158"/>
      <c r="D703" s="158"/>
      <c r="E703" s="158"/>
      <c r="F703" s="158"/>
      <c r="G703" s="158"/>
      <c r="H703" s="158"/>
      <c r="I703" s="145"/>
      <c r="J703" s="158"/>
      <c r="K703" s="158"/>
      <c r="L703" s="126"/>
      <c r="M703" s="126"/>
      <c r="N703" s="126"/>
      <c r="O703" s="126"/>
      <c r="P703" s="126"/>
      <c r="Q703" s="126"/>
      <c r="R703" s="126"/>
      <c r="S703" s="126"/>
      <c r="T703" s="126"/>
      <c r="U703" s="126"/>
      <c r="V703" s="126"/>
      <c r="W703" s="126"/>
      <c r="X703" s="126"/>
      <c r="Y703" s="126"/>
      <c r="Z703" s="126"/>
      <c r="AA703" s="126"/>
      <c r="AB703" s="126"/>
      <c r="AC703" s="126"/>
      <c r="AD703" s="126"/>
      <c r="AE703" s="126"/>
      <c r="AF703" s="126"/>
      <c r="AG703" s="126"/>
      <c r="AH703" s="126"/>
      <c r="AI703" s="126"/>
      <c r="AJ703" s="126"/>
      <c r="AK703" s="126"/>
      <c r="AL703" s="126"/>
      <c r="AM703" s="126"/>
      <c r="AN703" s="126"/>
      <c r="AO703" s="126"/>
    </row>
    <row r="704">
      <c r="A704" s="158"/>
      <c r="B704" s="158"/>
      <c r="C704" s="158"/>
      <c r="D704" s="158"/>
      <c r="E704" s="158"/>
      <c r="F704" s="158"/>
      <c r="G704" s="158"/>
      <c r="H704" s="158"/>
      <c r="I704" s="145"/>
      <c r="J704" s="158"/>
      <c r="K704" s="158"/>
      <c r="L704" s="126"/>
      <c r="M704" s="126"/>
      <c r="N704" s="126"/>
      <c r="O704" s="126"/>
      <c r="P704" s="126"/>
      <c r="Q704" s="126"/>
      <c r="R704" s="126"/>
      <c r="S704" s="126"/>
      <c r="T704" s="126"/>
      <c r="U704" s="126"/>
      <c r="V704" s="126"/>
      <c r="W704" s="126"/>
      <c r="X704" s="126"/>
      <c r="Y704" s="126"/>
      <c r="Z704" s="126"/>
      <c r="AA704" s="126"/>
      <c r="AB704" s="126"/>
      <c r="AC704" s="126"/>
      <c r="AD704" s="126"/>
      <c r="AE704" s="126"/>
      <c r="AF704" s="126"/>
      <c r="AG704" s="126"/>
      <c r="AH704" s="126"/>
      <c r="AI704" s="126"/>
      <c r="AJ704" s="126"/>
      <c r="AK704" s="126"/>
      <c r="AL704" s="126"/>
      <c r="AM704" s="126"/>
      <c r="AN704" s="126"/>
      <c r="AO704" s="126"/>
    </row>
    <row r="705">
      <c r="A705" s="158"/>
      <c r="B705" s="158"/>
      <c r="C705" s="158"/>
      <c r="D705" s="158"/>
      <c r="E705" s="158"/>
      <c r="F705" s="158"/>
      <c r="G705" s="158"/>
      <c r="H705" s="158"/>
      <c r="I705" s="145"/>
      <c r="J705" s="158"/>
      <c r="K705" s="158"/>
      <c r="L705" s="126"/>
      <c r="M705" s="126"/>
      <c r="N705" s="126"/>
      <c r="O705" s="126"/>
      <c r="P705" s="126"/>
      <c r="Q705" s="126"/>
      <c r="R705" s="126"/>
      <c r="S705" s="126"/>
      <c r="T705" s="126"/>
      <c r="U705" s="126"/>
      <c r="V705" s="126"/>
      <c r="W705" s="126"/>
      <c r="X705" s="126"/>
      <c r="Y705" s="126"/>
      <c r="Z705" s="126"/>
      <c r="AA705" s="126"/>
      <c r="AB705" s="126"/>
      <c r="AC705" s="126"/>
      <c r="AD705" s="126"/>
      <c r="AE705" s="126"/>
      <c r="AF705" s="126"/>
      <c r="AG705" s="126"/>
      <c r="AH705" s="126"/>
      <c r="AI705" s="126"/>
      <c r="AJ705" s="126"/>
      <c r="AK705" s="126"/>
      <c r="AL705" s="126"/>
      <c r="AM705" s="126"/>
      <c r="AN705" s="126"/>
      <c r="AO705" s="126"/>
    </row>
    <row r="706">
      <c r="A706" s="158"/>
      <c r="B706" s="158"/>
      <c r="C706" s="158"/>
      <c r="D706" s="158"/>
      <c r="E706" s="158"/>
      <c r="F706" s="158"/>
      <c r="G706" s="158"/>
      <c r="H706" s="158"/>
      <c r="I706" s="145"/>
      <c r="J706" s="158"/>
      <c r="K706" s="158"/>
      <c r="L706" s="126"/>
      <c r="M706" s="126"/>
      <c r="N706" s="126"/>
      <c r="O706" s="126"/>
      <c r="P706" s="126"/>
      <c r="Q706" s="126"/>
      <c r="R706" s="126"/>
      <c r="S706" s="126"/>
      <c r="T706" s="126"/>
      <c r="U706" s="126"/>
      <c r="V706" s="126"/>
      <c r="W706" s="126"/>
      <c r="X706" s="126"/>
      <c r="Y706" s="126"/>
      <c r="Z706" s="126"/>
      <c r="AA706" s="126"/>
      <c r="AB706" s="126"/>
      <c r="AC706" s="126"/>
      <c r="AD706" s="126"/>
      <c r="AE706" s="126"/>
      <c r="AF706" s="126"/>
      <c r="AG706" s="126"/>
      <c r="AH706" s="126"/>
      <c r="AI706" s="126"/>
      <c r="AJ706" s="126"/>
      <c r="AK706" s="126"/>
      <c r="AL706" s="126"/>
      <c r="AM706" s="126"/>
      <c r="AN706" s="126"/>
      <c r="AO706" s="126"/>
    </row>
    <row r="707">
      <c r="A707" s="158"/>
      <c r="B707" s="158"/>
      <c r="C707" s="158"/>
      <c r="D707" s="158"/>
      <c r="E707" s="158"/>
      <c r="F707" s="158"/>
      <c r="G707" s="158"/>
      <c r="H707" s="158"/>
      <c r="I707" s="145"/>
      <c r="J707" s="158"/>
      <c r="K707" s="158"/>
      <c r="L707" s="126"/>
      <c r="M707" s="126"/>
      <c r="N707" s="126"/>
      <c r="O707" s="126"/>
      <c r="P707" s="126"/>
      <c r="Q707" s="126"/>
      <c r="R707" s="126"/>
      <c r="S707" s="126"/>
      <c r="T707" s="126"/>
      <c r="U707" s="126"/>
      <c r="V707" s="126"/>
      <c r="W707" s="126"/>
      <c r="X707" s="126"/>
      <c r="Y707" s="126"/>
      <c r="Z707" s="126"/>
      <c r="AA707" s="126"/>
      <c r="AB707" s="126"/>
      <c r="AC707" s="126"/>
      <c r="AD707" s="126"/>
      <c r="AE707" s="126"/>
      <c r="AF707" s="126"/>
      <c r="AG707" s="126"/>
      <c r="AH707" s="126"/>
      <c r="AI707" s="126"/>
      <c r="AJ707" s="126"/>
      <c r="AK707" s="126"/>
      <c r="AL707" s="126"/>
      <c r="AM707" s="126"/>
      <c r="AN707" s="126"/>
      <c r="AO707" s="126"/>
    </row>
    <row r="708">
      <c r="A708" s="158"/>
      <c r="B708" s="158"/>
      <c r="C708" s="158"/>
      <c r="D708" s="158"/>
      <c r="E708" s="158"/>
      <c r="F708" s="158"/>
      <c r="G708" s="158"/>
      <c r="H708" s="158"/>
      <c r="I708" s="145"/>
      <c r="J708" s="158"/>
      <c r="K708" s="158"/>
      <c r="L708" s="126"/>
      <c r="M708" s="126"/>
      <c r="N708" s="126"/>
      <c r="O708" s="126"/>
      <c r="P708" s="126"/>
      <c r="Q708" s="126"/>
      <c r="R708" s="126"/>
      <c r="S708" s="126"/>
      <c r="T708" s="126"/>
      <c r="U708" s="126"/>
      <c r="V708" s="126"/>
      <c r="W708" s="126"/>
      <c r="X708" s="126"/>
      <c r="Y708" s="126"/>
      <c r="Z708" s="126"/>
      <c r="AA708" s="126"/>
      <c r="AB708" s="126"/>
      <c r="AC708" s="126"/>
      <c r="AD708" s="126"/>
      <c r="AE708" s="126"/>
      <c r="AF708" s="126"/>
      <c r="AG708" s="126"/>
      <c r="AH708" s="126"/>
      <c r="AI708" s="126"/>
      <c r="AJ708" s="126"/>
      <c r="AK708" s="126"/>
      <c r="AL708" s="126"/>
      <c r="AM708" s="126"/>
      <c r="AN708" s="126"/>
      <c r="AO708" s="126"/>
    </row>
    <row r="709">
      <c r="A709" s="158"/>
      <c r="B709" s="158"/>
      <c r="C709" s="158"/>
      <c r="D709" s="158"/>
      <c r="E709" s="158"/>
      <c r="F709" s="158"/>
      <c r="G709" s="158"/>
      <c r="H709" s="158"/>
      <c r="I709" s="145"/>
      <c r="J709" s="158"/>
      <c r="K709" s="158"/>
      <c r="L709" s="126"/>
      <c r="M709" s="126"/>
      <c r="N709" s="126"/>
      <c r="O709" s="126"/>
      <c r="P709" s="126"/>
      <c r="Q709" s="126"/>
      <c r="R709" s="126"/>
      <c r="S709" s="126"/>
      <c r="T709" s="126"/>
      <c r="U709" s="126"/>
      <c r="V709" s="126"/>
      <c r="W709" s="126"/>
      <c r="X709" s="126"/>
      <c r="Y709" s="126"/>
      <c r="Z709" s="126"/>
      <c r="AA709" s="126"/>
      <c r="AB709" s="126"/>
      <c r="AC709" s="126"/>
      <c r="AD709" s="126"/>
      <c r="AE709" s="126"/>
      <c r="AF709" s="126"/>
      <c r="AG709" s="126"/>
      <c r="AH709" s="126"/>
      <c r="AI709" s="126"/>
      <c r="AJ709" s="126"/>
      <c r="AK709" s="126"/>
      <c r="AL709" s="126"/>
      <c r="AM709" s="126"/>
      <c r="AN709" s="126"/>
      <c r="AO709" s="126"/>
    </row>
    <row r="710">
      <c r="A710" s="158"/>
      <c r="B710" s="158"/>
      <c r="C710" s="158"/>
      <c r="D710" s="158"/>
      <c r="E710" s="158"/>
      <c r="F710" s="158"/>
      <c r="G710" s="158"/>
      <c r="H710" s="158"/>
      <c r="I710" s="145"/>
      <c r="J710" s="158"/>
      <c r="K710" s="158"/>
      <c r="L710" s="126"/>
      <c r="M710" s="126"/>
      <c r="N710" s="126"/>
      <c r="O710" s="126"/>
      <c r="P710" s="126"/>
      <c r="Q710" s="126"/>
      <c r="R710" s="126"/>
      <c r="S710" s="126"/>
      <c r="T710" s="126"/>
      <c r="U710" s="126"/>
      <c r="V710" s="126"/>
      <c r="W710" s="126"/>
      <c r="X710" s="126"/>
      <c r="Y710" s="126"/>
      <c r="Z710" s="126"/>
      <c r="AA710" s="126"/>
      <c r="AB710" s="126"/>
      <c r="AC710" s="126"/>
      <c r="AD710" s="126"/>
      <c r="AE710" s="126"/>
      <c r="AF710" s="126"/>
      <c r="AG710" s="126"/>
      <c r="AH710" s="126"/>
      <c r="AI710" s="126"/>
      <c r="AJ710" s="126"/>
      <c r="AK710" s="126"/>
      <c r="AL710" s="126"/>
      <c r="AM710" s="126"/>
      <c r="AN710" s="126"/>
      <c r="AO710" s="126"/>
    </row>
    <row r="711">
      <c r="A711" s="158"/>
      <c r="B711" s="158"/>
      <c r="C711" s="158"/>
      <c r="D711" s="158"/>
      <c r="E711" s="158"/>
      <c r="F711" s="158"/>
      <c r="G711" s="158"/>
      <c r="H711" s="158"/>
      <c r="I711" s="145"/>
      <c r="J711" s="158"/>
      <c r="K711" s="158"/>
      <c r="L711" s="126"/>
      <c r="M711" s="126"/>
      <c r="N711" s="126"/>
      <c r="O711" s="126"/>
      <c r="P711" s="126"/>
      <c r="Q711" s="126"/>
      <c r="R711" s="126"/>
      <c r="S711" s="126"/>
      <c r="T711" s="126"/>
      <c r="U711" s="126"/>
      <c r="V711" s="126"/>
      <c r="W711" s="126"/>
      <c r="X711" s="126"/>
      <c r="Y711" s="126"/>
      <c r="Z711" s="126"/>
      <c r="AA711" s="126"/>
      <c r="AB711" s="126"/>
      <c r="AC711" s="126"/>
      <c r="AD711" s="126"/>
      <c r="AE711" s="126"/>
      <c r="AF711" s="126"/>
      <c r="AG711" s="126"/>
      <c r="AH711" s="126"/>
      <c r="AI711" s="126"/>
      <c r="AJ711" s="126"/>
      <c r="AK711" s="126"/>
      <c r="AL711" s="126"/>
      <c r="AM711" s="126"/>
      <c r="AN711" s="126"/>
      <c r="AO711" s="126"/>
    </row>
    <row r="712">
      <c r="A712" s="158"/>
      <c r="B712" s="158"/>
      <c r="C712" s="158"/>
      <c r="D712" s="158"/>
      <c r="E712" s="158"/>
      <c r="F712" s="158"/>
      <c r="G712" s="158"/>
      <c r="H712" s="158"/>
      <c r="I712" s="145"/>
      <c r="J712" s="158"/>
      <c r="K712" s="158"/>
      <c r="L712" s="126"/>
      <c r="M712" s="126"/>
      <c r="N712" s="126"/>
      <c r="O712" s="126"/>
      <c r="P712" s="126"/>
      <c r="Q712" s="126"/>
      <c r="R712" s="126"/>
      <c r="S712" s="126"/>
      <c r="T712" s="126"/>
      <c r="U712" s="126"/>
      <c r="V712" s="126"/>
      <c r="W712" s="126"/>
      <c r="X712" s="126"/>
      <c r="Y712" s="126"/>
      <c r="Z712" s="126"/>
      <c r="AA712" s="126"/>
      <c r="AB712" s="126"/>
      <c r="AC712" s="126"/>
      <c r="AD712" s="126"/>
      <c r="AE712" s="126"/>
      <c r="AF712" s="126"/>
      <c r="AG712" s="126"/>
      <c r="AH712" s="126"/>
      <c r="AI712" s="126"/>
      <c r="AJ712" s="126"/>
      <c r="AK712" s="126"/>
      <c r="AL712" s="126"/>
      <c r="AM712" s="126"/>
      <c r="AN712" s="126"/>
      <c r="AO712" s="126"/>
    </row>
    <row r="713">
      <c r="A713" s="158"/>
      <c r="B713" s="158"/>
      <c r="C713" s="158"/>
      <c r="D713" s="158"/>
      <c r="E713" s="158"/>
      <c r="F713" s="158"/>
      <c r="G713" s="158"/>
      <c r="H713" s="158"/>
      <c r="I713" s="145"/>
      <c r="J713" s="158"/>
      <c r="K713" s="158"/>
      <c r="L713" s="126"/>
      <c r="M713" s="126"/>
      <c r="N713" s="126"/>
      <c r="O713" s="126"/>
      <c r="P713" s="126"/>
      <c r="Q713" s="126"/>
      <c r="R713" s="126"/>
      <c r="S713" s="126"/>
      <c r="T713" s="126"/>
      <c r="U713" s="126"/>
      <c r="V713" s="126"/>
      <c r="W713" s="126"/>
      <c r="X713" s="126"/>
      <c r="Y713" s="126"/>
      <c r="Z713" s="126"/>
      <c r="AA713" s="126"/>
      <c r="AB713" s="126"/>
      <c r="AC713" s="126"/>
      <c r="AD713" s="126"/>
      <c r="AE713" s="126"/>
      <c r="AF713" s="126"/>
      <c r="AG713" s="126"/>
      <c r="AH713" s="126"/>
      <c r="AI713" s="126"/>
      <c r="AJ713" s="126"/>
      <c r="AK713" s="126"/>
      <c r="AL713" s="126"/>
      <c r="AM713" s="126"/>
      <c r="AN713" s="126"/>
      <c r="AO713" s="126"/>
    </row>
    <row r="714">
      <c r="A714" s="158"/>
      <c r="B714" s="158"/>
      <c r="C714" s="158"/>
      <c r="D714" s="158"/>
      <c r="E714" s="158"/>
      <c r="F714" s="158"/>
      <c r="G714" s="158"/>
      <c r="H714" s="158"/>
      <c r="I714" s="145"/>
      <c r="J714" s="158"/>
      <c r="K714" s="158"/>
      <c r="L714" s="126"/>
      <c r="M714" s="126"/>
      <c r="N714" s="126"/>
      <c r="O714" s="126"/>
      <c r="P714" s="126"/>
      <c r="Q714" s="126"/>
      <c r="R714" s="126"/>
      <c r="S714" s="126"/>
      <c r="T714" s="126"/>
      <c r="U714" s="126"/>
      <c r="V714" s="126"/>
      <c r="W714" s="126"/>
      <c r="X714" s="126"/>
      <c r="Y714" s="126"/>
      <c r="Z714" s="126"/>
      <c r="AA714" s="126"/>
      <c r="AB714" s="126"/>
      <c r="AC714" s="126"/>
      <c r="AD714" s="126"/>
      <c r="AE714" s="126"/>
      <c r="AF714" s="126"/>
      <c r="AG714" s="126"/>
      <c r="AH714" s="126"/>
      <c r="AI714" s="126"/>
      <c r="AJ714" s="126"/>
      <c r="AK714" s="126"/>
      <c r="AL714" s="126"/>
      <c r="AM714" s="126"/>
      <c r="AN714" s="126"/>
      <c r="AO714" s="126"/>
    </row>
    <row r="715">
      <c r="A715" s="158"/>
      <c r="B715" s="158"/>
      <c r="C715" s="158"/>
      <c r="D715" s="158"/>
      <c r="E715" s="158"/>
      <c r="F715" s="158"/>
      <c r="G715" s="158"/>
      <c r="H715" s="158"/>
      <c r="I715" s="145"/>
      <c r="J715" s="158"/>
      <c r="K715" s="158"/>
      <c r="L715" s="126"/>
      <c r="M715" s="126"/>
      <c r="N715" s="126"/>
      <c r="O715" s="126"/>
      <c r="P715" s="126"/>
      <c r="Q715" s="126"/>
      <c r="R715" s="126"/>
      <c r="S715" s="126"/>
      <c r="T715" s="126"/>
      <c r="U715" s="126"/>
      <c r="V715" s="126"/>
      <c r="W715" s="126"/>
      <c r="X715" s="126"/>
      <c r="Y715" s="126"/>
      <c r="Z715" s="126"/>
      <c r="AA715" s="126"/>
      <c r="AB715" s="126"/>
      <c r="AC715" s="126"/>
      <c r="AD715" s="126"/>
      <c r="AE715" s="126"/>
      <c r="AF715" s="126"/>
      <c r="AG715" s="126"/>
      <c r="AH715" s="126"/>
      <c r="AI715" s="126"/>
      <c r="AJ715" s="126"/>
      <c r="AK715" s="126"/>
      <c r="AL715" s="126"/>
      <c r="AM715" s="126"/>
      <c r="AN715" s="126"/>
      <c r="AO715" s="126"/>
    </row>
    <row r="716">
      <c r="A716" s="158"/>
      <c r="B716" s="158"/>
      <c r="C716" s="158"/>
      <c r="D716" s="158"/>
      <c r="E716" s="158"/>
      <c r="F716" s="158"/>
      <c r="G716" s="158"/>
      <c r="H716" s="158"/>
      <c r="I716" s="145"/>
      <c r="J716" s="158"/>
      <c r="K716" s="158"/>
      <c r="L716" s="126"/>
      <c r="M716" s="126"/>
      <c r="N716" s="126"/>
      <c r="O716" s="126"/>
      <c r="P716" s="126"/>
      <c r="Q716" s="126"/>
      <c r="R716" s="126"/>
      <c r="S716" s="126"/>
      <c r="T716" s="126"/>
      <c r="U716" s="126"/>
      <c r="V716" s="126"/>
      <c r="W716" s="126"/>
      <c r="X716" s="126"/>
      <c r="Y716" s="126"/>
      <c r="Z716" s="126"/>
      <c r="AA716" s="126"/>
      <c r="AB716" s="126"/>
      <c r="AC716" s="126"/>
      <c r="AD716" s="126"/>
      <c r="AE716" s="126"/>
      <c r="AF716" s="126"/>
      <c r="AG716" s="126"/>
      <c r="AH716" s="126"/>
      <c r="AI716" s="126"/>
      <c r="AJ716" s="126"/>
      <c r="AK716" s="126"/>
      <c r="AL716" s="126"/>
      <c r="AM716" s="126"/>
      <c r="AN716" s="126"/>
      <c r="AO716" s="126"/>
    </row>
    <row r="717">
      <c r="A717" s="158"/>
      <c r="B717" s="158"/>
      <c r="C717" s="158"/>
      <c r="D717" s="158"/>
      <c r="E717" s="158"/>
      <c r="F717" s="158"/>
      <c r="G717" s="158"/>
      <c r="H717" s="158"/>
      <c r="I717" s="145"/>
      <c r="J717" s="158"/>
      <c r="K717" s="158"/>
      <c r="L717" s="126"/>
      <c r="M717" s="126"/>
      <c r="N717" s="126"/>
      <c r="O717" s="126"/>
      <c r="P717" s="126"/>
      <c r="Q717" s="126"/>
      <c r="R717" s="126"/>
      <c r="S717" s="126"/>
      <c r="T717" s="126"/>
      <c r="U717" s="126"/>
      <c r="V717" s="126"/>
      <c r="W717" s="126"/>
      <c r="X717" s="126"/>
      <c r="Y717" s="126"/>
      <c r="Z717" s="126"/>
      <c r="AA717" s="126"/>
      <c r="AB717" s="126"/>
      <c r="AC717" s="126"/>
      <c r="AD717" s="126"/>
      <c r="AE717" s="126"/>
      <c r="AF717" s="126"/>
      <c r="AG717" s="126"/>
      <c r="AH717" s="126"/>
      <c r="AI717" s="126"/>
      <c r="AJ717" s="126"/>
      <c r="AK717" s="126"/>
      <c r="AL717" s="126"/>
      <c r="AM717" s="126"/>
      <c r="AN717" s="126"/>
      <c r="AO717" s="126"/>
    </row>
    <row r="718">
      <c r="A718" s="158"/>
      <c r="B718" s="158"/>
      <c r="C718" s="158"/>
      <c r="D718" s="158"/>
      <c r="E718" s="158"/>
      <c r="F718" s="158"/>
      <c r="G718" s="158"/>
      <c r="H718" s="158"/>
      <c r="I718" s="145"/>
      <c r="J718" s="158"/>
      <c r="K718" s="158"/>
      <c r="L718" s="126"/>
      <c r="M718" s="126"/>
      <c r="N718" s="126"/>
      <c r="O718" s="126"/>
      <c r="P718" s="126"/>
      <c r="Q718" s="126"/>
      <c r="R718" s="126"/>
      <c r="S718" s="126"/>
      <c r="T718" s="126"/>
      <c r="U718" s="126"/>
      <c r="V718" s="126"/>
      <c r="W718" s="126"/>
      <c r="X718" s="126"/>
      <c r="Y718" s="126"/>
      <c r="Z718" s="126"/>
      <c r="AA718" s="126"/>
      <c r="AB718" s="126"/>
      <c r="AC718" s="126"/>
      <c r="AD718" s="126"/>
      <c r="AE718" s="126"/>
      <c r="AF718" s="126"/>
      <c r="AG718" s="126"/>
      <c r="AH718" s="126"/>
      <c r="AI718" s="126"/>
      <c r="AJ718" s="126"/>
      <c r="AK718" s="126"/>
      <c r="AL718" s="126"/>
      <c r="AM718" s="126"/>
      <c r="AN718" s="126"/>
      <c r="AO718" s="126"/>
    </row>
    <row r="719">
      <c r="A719" s="158"/>
      <c r="B719" s="158"/>
      <c r="C719" s="158"/>
      <c r="D719" s="158"/>
      <c r="E719" s="158"/>
      <c r="F719" s="158"/>
      <c r="G719" s="158"/>
      <c r="H719" s="158"/>
      <c r="I719" s="145"/>
      <c r="J719" s="158"/>
      <c r="K719" s="158"/>
      <c r="L719" s="126"/>
      <c r="M719" s="126"/>
      <c r="N719" s="126"/>
      <c r="O719" s="126"/>
      <c r="P719" s="126"/>
      <c r="Q719" s="126"/>
      <c r="R719" s="126"/>
      <c r="S719" s="126"/>
      <c r="T719" s="126"/>
      <c r="U719" s="126"/>
      <c r="V719" s="126"/>
      <c r="W719" s="126"/>
      <c r="X719" s="126"/>
      <c r="Y719" s="126"/>
      <c r="Z719" s="126"/>
      <c r="AA719" s="126"/>
      <c r="AB719" s="126"/>
      <c r="AC719" s="126"/>
      <c r="AD719" s="126"/>
      <c r="AE719" s="126"/>
      <c r="AF719" s="126"/>
      <c r="AG719" s="126"/>
      <c r="AH719" s="126"/>
      <c r="AI719" s="126"/>
      <c r="AJ719" s="126"/>
      <c r="AK719" s="126"/>
      <c r="AL719" s="126"/>
      <c r="AM719" s="126"/>
      <c r="AN719" s="126"/>
      <c r="AO719" s="126"/>
    </row>
    <row r="720">
      <c r="A720" s="158"/>
      <c r="B720" s="158"/>
      <c r="C720" s="158"/>
      <c r="D720" s="158"/>
      <c r="E720" s="158"/>
      <c r="F720" s="158"/>
      <c r="G720" s="158"/>
      <c r="H720" s="158"/>
      <c r="I720" s="145"/>
      <c r="J720" s="158"/>
      <c r="K720" s="158"/>
      <c r="L720" s="126"/>
      <c r="M720" s="126"/>
      <c r="N720" s="126"/>
      <c r="O720" s="126"/>
      <c r="P720" s="126"/>
      <c r="Q720" s="126"/>
      <c r="R720" s="126"/>
      <c r="S720" s="126"/>
      <c r="T720" s="126"/>
      <c r="U720" s="126"/>
      <c r="V720" s="126"/>
      <c r="W720" s="126"/>
      <c r="X720" s="126"/>
      <c r="Y720" s="126"/>
      <c r="Z720" s="126"/>
      <c r="AA720" s="126"/>
      <c r="AB720" s="126"/>
      <c r="AC720" s="126"/>
      <c r="AD720" s="126"/>
      <c r="AE720" s="126"/>
      <c r="AF720" s="126"/>
      <c r="AG720" s="126"/>
      <c r="AH720" s="126"/>
      <c r="AI720" s="126"/>
      <c r="AJ720" s="126"/>
      <c r="AK720" s="126"/>
      <c r="AL720" s="126"/>
      <c r="AM720" s="126"/>
      <c r="AN720" s="126"/>
      <c r="AO720" s="126"/>
    </row>
    <row r="721">
      <c r="A721" s="158"/>
      <c r="B721" s="158"/>
      <c r="C721" s="158"/>
      <c r="D721" s="158"/>
      <c r="E721" s="158"/>
      <c r="F721" s="158"/>
      <c r="G721" s="158"/>
      <c r="H721" s="158"/>
      <c r="I721" s="145"/>
      <c r="J721" s="158"/>
      <c r="K721" s="158"/>
      <c r="L721" s="126"/>
      <c r="M721" s="126"/>
      <c r="N721" s="126"/>
      <c r="O721" s="126"/>
      <c r="P721" s="126"/>
      <c r="Q721" s="126"/>
      <c r="R721" s="126"/>
      <c r="S721" s="126"/>
      <c r="T721" s="126"/>
      <c r="U721" s="126"/>
      <c r="V721" s="126"/>
      <c r="W721" s="126"/>
      <c r="X721" s="126"/>
      <c r="Y721" s="126"/>
      <c r="Z721" s="126"/>
      <c r="AA721" s="126"/>
      <c r="AB721" s="126"/>
      <c r="AC721" s="126"/>
      <c r="AD721" s="126"/>
      <c r="AE721" s="126"/>
      <c r="AF721" s="126"/>
      <c r="AG721" s="126"/>
      <c r="AH721" s="126"/>
      <c r="AI721" s="126"/>
      <c r="AJ721" s="126"/>
      <c r="AK721" s="126"/>
      <c r="AL721" s="126"/>
      <c r="AM721" s="126"/>
      <c r="AN721" s="126"/>
      <c r="AO721" s="126"/>
    </row>
    <row r="722">
      <c r="A722" s="158"/>
      <c r="B722" s="158"/>
      <c r="C722" s="158"/>
      <c r="D722" s="158"/>
      <c r="E722" s="158"/>
      <c r="F722" s="158"/>
      <c r="G722" s="158"/>
      <c r="H722" s="158"/>
      <c r="I722" s="145"/>
      <c r="J722" s="158"/>
      <c r="K722" s="158"/>
      <c r="L722" s="126"/>
      <c r="M722" s="126"/>
      <c r="N722" s="126"/>
      <c r="O722" s="126"/>
      <c r="P722" s="126"/>
      <c r="Q722" s="126"/>
      <c r="R722" s="126"/>
      <c r="S722" s="126"/>
      <c r="T722" s="126"/>
      <c r="U722" s="126"/>
      <c r="V722" s="126"/>
      <c r="W722" s="126"/>
      <c r="X722" s="126"/>
      <c r="Y722" s="126"/>
      <c r="Z722" s="126"/>
      <c r="AA722" s="126"/>
      <c r="AB722" s="126"/>
      <c r="AC722" s="126"/>
      <c r="AD722" s="126"/>
      <c r="AE722" s="126"/>
      <c r="AF722" s="126"/>
      <c r="AG722" s="126"/>
      <c r="AH722" s="126"/>
      <c r="AI722" s="126"/>
      <c r="AJ722" s="126"/>
      <c r="AK722" s="126"/>
      <c r="AL722" s="126"/>
      <c r="AM722" s="126"/>
      <c r="AN722" s="126"/>
      <c r="AO722" s="126"/>
    </row>
    <row r="723">
      <c r="A723" s="158"/>
      <c r="B723" s="158"/>
      <c r="C723" s="158"/>
      <c r="D723" s="158"/>
      <c r="E723" s="158"/>
      <c r="F723" s="158"/>
      <c r="G723" s="158"/>
      <c r="H723" s="158"/>
      <c r="I723" s="145"/>
      <c r="J723" s="158"/>
      <c r="K723" s="158"/>
      <c r="L723" s="126"/>
      <c r="M723" s="126"/>
      <c r="N723" s="126"/>
      <c r="O723" s="126"/>
      <c r="P723" s="126"/>
      <c r="Q723" s="126"/>
      <c r="R723" s="126"/>
      <c r="S723" s="126"/>
      <c r="T723" s="126"/>
      <c r="U723" s="126"/>
      <c r="V723" s="126"/>
      <c r="W723" s="126"/>
      <c r="X723" s="126"/>
      <c r="Y723" s="126"/>
      <c r="Z723" s="126"/>
      <c r="AA723" s="126"/>
      <c r="AB723" s="126"/>
      <c r="AC723" s="126"/>
      <c r="AD723" s="126"/>
      <c r="AE723" s="126"/>
      <c r="AF723" s="126"/>
      <c r="AG723" s="126"/>
      <c r="AH723" s="126"/>
      <c r="AI723" s="126"/>
      <c r="AJ723" s="126"/>
      <c r="AK723" s="126"/>
      <c r="AL723" s="126"/>
      <c r="AM723" s="126"/>
      <c r="AN723" s="126"/>
      <c r="AO723" s="126"/>
    </row>
    <row r="724">
      <c r="A724" s="158"/>
      <c r="B724" s="158"/>
      <c r="C724" s="158"/>
      <c r="D724" s="158"/>
      <c r="E724" s="158"/>
      <c r="F724" s="158"/>
      <c r="G724" s="158"/>
      <c r="H724" s="158"/>
      <c r="I724" s="145"/>
      <c r="J724" s="158"/>
      <c r="K724" s="158"/>
      <c r="L724" s="126"/>
      <c r="M724" s="126"/>
      <c r="N724" s="126"/>
      <c r="O724" s="126"/>
      <c r="P724" s="126"/>
      <c r="Q724" s="126"/>
      <c r="R724" s="126"/>
      <c r="S724" s="126"/>
      <c r="T724" s="126"/>
      <c r="U724" s="126"/>
      <c r="V724" s="126"/>
      <c r="W724" s="126"/>
      <c r="X724" s="126"/>
      <c r="Y724" s="126"/>
      <c r="Z724" s="126"/>
      <c r="AA724" s="126"/>
      <c r="AB724" s="126"/>
      <c r="AC724" s="126"/>
      <c r="AD724" s="126"/>
      <c r="AE724" s="126"/>
      <c r="AF724" s="126"/>
      <c r="AG724" s="126"/>
      <c r="AH724" s="126"/>
      <c r="AI724" s="126"/>
      <c r="AJ724" s="126"/>
      <c r="AK724" s="126"/>
      <c r="AL724" s="126"/>
      <c r="AM724" s="126"/>
      <c r="AN724" s="126"/>
      <c r="AO724" s="126"/>
    </row>
    <row r="725">
      <c r="A725" s="158"/>
      <c r="B725" s="158"/>
      <c r="C725" s="158"/>
      <c r="D725" s="158"/>
      <c r="E725" s="158"/>
      <c r="F725" s="158"/>
      <c r="G725" s="158"/>
      <c r="H725" s="158"/>
      <c r="I725" s="145"/>
      <c r="J725" s="158"/>
      <c r="K725" s="158"/>
      <c r="L725" s="126"/>
      <c r="M725" s="126"/>
      <c r="N725" s="126"/>
      <c r="O725" s="126"/>
      <c r="P725" s="126"/>
      <c r="Q725" s="126"/>
      <c r="R725" s="126"/>
      <c r="S725" s="126"/>
      <c r="T725" s="126"/>
      <c r="U725" s="126"/>
      <c r="V725" s="126"/>
      <c r="W725" s="126"/>
      <c r="X725" s="126"/>
      <c r="Y725" s="126"/>
      <c r="Z725" s="126"/>
      <c r="AA725" s="126"/>
      <c r="AB725" s="126"/>
      <c r="AC725" s="126"/>
      <c r="AD725" s="126"/>
      <c r="AE725" s="126"/>
      <c r="AF725" s="126"/>
      <c r="AG725" s="126"/>
      <c r="AH725" s="126"/>
      <c r="AI725" s="126"/>
      <c r="AJ725" s="126"/>
      <c r="AK725" s="126"/>
      <c r="AL725" s="126"/>
      <c r="AM725" s="126"/>
      <c r="AN725" s="126"/>
      <c r="AO725" s="126"/>
    </row>
    <row r="726">
      <c r="A726" s="158"/>
      <c r="B726" s="158"/>
      <c r="C726" s="158"/>
      <c r="D726" s="158"/>
      <c r="E726" s="158"/>
      <c r="F726" s="158"/>
      <c r="G726" s="158"/>
      <c r="H726" s="158"/>
      <c r="I726" s="145"/>
      <c r="J726" s="158"/>
      <c r="K726" s="158"/>
      <c r="L726" s="126"/>
      <c r="M726" s="126"/>
      <c r="N726" s="126"/>
      <c r="O726" s="126"/>
      <c r="P726" s="126"/>
      <c r="Q726" s="126"/>
      <c r="R726" s="126"/>
      <c r="S726" s="126"/>
      <c r="T726" s="126"/>
      <c r="U726" s="126"/>
      <c r="V726" s="126"/>
      <c r="W726" s="126"/>
      <c r="X726" s="126"/>
      <c r="Y726" s="126"/>
      <c r="Z726" s="126"/>
      <c r="AA726" s="126"/>
      <c r="AB726" s="126"/>
      <c r="AC726" s="126"/>
      <c r="AD726" s="126"/>
      <c r="AE726" s="126"/>
      <c r="AF726" s="126"/>
      <c r="AG726" s="126"/>
      <c r="AH726" s="126"/>
      <c r="AI726" s="126"/>
      <c r="AJ726" s="126"/>
      <c r="AK726" s="126"/>
      <c r="AL726" s="126"/>
      <c r="AM726" s="126"/>
      <c r="AN726" s="126"/>
      <c r="AO726" s="126"/>
    </row>
    <row r="727">
      <c r="A727" s="158"/>
      <c r="B727" s="158"/>
      <c r="C727" s="158"/>
      <c r="D727" s="158"/>
      <c r="E727" s="158"/>
      <c r="F727" s="158"/>
      <c r="G727" s="158"/>
      <c r="H727" s="158"/>
      <c r="I727" s="145"/>
      <c r="J727" s="158"/>
      <c r="K727" s="158"/>
      <c r="L727" s="126"/>
      <c r="M727" s="126"/>
      <c r="N727" s="126"/>
      <c r="O727" s="126"/>
      <c r="P727" s="126"/>
      <c r="Q727" s="126"/>
      <c r="R727" s="126"/>
      <c r="S727" s="126"/>
      <c r="T727" s="126"/>
      <c r="U727" s="126"/>
      <c r="V727" s="126"/>
      <c r="W727" s="126"/>
      <c r="X727" s="126"/>
      <c r="Y727" s="126"/>
      <c r="Z727" s="126"/>
      <c r="AA727" s="126"/>
      <c r="AB727" s="126"/>
      <c r="AC727" s="126"/>
      <c r="AD727" s="126"/>
      <c r="AE727" s="126"/>
      <c r="AF727" s="126"/>
      <c r="AG727" s="126"/>
      <c r="AH727" s="126"/>
      <c r="AI727" s="126"/>
      <c r="AJ727" s="126"/>
      <c r="AK727" s="126"/>
      <c r="AL727" s="126"/>
      <c r="AM727" s="126"/>
      <c r="AN727" s="126"/>
      <c r="AO727" s="126"/>
    </row>
    <row r="728">
      <c r="A728" s="158"/>
      <c r="B728" s="158"/>
      <c r="C728" s="158"/>
      <c r="D728" s="158"/>
      <c r="E728" s="158"/>
      <c r="F728" s="158"/>
      <c r="G728" s="158"/>
      <c r="H728" s="158"/>
      <c r="I728" s="145"/>
      <c r="J728" s="158"/>
      <c r="K728" s="158"/>
      <c r="L728" s="126"/>
      <c r="M728" s="126"/>
      <c r="N728" s="126"/>
      <c r="O728" s="126"/>
      <c r="P728" s="126"/>
      <c r="Q728" s="126"/>
      <c r="R728" s="126"/>
      <c r="S728" s="126"/>
      <c r="T728" s="126"/>
      <c r="U728" s="126"/>
      <c r="V728" s="126"/>
      <c r="W728" s="126"/>
      <c r="X728" s="126"/>
      <c r="Y728" s="126"/>
      <c r="Z728" s="126"/>
      <c r="AA728" s="126"/>
      <c r="AB728" s="126"/>
      <c r="AC728" s="126"/>
      <c r="AD728" s="126"/>
      <c r="AE728" s="126"/>
      <c r="AF728" s="126"/>
      <c r="AG728" s="126"/>
      <c r="AH728" s="126"/>
      <c r="AI728" s="126"/>
      <c r="AJ728" s="126"/>
      <c r="AK728" s="126"/>
      <c r="AL728" s="126"/>
      <c r="AM728" s="126"/>
      <c r="AN728" s="126"/>
      <c r="AO728" s="126"/>
    </row>
    <row r="729">
      <c r="A729" s="158"/>
      <c r="B729" s="158"/>
      <c r="C729" s="158"/>
      <c r="D729" s="158"/>
      <c r="E729" s="158"/>
      <c r="F729" s="158"/>
      <c r="G729" s="158"/>
      <c r="H729" s="158"/>
      <c r="I729" s="145"/>
      <c r="J729" s="158"/>
      <c r="K729" s="158"/>
      <c r="L729" s="126"/>
      <c r="M729" s="126"/>
      <c r="N729" s="126"/>
      <c r="O729" s="126"/>
      <c r="P729" s="126"/>
      <c r="Q729" s="126"/>
      <c r="R729" s="126"/>
      <c r="S729" s="126"/>
      <c r="T729" s="126"/>
      <c r="U729" s="126"/>
      <c r="V729" s="126"/>
      <c r="W729" s="126"/>
      <c r="X729" s="126"/>
      <c r="Y729" s="126"/>
      <c r="Z729" s="126"/>
      <c r="AA729" s="126"/>
      <c r="AB729" s="126"/>
      <c r="AC729" s="126"/>
      <c r="AD729" s="126"/>
      <c r="AE729" s="126"/>
      <c r="AF729" s="126"/>
      <c r="AG729" s="126"/>
      <c r="AH729" s="126"/>
      <c r="AI729" s="126"/>
      <c r="AJ729" s="126"/>
      <c r="AK729" s="126"/>
      <c r="AL729" s="126"/>
      <c r="AM729" s="126"/>
      <c r="AN729" s="126"/>
      <c r="AO729" s="126"/>
    </row>
    <row r="730">
      <c r="A730" s="158"/>
      <c r="B730" s="158"/>
      <c r="C730" s="158"/>
      <c r="D730" s="158"/>
      <c r="E730" s="158"/>
      <c r="F730" s="158"/>
      <c r="G730" s="158"/>
      <c r="H730" s="158"/>
      <c r="I730" s="145"/>
      <c r="J730" s="158"/>
      <c r="K730" s="158"/>
      <c r="L730" s="126"/>
      <c r="M730" s="126"/>
      <c r="N730" s="126"/>
      <c r="O730" s="126"/>
      <c r="P730" s="126"/>
      <c r="Q730" s="126"/>
      <c r="R730" s="126"/>
      <c r="S730" s="126"/>
      <c r="T730" s="126"/>
      <c r="U730" s="126"/>
      <c r="V730" s="126"/>
      <c r="W730" s="126"/>
      <c r="X730" s="126"/>
      <c r="Y730" s="126"/>
      <c r="Z730" s="126"/>
      <c r="AA730" s="126"/>
      <c r="AB730" s="126"/>
      <c r="AC730" s="126"/>
      <c r="AD730" s="126"/>
      <c r="AE730" s="126"/>
      <c r="AF730" s="126"/>
      <c r="AG730" s="126"/>
      <c r="AH730" s="126"/>
      <c r="AI730" s="126"/>
      <c r="AJ730" s="126"/>
      <c r="AK730" s="126"/>
      <c r="AL730" s="126"/>
      <c r="AM730" s="126"/>
      <c r="AN730" s="126"/>
      <c r="AO730" s="126"/>
    </row>
    <row r="731">
      <c r="A731" s="158"/>
      <c r="B731" s="158"/>
      <c r="C731" s="158"/>
      <c r="D731" s="158"/>
      <c r="E731" s="158"/>
      <c r="F731" s="158"/>
      <c r="G731" s="158"/>
      <c r="H731" s="158"/>
      <c r="I731" s="145"/>
      <c r="J731" s="158"/>
      <c r="K731" s="158"/>
      <c r="L731" s="126"/>
      <c r="M731" s="126"/>
      <c r="N731" s="126"/>
      <c r="O731" s="126"/>
      <c r="P731" s="126"/>
      <c r="Q731" s="126"/>
      <c r="R731" s="126"/>
      <c r="S731" s="126"/>
      <c r="T731" s="126"/>
      <c r="U731" s="126"/>
      <c r="V731" s="126"/>
      <c r="W731" s="126"/>
      <c r="X731" s="126"/>
      <c r="Y731" s="126"/>
      <c r="Z731" s="126"/>
      <c r="AA731" s="126"/>
      <c r="AB731" s="126"/>
      <c r="AC731" s="126"/>
      <c r="AD731" s="126"/>
      <c r="AE731" s="126"/>
      <c r="AF731" s="126"/>
      <c r="AG731" s="126"/>
      <c r="AH731" s="126"/>
      <c r="AI731" s="126"/>
      <c r="AJ731" s="126"/>
      <c r="AK731" s="126"/>
      <c r="AL731" s="126"/>
      <c r="AM731" s="126"/>
      <c r="AN731" s="126"/>
      <c r="AO731" s="126"/>
    </row>
    <row r="732">
      <c r="A732" s="158"/>
      <c r="B732" s="158"/>
      <c r="C732" s="158"/>
      <c r="D732" s="158"/>
      <c r="E732" s="158"/>
      <c r="F732" s="158"/>
      <c r="G732" s="158"/>
      <c r="H732" s="158"/>
      <c r="I732" s="145"/>
      <c r="J732" s="158"/>
      <c r="K732" s="158"/>
      <c r="L732" s="126"/>
      <c r="M732" s="126"/>
      <c r="N732" s="126"/>
      <c r="O732" s="126"/>
      <c r="P732" s="126"/>
      <c r="Q732" s="126"/>
      <c r="R732" s="126"/>
      <c r="S732" s="126"/>
      <c r="T732" s="126"/>
      <c r="U732" s="126"/>
      <c r="V732" s="126"/>
      <c r="W732" s="126"/>
      <c r="X732" s="126"/>
      <c r="Y732" s="126"/>
      <c r="Z732" s="126"/>
      <c r="AA732" s="126"/>
      <c r="AB732" s="126"/>
      <c r="AC732" s="126"/>
      <c r="AD732" s="126"/>
      <c r="AE732" s="126"/>
      <c r="AF732" s="126"/>
      <c r="AG732" s="126"/>
      <c r="AH732" s="126"/>
      <c r="AI732" s="126"/>
      <c r="AJ732" s="126"/>
      <c r="AK732" s="126"/>
      <c r="AL732" s="126"/>
      <c r="AM732" s="126"/>
      <c r="AN732" s="126"/>
      <c r="AO732" s="126"/>
    </row>
    <row r="733">
      <c r="A733" s="158"/>
      <c r="B733" s="158"/>
      <c r="C733" s="158"/>
      <c r="D733" s="158"/>
      <c r="E733" s="158"/>
      <c r="F733" s="158"/>
      <c r="G733" s="158"/>
      <c r="H733" s="158"/>
      <c r="I733" s="145"/>
      <c r="J733" s="158"/>
      <c r="K733" s="158"/>
      <c r="L733" s="126"/>
      <c r="M733" s="126"/>
      <c r="N733" s="126"/>
      <c r="O733" s="126"/>
      <c r="P733" s="126"/>
      <c r="Q733" s="126"/>
      <c r="R733" s="126"/>
      <c r="S733" s="126"/>
      <c r="T733" s="126"/>
      <c r="U733" s="126"/>
      <c r="V733" s="126"/>
      <c r="W733" s="126"/>
      <c r="X733" s="126"/>
      <c r="Y733" s="126"/>
      <c r="Z733" s="126"/>
      <c r="AA733" s="126"/>
      <c r="AB733" s="126"/>
      <c r="AC733" s="126"/>
      <c r="AD733" s="126"/>
      <c r="AE733" s="126"/>
      <c r="AF733" s="126"/>
      <c r="AG733" s="126"/>
      <c r="AH733" s="126"/>
      <c r="AI733" s="126"/>
      <c r="AJ733" s="126"/>
      <c r="AK733" s="126"/>
      <c r="AL733" s="126"/>
      <c r="AM733" s="126"/>
      <c r="AN733" s="126"/>
      <c r="AO733" s="126"/>
    </row>
    <row r="734">
      <c r="A734" s="158"/>
      <c r="B734" s="158"/>
      <c r="C734" s="158"/>
      <c r="D734" s="158"/>
      <c r="E734" s="158"/>
      <c r="F734" s="158"/>
      <c r="G734" s="158"/>
      <c r="H734" s="158"/>
      <c r="I734" s="145"/>
      <c r="J734" s="158"/>
      <c r="K734" s="158"/>
      <c r="L734" s="126"/>
      <c r="M734" s="126"/>
      <c r="N734" s="126"/>
      <c r="O734" s="126"/>
      <c r="P734" s="126"/>
      <c r="Q734" s="126"/>
      <c r="R734" s="126"/>
      <c r="S734" s="126"/>
      <c r="T734" s="126"/>
      <c r="U734" s="126"/>
      <c r="V734" s="126"/>
      <c r="W734" s="126"/>
      <c r="X734" s="126"/>
      <c r="Y734" s="126"/>
      <c r="Z734" s="126"/>
      <c r="AA734" s="126"/>
      <c r="AB734" s="126"/>
      <c r="AC734" s="126"/>
      <c r="AD734" s="126"/>
      <c r="AE734" s="126"/>
      <c r="AF734" s="126"/>
      <c r="AG734" s="126"/>
      <c r="AH734" s="126"/>
      <c r="AI734" s="126"/>
      <c r="AJ734" s="126"/>
      <c r="AK734" s="126"/>
      <c r="AL734" s="126"/>
      <c r="AM734" s="126"/>
      <c r="AN734" s="126"/>
      <c r="AO734" s="126"/>
    </row>
    <row r="735">
      <c r="A735" s="158"/>
      <c r="B735" s="158"/>
      <c r="C735" s="158"/>
      <c r="D735" s="158"/>
      <c r="E735" s="158"/>
      <c r="F735" s="158"/>
      <c r="G735" s="158"/>
      <c r="H735" s="158"/>
      <c r="I735" s="145"/>
      <c r="J735" s="158"/>
      <c r="K735" s="158"/>
      <c r="L735" s="126"/>
      <c r="M735" s="126"/>
      <c r="N735" s="126"/>
      <c r="O735" s="126"/>
      <c r="P735" s="126"/>
      <c r="Q735" s="126"/>
      <c r="R735" s="126"/>
      <c r="S735" s="126"/>
      <c r="T735" s="126"/>
      <c r="U735" s="126"/>
      <c r="V735" s="126"/>
      <c r="W735" s="126"/>
      <c r="X735" s="126"/>
      <c r="Y735" s="126"/>
      <c r="Z735" s="126"/>
      <c r="AA735" s="126"/>
      <c r="AB735" s="126"/>
      <c r="AC735" s="126"/>
      <c r="AD735" s="126"/>
      <c r="AE735" s="126"/>
      <c r="AF735" s="126"/>
      <c r="AG735" s="126"/>
      <c r="AH735" s="126"/>
      <c r="AI735" s="126"/>
      <c r="AJ735" s="126"/>
      <c r="AK735" s="126"/>
      <c r="AL735" s="126"/>
      <c r="AM735" s="126"/>
      <c r="AN735" s="126"/>
      <c r="AO735" s="126"/>
    </row>
    <row r="736">
      <c r="A736" s="158"/>
      <c r="B736" s="158"/>
      <c r="C736" s="158"/>
      <c r="D736" s="158"/>
      <c r="E736" s="158"/>
      <c r="F736" s="158"/>
      <c r="G736" s="158"/>
      <c r="H736" s="158"/>
      <c r="I736" s="145"/>
      <c r="J736" s="158"/>
      <c r="K736" s="158"/>
      <c r="L736" s="126"/>
      <c r="M736" s="126"/>
      <c r="N736" s="126"/>
      <c r="O736" s="126"/>
      <c r="P736" s="126"/>
      <c r="Q736" s="126"/>
      <c r="R736" s="126"/>
      <c r="S736" s="126"/>
      <c r="T736" s="126"/>
      <c r="U736" s="126"/>
      <c r="V736" s="126"/>
      <c r="W736" s="126"/>
      <c r="X736" s="126"/>
      <c r="Y736" s="126"/>
      <c r="Z736" s="126"/>
      <c r="AA736" s="126"/>
      <c r="AB736" s="126"/>
      <c r="AC736" s="126"/>
      <c r="AD736" s="126"/>
      <c r="AE736" s="126"/>
      <c r="AF736" s="126"/>
      <c r="AG736" s="126"/>
      <c r="AH736" s="126"/>
      <c r="AI736" s="126"/>
      <c r="AJ736" s="126"/>
      <c r="AK736" s="126"/>
      <c r="AL736" s="126"/>
      <c r="AM736" s="126"/>
      <c r="AN736" s="126"/>
      <c r="AO736" s="126"/>
    </row>
    <row r="737">
      <c r="A737" s="158"/>
      <c r="B737" s="158"/>
      <c r="C737" s="158"/>
      <c r="D737" s="158"/>
      <c r="E737" s="158"/>
      <c r="F737" s="158"/>
      <c r="G737" s="158"/>
      <c r="H737" s="158"/>
      <c r="I737" s="145"/>
      <c r="J737" s="158"/>
      <c r="K737" s="158"/>
      <c r="L737" s="126"/>
      <c r="M737" s="126"/>
      <c r="N737" s="126"/>
      <c r="O737" s="126"/>
      <c r="P737" s="126"/>
      <c r="Q737" s="126"/>
      <c r="R737" s="126"/>
      <c r="S737" s="126"/>
      <c r="T737" s="126"/>
      <c r="U737" s="126"/>
      <c r="V737" s="126"/>
      <c r="W737" s="126"/>
      <c r="X737" s="126"/>
      <c r="Y737" s="126"/>
      <c r="Z737" s="126"/>
      <c r="AA737" s="126"/>
      <c r="AB737" s="126"/>
      <c r="AC737" s="126"/>
      <c r="AD737" s="126"/>
      <c r="AE737" s="126"/>
      <c r="AF737" s="126"/>
      <c r="AG737" s="126"/>
      <c r="AH737" s="126"/>
      <c r="AI737" s="126"/>
      <c r="AJ737" s="126"/>
      <c r="AK737" s="126"/>
      <c r="AL737" s="126"/>
      <c r="AM737" s="126"/>
      <c r="AN737" s="126"/>
      <c r="AO737" s="126"/>
    </row>
    <row r="738">
      <c r="A738" s="158"/>
      <c r="B738" s="158"/>
      <c r="C738" s="158"/>
      <c r="D738" s="158"/>
      <c r="E738" s="158"/>
      <c r="F738" s="158"/>
      <c r="G738" s="158"/>
      <c r="H738" s="158"/>
      <c r="I738" s="145"/>
      <c r="J738" s="158"/>
      <c r="K738" s="158"/>
      <c r="L738" s="126"/>
      <c r="M738" s="126"/>
      <c r="N738" s="126"/>
      <c r="O738" s="126"/>
      <c r="P738" s="126"/>
      <c r="Q738" s="126"/>
      <c r="R738" s="126"/>
      <c r="S738" s="126"/>
      <c r="T738" s="126"/>
      <c r="U738" s="126"/>
      <c r="V738" s="126"/>
      <c r="W738" s="126"/>
      <c r="X738" s="126"/>
      <c r="Y738" s="126"/>
      <c r="Z738" s="126"/>
      <c r="AA738" s="126"/>
      <c r="AB738" s="126"/>
      <c r="AC738" s="126"/>
      <c r="AD738" s="126"/>
      <c r="AE738" s="126"/>
      <c r="AF738" s="126"/>
      <c r="AG738" s="126"/>
      <c r="AH738" s="126"/>
      <c r="AI738" s="126"/>
      <c r="AJ738" s="126"/>
      <c r="AK738" s="126"/>
      <c r="AL738" s="126"/>
      <c r="AM738" s="126"/>
      <c r="AN738" s="126"/>
      <c r="AO738" s="126"/>
    </row>
    <row r="739">
      <c r="A739" s="158"/>
      <c r="B739" s="158"/>
      <c r="C739" s="158"/>
      <c r="D739" s="158"/>
      <c r="E739" s="158"/>
      <c r="F739" s="158"/>
      <c r="G739" s="158"/>
      <c r="H739" s="158"/>
      <c r="I739" s="145"/>
      <c r="J739" s="158"/>
      <c r="K739" s="158"/>
      <c r="L739" s="126"/>
      <c r="M739" s="126"/>
      <c r="N739" s="126"/>
      <c r="O739" s="126"/>
      <c r="P739" s="126"/>
      <c r="Q739" s="126"/>
      <c r="R739" s="126"/>
      <c r="S739" s="126"/>
      <c r="T739" s="126"/>
      <c r="U739" s="126"/>
      <c r="V739" s="126"/>
      <c r="W739" s="126"/>
      <c r="X739" s="126"/>
      <c r="Y739" s="126"/>
      <c r="Z739" s="126"/>
      <c r="AA739" s="126"/>
      <c r="AB739" s="126"/>
      <c r="AC739" s="126"/>
      <c r="AD739" s="126"/>
      <c r="AE739" s="126"/>
      <c r="AF739" s="126"/>
      <c r="AG739" s="126"/>
      <c r="AH739" s="126"/>
      <c r="AI739" s="126"/>
      <c r="AJ739" s="126"/>
      <c r="AK739" s="126"/>
      <c r="AL739" s="126"/>
      <c r="AM739" s="126"/>
      <c r="AN739" s="126"/>
      <c r="AO739" s="126"/>
    </row>
    <row r="740">
      <c r="A740" s="158"/>
      <c r="B740" s="158"/>
      <c r="C740" s="158"/>
      <c r="D740" s="158"/>
      <c r="E740" s="158"/>
      <c r="F740" s="158"/>
      <c r="G740" s="158"/>
      <c r="H740" s="158"/>
      <c r="I740" s="145"/>
      <c r="J740" s="158"/>
      <c r="K740" s="158"/>
      <c r="L740" s="126"/>
      <c r="M740" s="126"/>
      <c r="N740" s="126"/>
      <c r="O740" s="126"/>
      <c r="P740" s="126"/>
      <c r="Q740" s="126"/>
      <c r="R740" s="126"/>
      <c r="S740" s="126"/>
      <c r="T740" s="126"/>
      <c r="U740" s="126"/>
      <c r="V740" s="126"/>
      <c r="W740" s="126"/>
      <c r="X740" s="126"/>
      <c r="Y740" s="126"/>
      <c r="Z740" s="126"/>
      <c r="AA740" s="126"/>
      <c r="AB740" s="126"/>
      <c r="AC740" s="126"/>
      <c r="AD740" s="126"/>
      <c r="AE740" s="126"/>
      <c r="AF740" s="126"/>
      <c r="AG740" s="126"/>
      <c r="AH740" s="126"/>
      <c r="AI740" s="126"/>
      <c r="AJ740" s="126"/>
      <c r="AK740" s="126"/>
      <c r="AL740" s="126"/>
      <c r="AM740" s="126"/>
      <c r="AN740" s="126"/>
      <c r="AO740" s="126"/>
    </row>
    <row r="741">
      <c r="A741" s="158"/>
      <c r="B741" s="158"/>
      <c r="C741" s="158"/>
      <c r="D741" s="158"/>
      <c r="E741" s="158"/>
      <c r="F741" s="158"/>
      <c r="G741" s="158"/>
      <c r="H741" s="158"/>
      <c r="I741" s="145"/>
      <c r="J741" s="158"/>
      <c r="K741" s="158"/>
      <c r="L741" s="126"/>
      <c r="M741" s="126"/>
      <c r="N741" s="126"/>
      <c r="O741" s="126"/>
      <c r="P741" s="126"/>
      <c r="Q741" s="126"/>
      <c r="R741" s="126"/>
      <c r="S741" s="126"/>
      <c r="T741" s="126"/>
      <c r="U741" s="126"/>
      <c r="V741" s="126"/>
      <c r="W741" s="126"/>
      <c r="X741" s="126"/>
      <c r="Y741" s="126"/>
      <c r="Z741" s="126"/>
      <c r="AA741" s="126"/>
      <c r="AB741" s="126"/>
      <c r="AC741" s="126"/>
      <c r="AD741" s="126"/>
      <c r="AE741" s="126"/>
      <c r="AF741" s="126"/>
      <c r="AG741" s="126"/>
      <c r="AH741" s="126"/>
      <c r="AI741" s="126"/>
      <c r="AJ741" s="126"/>
      <c r="AK741" s="126"/>
      <c r="AL741" s="126"/>
      <c r="AM741" s="126"/>
      <c r="AN741" s="126"/>
      <c r="AO741" s="126"/>
    </row>
    <row r="742">
      <c r="A742" s="158"/>
      <c r="B742" s="158"/>
      <c r="C742" s="158"/>
      <c r="D742" s="158"/>
      <c r="E742" s="158"/>
      <c r="F742" s="158"/>
      <c r="G742" s="158"/>
      <c r="H742" s="158"/>
      <c r="I742" s="145"/>
      <c r="J742" s="158"/>
      <c r="K742" s="158"/>
      <c r="L742" s="126"/>
      <c r="M742" s="126"/>
      <c r="N742" s="126"/>
      <c r="O742" s="126"/>
      <c r="P742" s="126"/>
      <c r="Q742" s="126"/>
      <c r="R742" s="126"/>
      <c r="S742" s="126"/>
      <c r="T742" s="126"/>
      <c r="U742" s="126"/>
      <c r="V742" s="126"/>
      <c r="W742" s="126"/>
      <c r="X742" s="126"/>
      <c r="Y742" s="126"/>
      <c r="Z742" s="126"/>
      <c r="AA742" s="126"/>
      <c r="AB742" s="126"/>
      <c r="AC742" s="126"/>
      <c r="AD742" s="126"/>
      <c r="AE742" s="126"/>
      <c r="AF742" s="126"/>
      <c r="AG742" s="126"/>
      <c r="AH742" s="126"/>
      <c r="AI742" s="126"/>
      <c r="AJ742" s="126"/>
      <c r="AK742" s="126"/>
      <c r="AL742" s="126"/>
      <c r="AM742" s="126"/>
      <c r="AN742" s="126"/>
      <c r="AO742" s="126"/>
    </row>
    <row r="743">
      <c r="A743" s="158"/>
      <c r="B743" s="158"/>
      <c r="C743" s="158"/>
      <c r="D743" s="158"/>
      <c r="E743" s="158"/>
      <c r="F743" s="158"/>
      <c r="G743" s="158"/>
      <c r="H743" s="158"/>
      <c r="I743" s="145"/>
      <c r="J743" s="158"/>
      <c r="K743" s="158"/>
      <c r="L743" s="126"/>
      <c r="M743" s="126"/>
      <c r="N743" s="126"/>
      <c r="O743" s="126"/>
      <c r="P743" s="126"/>
      <c r="Q743" s="126"/>
      <c r="R743" s="126"/>
      <c r="S743" s="126"/>
      <c r="T743" s="126"/>
      <c r="U743" s="126"/>
      <c r="V743" s="126"/>
      <c r="W743" s="126"/>
      <c r="X743" s="126"/>
      <c r="Y743" s="126"/>
      <c r="Z743" s="126"/>
      <c r="AA743" s="126"/>
      <c r="AB743" s="126"/>
      <c r="AC743" s="126"/>
      <c r="AD743" s="126"/>
      <c r="AE743" s="126"/>
      <c r="AF743" s="126"/>
      <c r="AG743" s="126"/>
      <c r="AH743" s="126"/>
      <c r="AI743" s="126"/>
      <c r="AJ743" s="126"/>
      <c r="AK743" s="126"/>
      <c r="AL743" s="126"/>
      <c r="AM743" s="126"/>
      <c r="AN743" s="126"/>
      <c r="AO743" s="126"/>
    </row>
    <row r="744">
      <c r="A744" s="158"/>
      <c r="B744" s="158"/>
      <c r="C744" s="158"/>
      <c r="D744" s="158"/>
      <c r="E744" s="158"/>
      <c r="F744" s="158"/>
      <c r="G744" s="158"/>
      <c r="H744" s="158"/>
      <c r="I744" s="145"/>
      <c r="J744" s="158"/>
      <c r="K744" s="158"/>
      <c r="L744" s="126"/>
      <c r="M744" s="126"/>
      <c r="N744" s="126"/>
      <c r="O744" s="126"/>
      <c r="P744" s="126"/>
      <c r="Q744" s="126"/>
      <c r="R744" s="126"/>
      <c r="S744" s="126"/>
      <c r="T744" s="126"/>
      <c r="U744" s="126"/>
      <c r="V744" s="126"/>
      <c r="W744" s="126"/>
      <c r="X744" s="126"/>
      <c r="Y744" s="126"/>
      <c r="Z744" s="126"/>
      <c r="AA744" s="126"/>
      <c r="AB744" s="126"/>
      <c r="AC744" s="126"/>
      <c r="AD744" s="126"/>
      <c r="AE744" s="126"/>
      <c r="AF744" s="126"/>
      <c r="AG744" s="126"/>
      <c r="AH744" s="126"/>
      <c r="AI744" s="126"/>
      <c r="AJ744" s="126"/>
      <c r="AK744" s="126"/>
      <c r="AL744" s="126"/>
      <c r="AM744" s="126"/>
      <c r="AN744" s="126"/>
      <c r="AO744" s="126"/>
    </row>
    <row r="745">
      <c r="A745" s="158"/>
      <c r="B745" s="158"/>
      <c r="C745" s="158"/>
      <c r="D745" s="158"/>
      <c r="E745" s="158"/>
      <c r="F745" s="158"/>
      <c r="G745" s="158"/>
      <c r="H745" s="158"/>
      <c r="I745" s="145"/>
      <c r="J745" s="158"/>
      <c r="K745" s="158"/>
      <c r="L745" s="126"/>
      <c r="M745" s="126"/>
      <c r="N745" s="126"/>
      <c r="O745" s="126"/>
      <c r="P745" s="126"/>
      <c r="Q745" s="126"/>
      <c r="R745" s="126"/>
      <c r="S745" s="126"/>
      <c r="T745" s="126"/>
      <c r="U745" s="126"/>
      <c r="V745" s="126"/>
      <c r="W745" s="126"/>
      <c r="X745" s="126"/>
      <c r="Y745" s="126"/>
      <c r="Z745" s="126"/>
      <c r="AA745" s="126"/>
      <c r="AB745" s="126"/>
      <c r="AC745" s="126"/>
      <c r="AD745" s="126"/>
      <c r="AE745" s="126"/>
      <c r="AF745" s="126"/>
      <c r="AG745" s="126"/>
      <c r="AH745" s="126"/>
      <c r="AI745" s="126"/>
      <c r="AJ745" s="126"/>
      <c r="AK745" s="126"/>
      <c r="AL745" s="126"/>
      <c r="AM745" s="126"/>
      <c r="AN745" s="126"/>
      <c r="AO745" s="126"/>
    </row>
    <row r="746">
      <c r="A746" s="158"/>
      <c r="B746" s="158"/>
      <c r="C746" s="158"/>
      <c r="D746" s="158"/>
      <c r="E746" s="158"/>
      <c r="F746" s="158"/>
      <c r="G746" s="158"/>
      <c r="H746" s="158"/>
      <c r="I746" s="145"/>
      <c r="J746" s="158"/>
      <c r="K746" s="158"/>
      <c r="L746" s="126"/>
      <c r="M746" s="126"/>
      <c r="N746" s="126"/>
      <c r="O746" s="126"/>
      <c r="P746" s="126"/>
      <c r="Q746" s="126"/>
      <c r="R746" s="126"/>
      <c r="S746" s="126"/>
      <c r="T746" s="126"/>
      <c r="U746" s="126"/>
      <c r="V746" s="126"/>
      <c r="W746" s="126"/>
      <c r="X746" s="126"/>
      <c r="Y746" s="126"/>
      <c r="Z746" s="126"/>
      <c r="AA746" s="126"/>
      <c r="AB746" s="126"/>
      <c r="AC746" s="126"/>
      <c r="AD746" s="126"/>
      <c r="AE746" s="126"/>
      <c r="AF746" s="126"/>
      <c r="AG746" s="126"/>
      <c r="AH746" s="126"/>
      <c r="AI746" s="126"/>
      <c r="AJ746" s="126"/>
      <c r="AK746" s="126"/>
      <c r="AL746" s="126"/>
      <c r="AM746" s="126"/>
      <c r="AN746" s="126"/>
      <c r="AO746" s="126"/>
    </row>
    <row r="747">
      <c r="A747" s="158"/>
      <c r="B747" s="158"/>
      <c r="C747" s="158"/>
      <c r="D747" s="158"/>
      <c r="E747" s="158"/>
      <c r="F747" s="158"/>
      <c r="G747" s="158"/>
      <c r="H747" s="158"/>
      <c r="I747" s="145"/>
      <c r="J747" s="158"/>
      <c r="K747" s="158"/>
      <c r="L747" s="126"/>
      <c r="M747" s="126"/>
      <c r="N747" s="126"/>
      <c r="O747" s="126"/>
      <c r="P747" s="126"/>
      <c r="Q747" s="126"/>
      <c r="R747" s="126"/>
      <c r="S747" s="126"/>
      <c r="T747" s="126"/>
      <c r="U747" s="126"/>
      <c r="V747" s="126"/>
      <c r="W747" s="126"/>
      <c r="X747" s="126"/>
      <c r="Y747" s="126"/>
      <c r="Z747" s="126"/>
      <c r="AA747" s="126"/>
      <c r="AB747" s="126"/>
      <c r="AC747" s="126"/>
      <c r="AD747" s="126"/>
      <c r="AE747" s="126"/>
      <c r="AF747" s="126"/>
      <c r="AG747" s="126"/>
      <c r="AH747" s="126"/>
      <c r="AI747" s="126"/>
      <c r="AJ747" s="126"/>
      <c r="AK747" s="126"/>
      <c r="AL747" s="126"/>
      <c r="AM747" s="126"/>
      <c r="AN747" s="126"/>
      <c r="AO747" s="126"/>
    </row>
    <row r="748">
      <c r="A748" s="158"/>
      <c r="B748" s="158"/>
      <c r="C748" s="158"/>
      <c r="D748" s="158"/>
      <c r="E748" s="158"/>
      <c r="F748" s="158"/>
      <c r="G748" s="158"/>
      <c r="H748" s="158"/>
      <c r="I748" s="145"/>
      <c r="J748" s="158"/>
      <c r="K748" s="158"/>
      <c r="L748" s="126"/>
      <c r="M748" s="126"/>
      <c r="N748" s="126"/>
      <c r="O748" s="126"/>
      <c r="P748" s="126"/>
      <c r="Q748" s="126"/>
      <c r="R748" s="126"/>
      <c r="S748" s="126"/>
      <c r="T748" s="126"/>
      <c r="U748" s="126"/>
      <c r="V748" s="126"/>
      <c r="W748" s="126"/>
      <c r="X748" s="126"/>
      <c r="Y748" s="126"/>
      <c r="Z748" s="126"/>
      <c r="AA748" s="126"/>
      <c r="AB748" s="126"/>
      <c r="AC748" s="126"/>
      <c r="AD748" s="126"/>
      <c r="AE748" s="126"/>
      <c r="AF748" s="126"/>
      <c r="AG748" s="126"/>
      <c r="AH748" s="126"/>
      <c r="AI748" s="126"/>
      <c r="AJ748" s="126"/>
      <c r="AK748" s="126"/>
      <c r="AL748" s="126"/>
      <c r="AM748" s="126"/>
      <c r="AN748" s="126"/>
      <c r="AO748" s="126"/>
    </row>
    <row r="749">
      <c r="A749" s="158"/>
      <c r="B749" s="158"/>
      <c r="C749" s="158"/>
      <c r="D749" s="158"/>
      <c r="E749" s="158"/>
      <c r="F749" s="158"/>
      <c r="G749" s="158"/>
      <c r="H749" s="158"/>
      <c r="I749" s="145"/>
      <c r="J749" s="158"/>
      <c r="K749" s="158"/>
      <c r="L749" s="126"/>
      <c r="M749" s="126"/>
      <c r="N749" s="126"/>
      <c r="O749" s="126"/>
      <c r="P749" s="126"/>
      <c r="Q749" s="126"/>
      <c r="R749" s="126"/>
      <c r="S749" s="126"/>
      <c r="T749" s="126"/>
      <c r="U749" s="126"/>
      <c r="V749" s="126"/>
      <c r="W749" s="126"/>
      <c r="X749" s="126"/>
      <c r="Y749" s="126"/>
      <c r="Z749" s="126"/>
      <c r="AA749" s="126"/>
      <c r="AB749" s="126"/>
      <c r="AC749" s="126"/>
      <c r="AD749" s="126"/>
      <c r="AE749" s="126"/>
      <c r="AF749" s="126"/>
      <c r="AG749" s="126"/>
      <c r="AH749" s="126"/>
      <c r="AI749" s="126"/>
      <c r="AJ749" s="126"/>
      <c r="AK749" s="126"/>
      <c r="AL749" s="126"/>
      <c r="AM749" s="126"/>
      <c r="AN749" s="126"/>
      <c r="AO749" s="126"/>
    </row>
    <row r="750">
      <c r="A750" s="158"/>
      <c r="B750" s="158"/>
      <c r="C750" s="158"/>
      <c r="D750" s="158"/>
      <c r="E750" s="158"/>
      <c r="F750" s="158"/>
      <c r="G750" s="158"/>
      <c r="H750" s="158"/>
      <c r="I750" s="145"/>
      <c r="J750" s="158"/>
      <c r="K750" s="158"/>
      <c r="L750" s="126"/>
      <c r="M750" s="126"/>
      <c r="N750" s="126"/>
      <c r="O750" s="126"/>
      <c r="P750" s="126"/>
      <c r="Q750" s="126"/>
      <c r="R750" s="126"/>
      <c r="S750" s="126"/>
      <c r="T750" s="126"/>
      <c r="U750" s="126"/>
      <c r="V750" s="126"/>
      <c r="W750" s="126"/>
      <c r="X750" s="126"/>
      <c r="Y750" s="126"/>
      <c r="Z750" s="126"/>
      <c r="AA750" s="126"/>
      <c r="AB750" s="126"/>
      <c r="AC750" s="126"/>
      <c r="AD750" s="126"/>
      <c r="AE750" s="126"/>
      <c r="AF750" s="126"/>
      <c r="AG750" s="126"/>
      <c r="AH750" s="126"/>
      <c r="AI750" s="126"/>
      <c r="AJ750" s="126"/>
      <c r="AK750" s="126"/>
      <c r="AL750" s="126"/>
      <c r="AM750" s="126"/>
      <c r="AN750" s="126"/>
      <c r="AO750" s="126"/>
    </row>
    <row r="751">
      <c r="A751" s="158"/>
      <c r="B751" s="158"/>
      <c r="C751" s="158"/>
      <c r="D751" s="158"/>
      <c r="E751" s="158"/>
      <c r="F751" s="158"/>
      <c r="G751" s="158"/>
      <c r="H751" s="158"/>
      <c r="I751" s="145"/>
      <c r="J751" s="158"/>
      <c r="K751" s="158"/>
      <c r="L751" s="126"/>
      <c r="M751" s="126"/>
      <c r="N751" s="126"/>
      <c r="O751" s="126"/>
      <c r="P751" s="126"/>
      <c r="Q751" s="126"/>
      <c r="R751" s="126"/>
      <c r="S751" s="126"/>
      <c r="T751" s="126"/>
      <c r="U751" s="126"/>
      <c r="V751" s="126"/>
      <c r="W751" s="126"/>
      <c r="X751" s="126"/>
      <c r="Y751" s="126"/>
      <c r="Z751" s="126"/>
      <c r="AA751" s="126"/>
      <c r="AB751" s="126"/>
      <c r="AC751" s="126"/>
      <c r="AD751" s="126"/>
      <c r="AE751" s="126"/>
      <c r="AF751" s="126"/>
      <c r="AG751" s="126"/>
      <c r="AH751" s="126"/>
      <c r="AI751" s="126"/>
      <c r="AJ751" s="126"/>
      <c r="AK751" s="126"/>
      <c r="AL751" s="126"/>
      <c r="AM751" s="126"/>
      <c r="AN751" s="126"/>
      <c r="AO751" s="126"/>
    </row>
    <row r="752">
      <c r="A752" s="158"/>
      <c r="B752" s="158"/>
      <c r="C752" s="158"/>
      <c r="D752" s="158"/>
      <c r="E752" s="158"/>
      <c r="F752" s="158"/>
      <c r="G752" s="158"/>
      <c r="H752" s="158"/>
      <c r="I752" s="145"/>
      <c r="J752" s="158"/>
      <c r="K752" s="158"/>
      <c r="L752" s="126"/>
      <c r="M752" s="126"/>
      <c r="N752" s="126"/>
      <c r="O752" s="126"/>
      <c r="P752" s="126"/>
      <c r="Q752" s="126"/>
      <c r="R752" s="126"/>
      <c r="S752" s="126"/>
      <c r="T752" s="126"/>
      <c r="U752" s="126"/>
      <c r="V752" s="126"/>
      <c r="W752" s="126"/>
      <c r="X752" s="126"/>
      <c r="Y752" s="126"/>
      <c r="Z752" s="126"/>
      <c r="AA752" s="126"/>
      <c r="AB752" s="126"/>
      <c r="AC752" s="126"/>
      <c r="AD752" s="126"/>
      <c r="AE752" s="126"/>
      <c r="AF752" s="126"/>
      <c r="AG752" s="126"/>
      <c r="AH752" s="126"/>
      <c r="AI752" s="126"/>
      <c r="AJ752" s="126"/>
      <c r="AK752" s="126"/>
      <c r="AL752" s="126"/>
      <c r="AM752" s="126"/>
      <c r="AN752" s="126"/>
      <c r="AO752" s="126"/>
    </row>
    <row r="753">
      <c r="A753" s="158"/>
      <c r="B753" s="158"/>
      <c r="C753" s="158"/>
      <c r="D753" s="158"/>
      <c r="E753" s="158"/>
      <c r="F753" s="158"/>
      <c r="G753" s="158"/>
      <c r="H753" s="158"/>
      <c r="I753" s="145"/>
      <c r="J753" s="158"/>
      <c r="K753" s="158"/>
      <c r="L753" s="126"/>
      <c r="M753" s="126"/>
      <c r="N753" s="126"/>
      <c r="O753" s="126"/>
      <c r="P753" s="126"/>
      <c r="Q753" s="126"/>
      <c r="R753" s="126"/>
      <c r="S753" s="126"/>
      <c r="T753" s="126"/>
      <c r="U753" s="126"/>
      <c r="V753" s="126"/>
      <c r="W753" s="126"/>
      <c r="X753" s="126"/>
      <c r="Y753" s="126"/>
      <c r="Z753" s="126"/>
      <c r="AA753" s="126"/>
      <c r="AB753" s="126"/>
      <c r="AC753" s="126"/>
      <c r="AD753" s="126"/>
      <c r="AE753" s="126"/>
      <c r="AF753" s="126"/>
      <c r="AG753" s="126"/>
      <c r="AH753" s="126"/>
      <c r="AI753" s="126"/>
      <c r="AJ753" s="126"/>
      <c r="AK753" s="126"/>
      <c r="AL753" s="126"/>
      <c r="AM753" s="126"/>
      <c r="AN753" s="126"/>
      <c r="AO753" s="126"/>
    </row>
    <row r="754">
      <c r="A754" s="158"/>
      <c r="B754" s="158"/>
      <c r="C754" s="158"/>
      <c r="D754" s="158"/>
      <c r="E754" s="158"/>
      <c r="F754" s="158"/>
      <c r="G754" s="158"/>
      <c r="H754" s="158"/>
      <c r="I754" s="145"/>
      <c r="J754" s="158"/>
      <c r="K754" s="158"/>
      <c r="L754" s="126"/>
      <c r="M754" s="126"/>
      <c r="N754" s="126"/>
      <c r="O754" s="126"/>
      <c r="P754" s="126"/>
      <c r="Q754" s="126"/>
      <c r="R754" s="126"/>
      <c r="S754" s="126"/>
      <c r="T754" s="126"/>
      <c r="U754" s="126"/>
      <c r="V754" s="126"/>
      <c r="W754" s="126"/>
      <c r="X754" s="126"/>
      <c r="Y754" s="126"/>
      <c r="Z754" s="126"/>
      <c r="AA754" s="126"/>
      <c r="AB754" s="126"/>
      <c r="AC754" s="126"/>
      <c r="AD754" s="126"/>
      <c r="AE754" s="126"/>
      <c r="AF754" s="126"/>
      <c r="AG754" s="126"/>
      <c r="AH754" s="126"/>
      <c r="AI754" s="126"/>
      <c r="AJ754" s="126"/>
      <c r="AK754" s="126"/>
      <c r="AL754" s="126"/>
      <c r="AM754" s="126"/>
      <c r="AN754" s="126"/>
      <c r="AO754" s="126"/>
    </row>
    <row r="755">
      <c r="A755" s="158"/>
      <c r="B755" s="158"/>
      <c r="C755" s="158"/>
      <c r="D755" s="158"/>
      <c r="E755" s="158"/>
      <c r="F755" s="158"/>
      <c r="G755" s="158"/>
      <c r="H755" s="158"/>
      <c r="I755" s="145"/>
      <c r="J755" s="158"/>
      <c r="K755" s="158"/>
      <c r="L755" s="126"/>
      <c r="M755" s="126"/>
      <c r="N755" s="126"/>
      <c r="O755" s="126"/>
      <c r="P755" s="126"/>
      <c r="Q755" s="126"/>
      <c r="R755" s="126"/>
      <c r="S755" s="126"/>
      <c r="T755" s="126"/>
      <c r="U755" s="126"/>
      <c r="V755" s="126"/>
      <c r="W755" s="126"/>
      <c r="X755" s="126"/>
      <c r="Y755" s="126"/>
      <c r="Z755" s="126"/>
      <c r="AA755" s="126"/>
      <c r="AB755" s="126"/>
      <c r="AC755" s="126"/>
      <c r="AD755" s="126"/>
      <c r="AE755" s="126"/>
      <c r="AF755" s="126"/>
      <c r="AG755" s="126"/>
      <c r="AH755" s="126"/>
      <c r="AI755" s="126"/>
      <c r="AJ755" s="126"/>
      <c r="AK755" s="126"/>
      <c r="AL755" s="126"/>
      <c r="AM755" s="126"/>
      <c r="AN755" s="126"/>
      <c r="AO755" s="126"/>
    </row>
    <row r="756">
      <c r="A756" s="158"/>
      <c r="B756" s="158"/>
      <c r="C756" s="158"/>
      <c r="D756" s="158"/>
      <c r="E756" s="158"/>
      <c r="F756" s="158"/>
      <c r="G756" s="158"/>
      <c r="H756" s="158"/>
      <c r="I756" s="145"/>
      <c r="J756" s="158"/>
      <c r="K756" s="158"/>
      <c r="L756" s="126"/>
      <c r="M756" s="126"/>
      <c r="N756" s="126"/>
      <c r="O756" s="126"/>
      <c r="P756" s="126"/>
      <c r="Q756" s="126"/>
      <c r="R756" s="126"/>
      <c r="S756" s="126"/>
      <c r="T756" s="126"/>
      <c r="U756" s="126"/>
      <c r="V756" s="126"/>
      <c r="W756" s="126"/>
      <c r="X756" s="126"/>
      <c r="Y756" s="126"/>
      <c r="Z756" s="126"/>
      <c r="AA756" s="126"/>
      <c r="AB756" s="126"/>
      <c r="AC756" s="126"/>
      <c r="AD756" s="126"/>
      <c r="AE756" s="126"/>
      <c r="AF756" s="126"/>
      <c r="AG756" s="126"/>
      <c r="AH756" s="126"/>
      <c r="AI756" s="126"/>
      <c r="AJ756" s="126"/>
      <c r="AK756" s="126"/>
      <c r="AL756" s="126"/>
      <c r="AM756" s="126"/>
      <c r="AN756" s="126"/>
      <c r="AO756" s="126"/>
    </row>
    <row r="757">
      <c r="A757" s="158"/>
      <c r="B757" s="158"/>
      <c r="C757" s="158"/>
      <c r="D757" s="158"/>
      <c r="E757" s="158"/>
      <c r="F757" s="158"/>
      <c r="G757" s="158"/>
      <c r="H757" s="158"/>
      <c r="I757" s="145"/>
      <c r="J757" s="158"/>
      <c r="K757" s="158"/>
      <c r="L757" s="126"/>
      <c r="M757" s="126"/>
      <c r="N757" s="126"/>
      <c r="O757" s="126"/>
      <c r="P757" s="126"/>
      <c r="Q757" s="126"/>
      <c r="R757" s="126"/>
      <c r="S757" s="126"/>
      <c r="T757" s="126"/>
      <c r="U757" s="126"/>
      <c r="V757" s="126"/>
      <c r="W757" s="126"/>
      <c r="X757" s="126"/>
      <c r="Y757" s="126"/>
      <c r="Z757" s="126"/>
      <c r="AA757" s="126"/>
      <c r="AB757" s="126"/>
      <c r="AC757" s="126"/>
      <c r="AD757" s="126"/>
      <c r="AE757" s="126"/>
      <c r="AF757" s="126"/>
      <c r="AG757" s="126"/>
      <c r="AH757" s="126"/>
      <c r="AI757" s="126"/>
      <c r="AJ757" s="126"/>
      <c r="AK757" s="126"/>
      <c r="AL757" s="126"/>
      <c r="AM757" s="126"/>
      <c r="AN757" s="126"/>
      <c r="AO757" s="126"/>
    </row>
    <row r="758">
      <c r="A758" s="158"/>
      <c r="B758" s="158"/>
      <c r="C758" s="158"/>
      <c r="D758" s="158"/>
      <c r="E758" s="158"/>
      <c r="F758" s="158"/>
      <c r="G758" s="158"/>
      <c r="H758" s="158"/>
      <c r="I758" s="145"/>
      <c r="J758" s="158"/>
      <c r="K758" s="158"/>
      <c r="L758" s="126"/>
      <c r="M758" s="126"/>
      <c r="N758" s="126"/>
      <c r="O758" s="126"/>
      <c r="P758" s="126"/>
      <c r="Q758" s="126"/>
      <c r="R758" s="126"/>
      <c r="S758" s="126"/>
      <c r="T758" s="126"/>
      <c r="U758" s="126"/>
      <c r="V758" s="126"/>
      <c r="W758" s="126"/>
      <c r="X758" s="126"/>
      <c r="Y758" s="126"/>
      <c r="Z758" s="126"/>
      <c r="AA758" s="126"/>
      <c r="AB758" s="126"/>
      <c r="AC758" s="126"/>
      <c r="AD758" s="126"/>
      <c r="AE758" s="126"/>
      <c r="AF758" s="126"/>
      <c r="AG758" s="126"/>
      <c r="AH758" s="126"/>
      <c r="AI758" s="126"/>
      <c r="AJ758" s="126"/>
      <c r="AK758" s="126"/>
      <c r="AL758" s="126"/>
      <c r="AM758" s="126"/>
      <c r="AN758" s="126"/>
      <c r="AO758" s="126"/>
    </row>
    <row r="759">
      <c r="A759" s="158"/>
      <c r="B759" s="158"/>
      <c r="C759" s="158"/>
      <c r="D759" s="158"/>
      <c r="E759" s="158"/>
      <c r="F759" s="158"/>
      <c r="G759" s="158"/>
      <c r="H759" s="158"/>
      <c r="I759" s="145"/>
      <c r="J759" s="158"/>
      <c r="K759" s="158"/>
      <c r="L759" s="126"/>
      <c r="M759" s="126"/>
      <c r="N759" s="126"/>
      <c r="O759" s="126"/>
      <c r="P759" s="126"/>
      <c r="Q759" s="126"/>
      <c r="R759" s="126"/>
      <c r="S759" s="126"/>
      <c r="T759" s="126"/>
      <c r="U759" s="126"/>
      <c r="V759" s="126"/>
      <c r="W759" s="126"/>
      <c r="X759" s="126"/>
      <c r="Y759" s="126"/>
      <c r="Z759" s="126"/>
      <c r="AA759" s="126"/>
      <c r="AB759" s="126"/>
      <c r="AC759" s="126"/>
      <c r="AD759" s="126"/>
      <c r="AE759" s="126"/>
      <c r="AF759" s="126"/>
      <c r="AG759" s="126"/>
      <c r="AH759" s="126"/>
      <c r="AI759" s="126"/>
      <c r="AJ759" s="126"/>
      <c r="AK759" s="126"/>
      <c r="AL759" s="126"/>
      <c r="AM759" s="126"/>
      <c r="AN759" s="126"/>
      <c r="AO759" s="126"/>
    </row>
    <row r="760">
      <c r="A760" s="158"/>
      <c r="B760" s="158"/>
      <c r="C760" s="158"/>
      <c r="D760" s="158"/>
      <c r="E760" s="158"/>
      <c r="F760" s="158"/>
      <c r="G760" s="158"/>
      <c r="H760" s="158"/>
      <c r="I760" s="145"/>
      <c r="J760" s="158"/>
      <c r="K760" s="158"/>
      <c r="L760" s="126"/>
      <c r="M760" s="126"/>
      <c r="N760" s="126"/>
      <c r="O760" s="126"/>
      <c r="P760" s="126"/>
      <c r="Q760" s="126"/>
      <c r="R760" s="126"/>
      <c r="S760" s="126"/>
      <c r="T760" s="126"/>
      <c r="U760" s="126"/>
      <c r="V760" s="126"/>
      <c r="W760" s="126"/>
      <c r="X760" s="126"/>
      <c r="Y760" s="126"/>
      <c r="Z760" s="126"/>
      <c r="AA760" s="126"/>
      <c r="AB760" s="126"/>
      <c r="AC760" s="126"/>
      <c r="AD760" s="126"/>
      <c r="AE760" s="126"/>
      <c r="AF760" s="126"/>
      <c r="AG760" s="126"/>
      <c r="AH760" s="126"/>
      <c r="AI760" s="126"/>
      <c r="AJ760" s="126"/>
      <c r="AK760" s="126"/>
      <c r="AL760" s="126"/>
      <c r="AM760" s="126"/>
      <c r="AN760" s="126"/>
      <c r="AO760" s="126"/>
    </row>
    <row r="761">
      <c r="A761" s="158"/>
      <c r="B761" s="158"/>
      <c r="C761" s="158"/>
      <c r="D761" s="158"/>
      <c r="E761" s="158"/>
      <c r="F761" s="158"/>
      <c r="G761" s="158"/>
      <c r="H761" s="158"/>
      <c r="I761" s="145"/>
      <c r="J761" s="158"/>
      <c r="K761" s="158"/>
      <c r="L761" s="126"/>
      <c r="M761" s="126"/>
      <c r="N761" s="126"/>
      <c r="O761" s="126"/>
      <c r="P761" s="126"/>
      <c r="Q761" s="126"/>
      <c r="R761" s="126"/>
      <c r="S761" s="126"/>
      <c r="T761" s="126"/>
      <c r="U761" s="126"/>
      <c r="V761" s="126"/>
      <c r="W761" s="126"/>
      <c r="X761" s="126"/>
      <c r="Y761" s="126"/>
      <c r="Z761" s="126"/>
      <c r="AA761" s="126"/>
      <c r="AB761" s="126"/>
      <c r="AC761" s="126"/>
      <c r="AD761" s="126"/>
      <c r="AE761" s="126"/>
      <c r="AF761" s="126"/>
      <c r="AG761" s="126"/>
      <c r="AH761" s="126"/>
      <c r="AI761" s="126"/>
      <c r="AJ761" s="126"/>
      <c r="AK761" s="126"/>
      <c r="AL761" s="126"/>
      <c r="AM761" s="126"/>
      <c r="AN761" s="126"/>
      <c r="AO761" s="126"/>
    </row>
    <row r="762">
      <c r="A762" s="158"/>
      <c r="B762" s="158"/>
      <c r="C762" s="158"/>
      <c r="D762" s="158"/>
      <c r="E762" s="158"/>
      <c r="F762" s="158"/>
      <c r="G762" s="158"/>
      <c r="H762" s="158"/>
      <c r="I762" s="145"/>
      <c r="J762" s="158"/>
      <c r="K762" s="158"/>
      <c r="L762" s="126"/>
      <c r="M762" s="126"/>
      <c r="N762" s="126"/>
      <c r="O762" s="126"/>
      <c r="P762" s="126"/>
      <c r="Q762" s="126"/>
      <c r="R762" s="126"/>
      <c r="S762" s="126"/>
      <c r="T762" s="126"/>
      <c r="U762" s="126"/>
      <c r="V762" s="126"/>
      <c r="W762" s="126"/>
      <c r="X762" s="126"/>
      <c r="Y762" s="126"/>
      <c r="Z762" s="126"/>
      <c r="AA762" s="126"/>
      <c r="AB762" s="126"/>
      <c r="AC762" s="126"/>
      <c r="AD762" s="126"/>
      <c r="AE762" s="126"/>
      <c r="AF762" s="126"/>
      <c r="AG762" s="126"/>
      <c r="AH762" s="126"/>
      <c r="AI762" s="126"/>
      <c r="AJ762" s="126"/>
      <c r="AK762" s="126"/>
      <c r="AL762" s="126"/>
      <c r="AM762" s="126"/>
      <c r="AN762" s="126"/>
      <c r="AO762" s="126"/>
    </row>
    <row r="763">
      <c r="A763" s="158"/>
      <c r="B763" s="158"/>
      <c r="C763" s="158"/>
      <c r="D763" s="158"/>
      <c r="E763" s="158"/>
      <c r="F763" s="158"/>
      <c r="G763" s="158"/>
      <c r="H763" s="158"/>
      <c r="I763" s="145"/>
      <c r="J763" s="158"/>
      <c r="K763" s="158"/>
      <c r="L763" s="126"/>
      <c r="M763" s="126"/>
      <c r="N763" s="126"/>
      <c r="O763" s="126"/>
      <c r="P763" s="126"/>
      <c r="Q763" s="126"/>
      <c r="R763" s="126"/>
      <c r="S763" s="126"/>
      <c r="T763" s="126"/>
      <c r="U763" s="126"/>
      <c r="V763" s="126"/>
      <c r="W763" s="126"/>
      <c r="X763" s="126"/>
      <c r="Y763" s="126"/>
      <c r="Z763" s="126"/>
      <c r="AA763" s="126"/>
      <c r="AB763" s="126"/>
      <c r="AC763" s="126"/>
      <c r="AD763" s="126"/>
      <c r="AE763" s="126"/>
      <c r="AF763" s="126"/>
      <c r="AG763" s="126"/>
      <c r="AH763" s="126"/>
      <c r="AI763" s="126"/>
      <c r="AJ763" s="126"/>
      <c r="AK763" s="126"/>
      <c r="AL763" s="126"/>
      <c r="AM763" s="126"/>
      <c r="AN763" s="126"/>
      <c r="AO763" s="126"/>
    </row>
    <row r="764">
      <c r="A764" s="158"/>
      <c r="B764" s="158"/>
      <c r="C764" s="158"/>
      <c r="D764" s="158"/>
      <c r="E764" s="158"/>
      <c r="F764" s="158"/>
      <c r="G764" s="158"/>
      <c r="H764" s="158"/>
      <c r="I764" s="145"/>
      <c r="J764" s="158"/>
      <c r="K764" s="158"/>
      <c r="L764" s="126"/>
      <c r="M764" s="126"/>
      <c r="N764" s="126"/>
      <c r="O764" s="126"/>
      <c r="P764" s="126"/>
      <c r="Q764" s="126"/>
      <c r="R764" s="126"/>
      <c r="S764" s="126"/>
      <c r="T764" s="126"/>
      <c r="U764" s="126"/>
      <c r="V764" s="126"/>
      <c r="W764" s="126"/>
      <c r="X764" s="126"/>
      <c r="Y764" s="126"/>
      <c r="Z764" s="126"/>
      <c r="AA764" s="126"/>
      <c r="AB764" s="126"/>
      <c r="AC764" s="126"/>
      <c r="AD764" s="126"/>
      <c r="AE764" s="126"/>
      <c r="AF764" s="126"/>
      <c r="AG764" s="126"/>
      <c r="AH764" s="126"/>
      <c r="AI764" s="126"/>
      <c r="AJ764" s="126"/>
      <c r="AK764" s="126"/>
      <c r="AL764" s="126"/>
      <c r="AM764" s="126"/>
      <c r="AN764" s="126"/>
      <c r="AO764" s="126"/>
    </row>
    <row r="765">
      <c r="A765" s="158"/>
      <c r="B765" s="158"/>
      <c r="C765" s="158"/>
      <c r="D765" s="158"/>
      <c r="E765" s="158"/>
      <c r="F765" s="158"/>
      <c r="G765" s="158"/>
      <c r="H765" s="158"/>
      <c r="I765" s="145"/>
      <c r="J765" s="158"/>
      <c r="K765" s="158"/>
      <c r="L765" s="126"/>
      <c r="M765" s="126"/>
      <c r="N765" s="126"/>
      <c r="O765" s="126"/>
      <c r="P765" s="126"/>
      <c r="Q765" s="126"/>
      <c r="R765" s="126"/>
      <c r="S765" s="126"/>
      <c r="T765" s="126"/>
      <c r="U765" s="126"/>
      <c r="V765" s="126"/>
      <c r="W765" s="126"/>
      <c r="X765" s="126"/>
      <c r="Y765" s="126"/>
      <c r="Z765" s="126"/>
      <c r="AA765" s="126"/>
      <c r="AB765" s="126"/>
      <c r="AC765" s="126"/>
      <c r="AD765" s="126"/>
      <c r="AE765" s="126"/>
      <c r="AF765" s="126"/>
      <c r="AG765" s="126"/>
      <c r="AH765" s="126"/>
      <c r="AI765" s="126"/>
      <c r="AJ765" s="126"/>
      <c r="AK765" s="126"/>
      <c r="AL765" s="126"/>
      <c r="AM765" s="126"/>
      <c r="AN765" s="126"/>
      <c r="AO765" s="126"/>
    </row>
    <row r="766">
      <c r="A766" s="158"/>
      <c r="B766" s="158"/>
      <c r="C766" s="158"/>
      <c r="D766" s="158"/>
      <c r="E766" s="158"/>
      <c r="F766" s="158"/>
      <c r="G766" s="158"/>
      <c r="H766" s="158"/>
      <c r="I766" s="145"/>
      <c r="J766" s="158"/>
      <c r="K766" s="158"/>
      <c r="L766" s="126"/>
      <c r="M766" s="126"/>
      <c r="N766" s="126"/>
      <c r="O766" s="126"/>
      <c r="P766" s="126"/>
      <c r="Q766" s="126"/>
      <c r="R766" s="126"/>
      <c r="S766" s="126"/>
      <c r="T766" s="126"/>
      <c r="U766" s="126"/>
      <c r="V766" s="126"/>
      <c r="W766" s="126"/>
      <c r="X766" s="126"/>
      <c r="Y766" s="126"/>
      <c r="Z766" s="126"/>
      <c r="AA766" s="126"/>
      <c r="AB766" s="126"/>
      <c r="AC766" s="126"/>
      <c r="AD766" s="126"/>
      <c r="AE766" s="126"/>
      <c r="AF766" s="126"/>
      <c r="AG766" s="126"/>
      <c r="AH766" s="126"/>
      <c r="AI766" s="126"/>
      <c r="AJ766" s="126"/>
      <c r="AK766" s="126"/>
      <c r="AL766" s="126"/>
      <c r="AM766" s="126"/>
      <c r="AN766" s="126"/>
      <c r="AO766" s="126"/>
    </row>
    <row r="767">
      <c r="A767" s="158"/>
      <c r="B767" s="158"/>
      <c r="C767" s="158"/>
      <c r="D767" s="158"/>
      <c r="E767" s="158"/>
      <c r="F767" s="158"/>
      <c r="G767" s="158"/>
      <c r="H767" s="158"/>
      <c r="I767" s="145"/>
      <c r="J767" s="158"/>
      <c r="K767" s="158"/>
      <c r="L767" s="126"/>
      <c r="M767" s="126"/>
      <c r="N767" s="126"/>
      <c r="O767" s="126"/>
      <c r="P767" s="126"/>
      <c r="Q767" s="126"/>
      <c r="R767" s="126"/>
      <c r="S767" s="126"/>
      <c r="T767" s="126"/>
      <c r="U767" s="126"/>
      <c r="V767" s="126"/>
      <c r="W767" s="126"/>
      <c r="X767" s="126"/>
      <c r="Y767" s="126"/>
      <c r="Z767" s="126"/>
      <c r="AA767" s="126"/>
      <c r="AB767" s="126"/>
      <c r="AC767" s="126"/>
      <c r="AD767" s="126"/>
      <c r="AE767" s="126"/>
      <c r="AF767" s="126"/>
      <c r="AG767" s="126"/>
      <c r="AH767" s="126"/>
      <c r="AI767" s="126"/>
      <c r="AJ767" s="126"/>
      <c r="AK767" s="126"/>
      <c r="AL767" s="126"/>
      <c r="AM767" s="126"/>
      <c r="AN767" s="126"/>
      <c r="AO767" s="126"/>
    </row>
    <row r="768">
      <c r="A768" s="158"/>
      <c r="B768" s="158"/>
      <c r="C768" s="158"/>
      <c r="D768" s="158"/>
      <c r="E768" s="158"/>
      <c r="F768" s="158"/>
      <c r="G768" s="158"/>
      <c r="H768" s="158"/>
      <c r="I768" s="145"/>
      <c r="J768" s="158"/>
      <c r="K768" s="158"/>
      <c r="L768" s="126"/>
      <c r="M768" s="126"/>
      <c r="N768" s="126"/>
      <c r="O768" s="126"/>
      <c r="P768" s="126"/>
      <c r="Q768" s="126"/>
      <c r="R768" s="126"/>
      <c r="S768" s="126"/>
      <c r="T768" s="126"/>
      <c r="U768" s="126"/>
      <c r="V768" s="126"/>
      <c r="W768" s="126"/>
      <c r="X768" s="126"/>
      <c r="Y768" s="126"/>
      <c r="Z768" s="126"/>
      <c r="AA768" s="126"/>
      <c r="AB768" s="126"/>
      <c r="AC768" s="126"/>
      <c r="AD768" s="126"/>
      <c r="AE768" s="126"/>
      <c r="AF768" s="126"/>
      <c r="AG768" s="126"/>
      <c r="AH768" s="126"/>
      <c r="AI768" s="126"/>
      <c r="AJ768" s="126"/>
      <c r="AK768" s="126"/>
      <c r="AL768" s="126"/>
      <c r="AM768" s="126"/>
      <c r="AN768" s="126"/>
      <c r="AO768" s="126"/>
    </row>
    <row r="769">
      <c r="A769" s="158"/>
      <c r="B769" s="158"/>
      <c r="C769" s="158"/>
      <c r="D769" s="158"/>
      <c r="E769" s="158"/>
      <c r="F769" s="158"/>
      <c r="G769" s="158"/>
      <c r="H769" s="158"/>
      <c r="I769" s="145"/>
      <c r="J769" s="158"/>
      <c r="K769" s="158"/>
      <c r="L769" s="126"/>
      <c r="M769" s="126"/>
      <c r="N769" s="126"/>
      <c r="O769" s="126"/>
      <c r="P769" s="126"/>
      <c r="Q769" s="126"/>
      <c r="R769" s="126"/>
      <c r="S769" s="126"/>
      <c r="T769" s="126"/>
      <c r="U769" s="126"/>
      <c r="V769" s="126"/>
      <c r="W769" s="126"/>
      <c r="X769" s="126"/>
      <c r="Y769" s="126"/>
      <c r="Z769" s="126"/>
      <c r="AA769" s="126"/>
      <c r="AB769" s="126"/>
      <c r="AC769" s="126"/>
      <c r="AD769" s="126"/>
      <c r="AE769" s="126"/>
      <c r="AF769" s="126"/>
      <c r="AG769" s="126"/>
      <c r="AH769" s="126"/>
      <c r="AI769" s="126"/>
      <c r="AJ769" s="126"/>
      <c r="AK769" s="126"/>
      <c r="AL769" s="126"/>
      <c r="AM769" s="126"/>
      <c r="AN769" s="126"/>
      <c r="AO769" s="126"/>
    </row>
    <row r="770">
      <c r="A770" s="158"/>
      <c r="B770" s="158"/>
      <c r="C770" s="158"/>
      <c r="D770" s="158"/>
      <c r="E770" s="158"/>
      <c r="F770" s="158"/>
      <c r="G770" s="158"/>
      <c r="H770" s="158"/>
      <c r="I770" s="145"/>
      <c r="J770" s="158"/>
      <c r="K770" s="158"/>
      <c r="L770" s="126"/>
      <c r="M770" s="126"/>
      <c r="N770" s="126"/>
      <c r="O770" s="126"/>
      <c r="P770" s="126"/>
      <c r="Q770" s="126"/>
      <c r="R770" s="126"/>
      <c r="S770" s="126"/>
      <c r="T770" s="126"/>
      <c r="U770" s="126"/>
      <c r="V770" s="126"/>
      <c r="W770" s="126"/>
      <c r="X770" s="126"/>
      <c r="Y770" s="126"/>
      <c r="Z770" s="126"/>
      <c r="AA770" s="126"/>
      <c r="AB770" s="126"/>
      <c r="AC770" s="126"/>
      <c r="AD770" s="126"/>
      <c r="AE770" s="126"/>
      <c r="AF770" s="126"/>
      <c r="AG770" s="126"/>
      <c r="AH770" s="126"/>
      <c r="AI770" s="126"/>
      <c r="AJ770" s="126"/>
      <c r="AK770" s="126"/>
      <c r="AL770" s="126"/>
      <c r="AM770" s="126"/>
      <c r="AN770" s="126"/>
      <c r="AO770" s="126"/>
    </row>
    <row r="771">
      <c r="A771" s="158"/>
      <c r="B771" s="158"/>
      <c r="C771" s="158"/>
      <c r="D771" s="158"/>
      <c r="E771" s="158"/>
      <c r="F771" s="158"/>
      <c r="G771" s="158"/>
      <c r="H771" s="158"/>
      <c r="I771" s="145"/>
      <c r="J771" s="158"/>
      <c r="K771" s="158"/>
      <c r="L771" s="126"/>
      <c r="M771" s="126"/>
      <c r="N771" s="126"/>
      <c r="O771" s="126"/>
      <c r="P771" s="126"/>
      <c r="Q771" s="126"/>
      <c r="R771" s="126"/>
      <c r="S771" s="126"/>
      <c r="T771" s="126"/>
      <c r="U771" s="126"/>
      <c r="V771" s="126"/>
      <c r="W771" s="126"/>
      <c r="X771" s="126"/>
      <c r="Y771" s="126"/>
      <c r="Z771" s="126"/>
      <c r="AA771" s="126"/>
      <c r="AB771" s="126"/>
      <c r="AC771" s="126"/>
      <c r="AD771" s="126"/>
      <c r="AE771" s="126"/>
      <c r="AF771" s="126"/>
      <c r="AG771" s="126"/>
      <c r="AH771" s="126"/>
      <c r="AI771" s="126"/>
      <c r="AJ771" s="126"/>
      <c r="AK771" s="126"/>
      <c r="AL771" s="126"/>
      <c r="AM771" s="126"/>
      <c r="AN771" s="126"/>
      <c r="AO771" s="126"/>
    </row>
    <row r="772">
      <c r="A772" s="158"/>
      <c r="B772" s="158"/>
      <c r="C772" s="158"/>
      <c r="D772" s="158"/>
      <c r="E772" s="158"/>
      <c r="F772" s="158"/>
      <c r="G772" s="158"/>
      <c r="H772" s="158"/>
      <c r="I772" s="145"/>
      <c r="J772" s="158"/>
      <c r="K772" s="158"/>
      <c r="L772" s="126"/>
      <c r="M772" s="126"/>
      <c r="N772" s="126"/>
      <c r="O772" s="126"/>
      <c r="P772" s="126"/>
      <c r="Q772" s="126"/>
      <c r="R772" s="126"/>
      <c r="S772" s="126"/>
      <c r="T772" s="126"/>
      <c r="U772" s="126"/>
      <c r="V772" s="126"/>
      <c r="W772" s="126"/>
      <c r="X772" s="126"/>
      <c r="Y772" s="126"/>
      <c r="Z772" s="126"/>
      <c r="AA772" s="126"/>
      <c r="AB772" s="126"/>
      <c r="AC772" s="126"/>
      <c r="AD772" s="126"/>
      <c r="AE772" s="126"/>
      <c r="AF772" s="126"/>
      <c r="AG772" s="126"/>
      <c r="AH772" s="126"/>
      <c r="AI772" s="126"/>
      <c r="AJ772" s="126"/>
      <c r="AK772" s="126"/>
      <c r="AL772" s="126"/>
      <c r="AM772" s="126"/>
      <c r="AN772" s="126"/>
      <c r="AO772" s="126"/>
    </row>
    <row r="773">
      <c r="A773" s="158"/>
      <c r="B773" s="158"/>
      <c r="C773" s="158"/>
      <c r="D773" s="158"/>
      <c r="E773" s="158"/>
      <c r="F773" s="158"/>
      <c r="G773" s="158"/>
      <c r="H773" s="158"/>
      <c r="I773" s="145"/>
      <c r="J773" s="158"/>
      <c r="K773" s="158"/>
      <c r="L773" s="126"/>
      <c r="M773" s="126"/>
      <c r="N773" s="126"/>
      <c r="O773" s="126"/>
      <c r="P773" s="126"/>
      <c r="Q773" s="126"/>
      <c r="R773" s="126"/>
      <c r="S773" s="126"/>
      <c r="T773" s="126"/>
      <c r="U773" s="126"/>
      <c r="V773" s="126"/>
      <c r="W773" s="126"/>
      <c r="X773" s="126"/>
      <c r="Y773" s="126"/>
      <c r="Z773" s="126"/>
      <c r="AA773" s="126"/>
      <c r="AB773" s="126"/>
      <c r="AC773" s="126"/>
      <c r="AD773" s="126"/>
      <c r="AE773" s="126"/>
      <c r="AF773" s="126"/>
      <c r="AG773" s="126"/>
      <c r="AH773" s="126"/>
      <c r="AI773" s="126"/>
      <c r="AJ773" s="126"/>
      <c r="AK773" s="126"/>
      <c r="AL773" s="126"/>
      <c r="AM773" s="126"/>
      <c r="AN773" s="126"/>
      <c r="AO773" s="126"/>
    </row>
    <row r="774">
      <c r="A774" s="158"/>
      <c r="B774" s="158"/>
      <c r="C774" s="158"/>
      <c r="D774" s="158"/>
      <c r="E774" s="158"/>
      <c r="F774" s="158"/>
      <c r="G774" s="158"/>
      <c r="H774" s="158"/>
      <c r="I774" s="145"/>
      <c r="J774" s="158"/>
      <c r="K774" s="158"/>
      <c r="L774" s="126"/>
      <c r="M774" s="126"/>
      <c r="N774" s="126"/>
      <c r="O774" s="126"/>
      <c r="P774" s="126"/>
      <c r="Q774" s="126"/>
      <c r="R774" s="126"/>
      <c r="S774" s="126"/>
      <c r="T774" s="126"/>
      <c r="U774" s="126"/>
      <c r="V774" s="126"/>
      <c r="W774" s="126"/>
      <c r="X774" s="126"/>
      <c r="Y774" s="126"/>
      <c r="Z774" s="126"/>
      <c r="AA774" s="126"/>
      <c r="AB774" s="126"/>
      <c r="AC774" s="126"/>
      <c r="AD774" s="126"/>
      <c r="AE774" s="126"/>
      <c r="AF774" s="126"/>
      <c r="AG774" s="126"/>
      <c r="AH774" s="126"/>
      <c r="AI774" s="126"/>
      <c r="AJ774" s="126"/>
      <c r="AK774" s="126"/>
      <c r="AL774" s="126"/>
      <c r="AM774" s="126"/>
      <c r="AN774" s="126"/>
      <c r="AO774" s="126"/>
    </row>
    <row r="775">
      <c r="A775" s="158"/>
      <c r="B775" s="158"/>
      <c r="C775" s="158"/>
      <c r="D775" s="158"/>
      <c r="E775" s="158"/>
      <c r="F775" s="158"/>
      <c r="G775" s="158"/>
      <c r="H775" s="158"/>
      <c r="I775" s="145"/>
      <c r="J775" s="158"/>
      <c r="K775" s="158"/>
      <c r="L775" s="126"/>
      <c r="M775" s="126"/>
      <c r="N775" s="126"/>
      <c r="O775" s="126"/>
      <c r="P775" s="126"/>
      <c r="Q775" s="126"/>
      <c r="R775" s="126"/>
      <c r="S775" s="126"/>
      <c r="T775" s="126"/>
      <c r="U775" s="126"/>
      <c r="V775" s="126"/>
      <c r="W775" s="126"/>
      <c r="X775" s="126"/>
      <c r="Y775" s="126"/>
      <c r="Z775" s="126"/>
      <c r="AA775" s="126"/>
      <c r="AB775" s="126"/>
      <c r="AC775" s="126"/>
      <c r="AD775" s="126"/>
      <c r="AE775" s="126"/>
      <c r="AF775" s="126"/>
      <c r="AG775" s="126"/>
      <c r="AH775" s="126"/>
      <c r="AI775" s="126"/>
      <c r="AJ775" s="126"/>
      <c r="AK775" s="126"/>
      <c r="AL775" s="126"/>
      <c r="AM775" s="126"/>
      <c r="AN775" s="126"/>
      <c r="AO775" s="126"/>
    </row>
    <row r="776">
      <c r="A776" s="158"/>
      <c r="B776" s="158"/>
      <c r="C776" s="158"/>
      <c r="D776" s="158"/>
      <c r="E776" s="158"/>
      <c r="F776" s="158"/>
      <c r="G776" s="158"/>
      <c r="H776" s="158"/>
      <c r="I776" s="145"/>
      <c r="J776" s="158"/>
      <c r="K776" s="158"/>
      <c r="L776" s="126"/>
      <c r="M776" s="126"/>
      <c r="N776" s="126"/>
      <c r="O776" s="126"/>
      <c r="P776" s="126"/>
      <c r="Q776" s="126"/>
      <c r="R776" s="126"/>
      <c r="S776" s="126"/>
      <c r="T776" s="126"/>
      <c r="U776" s="126"/>
      <c r="V776" s="126"/>
      <c r="W776" s="126"/>
      <c r="X776" s="126"/>
      <c r="Y776" s="126"/>
      <c r="Z776" s="126"/>
      <c r="AA776" s="126"/>
      <c r="AB776" s="126"/>
      <c r="AC776" s="126"/>
      <c r="AD776" s="126"/>
      <c r="AE776" s="126"/>
      <c r="AF776" s="126"/>
      <c r="AG776" s="126"/>
      <c r="AH776" s="126"/>
      <c r="AI776" s="126"/>
      <c r="AJ776" s="126"/>
      <c r="AK776" s="126"/>
      <c r="AL776" s="126"/>
      <c r="AM776" s="126"/>
      <c r="AN776" s="126"/>
      <c r="AO776" s="126"/>
    </row>
    <row r="777">
      <c r="A777" s="158"/>
      <c r="B777" s="158"/>
      <c r="C777" s="158"/>
      <c r="D777" s="158"/>
      <c r="E777" s="158"/>
      <c r="F777" s="158"/>
      <c r="G777" s="158"/>
      <c r="H777" s="158"/>
      <c r="I777" s="145"/>
      <c r="J777" s="158"/>
      <c r="K777" s="158"/>
      <c r="L777" s="126"/>
      <c r="M777" s="126"/>
      <c r="N777" s="126"/>
      <c r="O777" s="126"/>
      <c r="P777" s="126"/>
      <c r="Q777" s="126"/>
      <c r="R777" s="126"/>
      <c r="S777" s="126"/>
      <c r="T777" s="126"/>
      <c r="U777" s="126"/>
      <c r="V777" s="126"/>
      <c r="W777" s="126"/>
      <c r="X777" s="126"/>
      <c r="Y777" s="126"/>
      <c r="Z777" s="126"/>
      <c r="AA777" s="126"/>
      <c r="AB777" s="126"/>
      <c r="AC777" s="126"/>
      <c r="AD777" s="126"/>
      <c r="AE777" s="126"/>
      <c r="AF777" s="126"/>
      <c r="AG777" s="126"/>
      <c r="AH777" s="126"/>
      <c r="AI777" s="126"/>
      <c r="AJ777" s="126"/>
      <c r="AK777" s="126"/>
      <c r="AL777" s="126"/>
      <c r="AM777" s="126"/>
      <c r="AN777" s="126"/>
      <c r="AO777" s="126"/>
    </row>
    <row r="778">
      <c r="A778" s="158"/>
      <c r="B778" s="158"/>
      <c r="C778" s="158"/>
      <c r="D778" s="158"/>
      <c r="E778" s="158"/>
      <c r="F778" s="158"/>
      <c r="G778" s="158"/>
      <c r="H778" s="158"/>
      <c r="I778" s="145"/>
      <c r="J778" s="158"/>
      <c r="K778" s="158"/>
      <c r="L778" s="126"/>
      <c r="M778" s="126"/>
      <c r="N778" s="126"/>
      <c r="O778" s="126"/>
      <c r="P778" s="126"/>
      <c r="Q778" s="126"/>
      <c r="R778" s="126"/>
      <c r="S778" s="126"/>
      <c r="T778" s="126"/>
      <c r="U778" s="126"/>
      <c r="V778" s="126"/>
      <c r="W778" s="126"/>
      <c r="X778" s="126"/>
      <c r="Y778" s="126"/>
      <c r="Z778" s="126"/>
      <c r="AA778" s="126"/>
      <c r="AB778" s="126"/>
      <c r="AC778" s="126"/>
      <c r="AD778" s="126"/>
      <c r="AE778" s="126"/>
      <c r="AF778" s="126"/>
      <c r="AG778" s="126"/>
      <c r="AH778" s="126"/>
      <c r="AI778" s="126"/>
      <c r="AJ778" s="126"/>
      <c r="AK778" s="126"/>
      <c r="AL778" s="126"/>
      <c r="AM778" s="126"/>
      <c r="AN778" s="126"/>
      <c r="AO778" s="126"/>
    </row>
    <row r="779">
      <c r="A779" s="158"/>
      <c r="B779" s="158"/>
      <c r="C779" s="158"/>
      <c r="D779" s="158"/>
      <c r="E779" s="158"/>
      <c r="F779" s="158"/>
      <c r="G779" s="158"/>
      <c r="H779" s="158"/>
      <c r="I779" s="145"/>
      <c r="J779" s="158"/>
      <c r="K779" s="158"/>
      <c r="L779" s="126"/>
      <c r="M779" s="126"/>
      <c r="N779" s="126"/>
      <c r="O779" s="126"/>
      <c r="P779" s="126"/>
      <c r="Q779" s="126"/>
      <c r="R779" s="126"/>
      <c r="S779" s="126"/>
      <c r="T779" s="126"/>
      <c r="U779" s="126"/>
      <c r="V779" s="126"/>
      <c r="W779" s="126"/>
      <c r="X779" s="126"/>
      <c r="Y779" s="126"/>
      <c r="Z779" s="126"/>
      <c r="AA779" s="126"/>
      <c r="AB779" s="126"/>
      <c r="AC779" s="126"/>
      <c r="AD779" s="126"/>
      <c r="AE779" s="126"/>
      <c r="AF779" s="126"/>
      <c r="AG779" s="126"/>
      <c r="AH779" s="126"/>
      <c r="AI779" s="126"/>
      <c r="AJ779" s="126"/>
      <c r="AK779" s="126"/>
      <c r="AL779" s="126"/>
      <c r="AM779" s="126"/>
      <c r="AN779" s="126"/>
      <c r="AO779" s="126"/>
    </row>
    <row r="780">
      <c r="A780" s="158"/>
      <c r="B780" s="158"/>
      <c r="C780" s="158"/>
      <c r="D780" s="158"/>
      <c r="E780" s="158"/>
      <c r="F780" s="158"/>
      <c r="G780" s="158"/>
      <c r="H780" s="158"/>
      <c r="I780" s="145"/>
      <c r="J780" s="158"/>
      <c r="K780" s="158"/>
      <c r="L780" s="126"/>
      <c r="M780" s="126"/>
      <c r="N780" s="126"/>
      <c r="O780" s="126"/>
      <c r="P780" s="126"/>
      <c r="Q780" s="126"/>
      <c r="R780" s="126"/>
      <c r="S780" s="126"/>
      <c r="T780" s="126"/>
      <c r="U780" s="126"/>
      <c r="V780" s="126"/>
      <c r="W780" s="126"/>
      <c r="X780" s="126"/>
      <c r="Y780" s="126"/>
      <c r="Z780" s="126"/>
      <c r="AA780" s="126"/>
      <c r="AB780" s="126"/>
      <c r="AC780" s="126"/>
      <c r="AD780" s="126"/>
      <c r="AE780" s="126"/>
      <c r="AF780" s="126"/>
      <c r="AG780" s="126"/>
      <c r="AH780" s="126"/>
      <c r="AI780" s="126"/>
      <c r="AJ780" s="126"/>
      <c r="AK780" s="126"/>
      <c r="AL780" s="126"/>
      <c r="AM780" s="126"/>
      <c r="AN780" s="126"/>
      <c r="AO780" s="126"/>
    </row>
    <row r="781">
      <c r="A781" s="158"/>
      <c r="B781" s="158"/>
      <c r="C781" s="158"/>
      <c r="D781" s="158"/>
      <c r="E781" s="158"/>
      <c r="F781" s="158"/>
      <c r="G781" s="158"/>
      <c r="H781" s="158"/>
      <c r="I781" s="145"/>
      <c r="J781" s="158"/>
      <c r="K781" s="158"/>
      <c r="L781" s="126"/>
      <c r="M781" s="126"/>
      <c r="N781" s="126"/>
      <c r="O781" s="126"/>
      <c r="P781" s="126"/>
      <c r="Q781" s="126"/>
      <c r="R781" s="126"/>
      <c r="S781" s="126"/>
      <c r="T781" s="126"/>
      <c r="U781" s="126"/>
      <c r="V781" s="126"/>
      <c r="W781" s="126"/>
      <c r="X781" s="126"/>
      <c r="Y781" s="126"/>
      <c r="Z781" s="126"/>
      <c r="AA781" s="126"/>
      <c r="AB781" s="126"/>
      <c r="AC781" s="126"/>
      <c r="AD781" s="126"/>
      <c r="AE781" s="126"/>
      <c r="AF781" s="126"/>
      <c r="AG781" s="126"/>
      <c r="AH781" s="126"/>
      <c r="AI781" s="126"/>
      <c r="AJ781" s="126"/>
      <c r="AK781" s="126"/>
      <c r="AL781" s="126"/>
      <c r="AM781" s="126"/>
      <c r="AN781" s="126"/>
      <c r="AO781" s="126"/>
    </row>
    <row r="782">
      <c r="A782" s="158"/>
      <c r="B782" s="158"/>
      <c r="C782" s="158"/>
      <c r="D782" s="158"/>
      <c r="E782" s="158"/>
      <c r="F782" s="158"/>
      <c r="G782" s="158"/>
      <c r="H782" s="158"/>
      <c r="I782" s="145"/>
      <c r="J782" s="158"/>
      <c r="K782" s="158"/>
      <c r="L782" s="126"/>
      <c r="M782" s="126"/>
      <c r="N782" s="126"/>
      <c r="O782" s="126"/>
      <c r="P782" s="126"/>
      <c r="Q782" s="126"/>
      <c r="R782" s="126"/>
      <c r="S782" s="126"/>
      <c r="T782" s="126"/>
      <c r="U782" s="126"/>
      <c r="V782" s="126"/>
      <c r="W782" s="126"/>
      <c r="X782" s="126"/>
      <c r="Y782" s="126"/>
      <c r="Z782" s="126"/>
      <c r="AA782" s="126"/>
      <c r="AB782" s="126"/>
      <c r="AC782" s="126"/>
      <c r="AD782" s="126"/>
      <c r="AE782" s="126"/>
      <c r="AF782" s="126"/>
      <c r="AG782" s="126"/>
      <c r="AH782" s="126"/>
      <c r="AI782" s="126"/>
      <c r="AJ782" s="126"/>
      <c r="AK782" s="126"/>
      <c r="AL782" s="126"/>
      <c r="AM782" s="126"/>
      <c r="AN782" s="126"/>
      <c r="AO782" s="126"/>
    </row>
    <row r="783">
      <c r="A783" s="158"/>
      <c r="B783" s="158"/>
      <c r="C783" s="158"/>
      <c r="D783" s="158"/>
      <c r="E783" s="158"/>
      <c r="F783" s="158"/>
      <c r="G783" s="158"/>
      <c r="H783" s="158"/>
      <c r="I783" s="145"/>
      <c r="J783" s="158"/>
      <c r="K783" s="158"/>
      <c r="L783" s="126"/>
      <c r="M783" s="126"/>
      <c r="N783" s="126"/>
      <c r="O783" s="126"/>
      <c r="P783" s="126"/>
      <c r="Q783" s="126"/>
      <c r="R783" s="126"/>
      <c r="S783" s="126"/>
      <c r="T783" s="126"/>
      <c r="U783" s="126"/>
      <c r="V783" s="126"/>
      <c r="W783" s="126"/>
      <c r="X783" s="126"/>
      <c r="Y783" s="126"/>
      <c r="Z783" s="126"/>
      <c r="AA783" s="126"/>
      <c r="AB783" s="126"/>
      <c r="AC783" s="126"/>
      <c r="AD783" s="126"/>
      <c r="AE783" s="126"/>
      <c r="AF783" s="126"/>
      <c r="AG783" s="126"/>
      <c r="AH783" s="126"/>
      <c r="AI783" s="126"/>
      <c r="AJ783" s="126"/>
      <c r="AK783" s="126"/>
      <c r="AL783" s="126"/>
      <c r="AM783" s="126"/>
      <c r="AN783" s="126"/>
      <c r="AO783" s="126"/>
    </row>
    <row r="784">
      <c r="A784" s="158"/>
      <c r="B784" s="158"/>
      <c r="C784" s="158"/>
      <c r="D784" s="158"/>
      <c r="E784" s="158"/>
      <c r="F784" s="158"/>
      <c r="G784" s="158"/>
      <c r="H784" s="158"/>
      <c r="I784" s="145"/>
      <c r="J784" s="158"/>
      <c r="K784" s="158"/>
      <c r="L784" s="126"/>
      <c r="M784" s="126"/>
      <c r="N784" s="126"/>
      <c r="O784" s="126"/>
      <c r="P784" s="126"/>
      <c r="Q784" s="126"/>
      <c r="R784" s="126"/>
      <c r="S784" s="126"/>
      <c r="T784" s="126"/>
      <c r="U784" s="126"/>
      <c r="V784" s="126"/>
      <c r="W784" s="126"/>
      <c r="X784" s="126"/>
      <c r="Y784" s="126"/>
      <c r="Z784" s="126"/>
      <c r="AA784" s="126"/>
      <c r="AB784" s="126"/>
      <c r="AC784" s="126"/>
      <c r="AD784" s="126"/>
      <c r="AE784" s="126"/>
      <c r="AF784" s="126"/>
      <c r="AG784" s="126"/>
      <c r="AH784" s="126"/>
      <c r="AI784" s="126"/>
      <c r="AJ784" s="126"/>
      <c r="AK784" s="126"/>
      <c r="AL784" s="126"/>
      <c r="AM784" s="126"/>
      <c r="AN784" s="126"/>
      <c r="AO784" s="126"/>
    </row>
    <row r="785">
      <c r="A785" s="158"/>
      <c r="B785" s="158"/>
      <c r="C785" s="158"/>
      <c r="D785" s="158"/>
      <c r="E785" s="158"/>
      <c r="F785" s="158"/>
      <c r="G785" s="158"/>
      <c r="H785" s="158"/>
      <c r="I785" s="145"/>
      <c r="J785" s="158"/>
      <c r="K785" s="158"/>
      <c r="L785" s="126"/>
      <c r="M785" s="126"/>
      <c r="N785" s="126"/>
      <c r="O785" s="126"/>
      <c r="P785" s="126"/>
      <c r="Q785" s="126"/>
      <c r="R785" s="126"/>
      <c r="S785" s="126"/>
      <c r="T785" s="126"/>
      <c r="U785" s="126"/>
      <c r="V785" s="126"/>
      <c r="W785" s="126"/>
      <c r="X785" s="126"/>
      <c r="Y785" s="126"/>
      <c r="Z785" s="126"/>
      <c r="AA785" s="126"/>
      <c r="AB785" s="126"/>
      <c r="AC785" s="126"/>
      <c r="AD785" s="126"/>
      <c r="AE785" s="126"/>
      <c r="AF785" s="126"/>
      <c r="AG785" s="126"/>
      <c r="AH785" s="126"/>
      <c r="AI785" s="126"/>
      <c r="AJ785" s="126"/>
      <c r="AK785" s="126"/>
      <c r="AL785" s="126"/>
      <c r="AM785" s="126"/>
      <c r="AN785" s="126"/>
      <c r="AO785" s="126"/>
    </row>
    <row r="786">
      <c r="A786" s="158"/>
      <c r="B786" s="158"/>
      <c r="C786" s="158"/>
      <c r="D786" s="158"/>
      <c r="E786" s="158"/>
      <c r="F786" s="158"/>
      <c r="G786" s="158"/>
      <c r="H786" s="158"/>
      <c r="I786" s="145"/>
      <c r="J786" s="158"/>
      <c r="K786" s="158"/>
      <c r="L786" s="126"/>
      <c r="M786" s="126"/>
      <c r="N786" s="126"/>
      <c r="O786" s="126"/>
      <c r="P786" s="126"/>
      <c r="Q786" s="126"/>
      <c r="R786" s="126"/>
      <c r="S786" s="126"/>
      <c r="T786" s="126"/>
      <c r="U786" s="126"/>
      <c r="V786" s="126"/>
      <c r="W786" s="126"/>
      <c r="X786" s="126"/>
      <c r="Y786" s="126"/>
      <c r="Z786" s="126"/>
      <c r="AA786" s="126"/>
      <c r="AB786" s="126"/>
      <c r="AC786" s="126"/>
      <c r="AD786" s="126"/>
      <c r="AE786" s="126"/>
      <c r="AF786" s="126"/>
      <c r="AG786" s="126"/>
      <c r="AH786" s="126"/>
      <c r="AI786" s="126"/>
      <c r="AJ786" s="126"/>
      <c r="AK786" s="126"/>
      <c r="AL786" s="126"/>
      <c r="AM786" s="126"/>
      <c r="AN786" s="126"/>
      <c r="AO786" s="126"/>
    </row>
    <row r="787">
      <c r="A787" s="158"/>
      <c r="B787" s="158"/>
      <c r="C787" s="158"/>
      <c r="D787" s="158"/>
      <c r="E787" s="158"/>
      <c r="F787" s="158"/>
      <c r="G787" s="158"/>
      <c r="H787" s="158"/>
      <c r="I787" s="145"/>
      <c r="J787" s="158"/>
      <c r="K787" s="158"/>
      <c r="L787" s="126"/>
      <c r="M787" s="126"/>
      <c r="N787" s="126"/>
      <c r="O787" s="126"/>
      <c r="P787" s="126"/>
      <c r="Q787" s="126"/>
      <c r="R787" s="126"/>
      <c r="S787" s="126"/>
      <c r="T787" s="126"/>
      <c r="U787" s="126"/>
      <c r="V787" s="126"/>
      <c r="W787" s="126"/>
      <c r="X787" s="126"/>
      <c r="Y787" s="126"/>
      <c r="Z787" s="126"/>
      <c r="AA787" s="126"/>
      <c r="AB787" s="126"/>
      <c r="AC787" s="126"/>
      <c r="AD787" s="126"/>
      <c r="AE787" s="126"/>
      <c r="AF787" s="126"/>
      <c r="AG787" s="126"/>
      <c r="AH787" s="126"/>
      <c r="AI787" s="126"/>
      <c r="AJ787" s="126"/>
      <c r="AK787" s="126"/>
      <c r="AL787" s="126"/>
      <c r="AM787" s="126"/>
      <c r="AN787" s="126"/>
      <c r="AO787" s="126"/>
    </row>
    <row r="788">
      <c r="A788" s="158"/>
      <c r="B788" s="158"/>
      <c r="C788" s="158"/>
      <c r="D788" s="158"/>
      <c r="E788" s="158"/>
      <c r="F788" s="158"/>
      <c r="G788" s="158"/>
      <c r="H788" s="158"/>
      <c r="I788" s="145"/>
      <c r="J788" s="158"/>
      <c r="K788" s="158"/>
      <c r="L788" s="126"/>
      <c r="M788" s="126"/>
      <c r="N788" s="126"/>
      <c r="O788" s="126"/>
      <c r="P788" s="126"/>
      <c r="Q788" s="126"/>
      <c r="R788" s="126"/>
      <c r="S788" s="126"/>
      <c r="T788" s="126"/>
      <c r="U788" s="126"/>
      <c r="V788" s="126"/>
      <c r="W788" s="126"/>
      <c r="X788" s="126"/>
      <c r="Y788" s="126"/>
      <c r="Z788" s="126"/>
      <c r="AA788" s="126"/>
      <c r="AB788" s="126"/>
      <c r="AC788" s="126"/>
      <c r="AD788" s="126"/>
      <c r="AE788" s="126"/>
      <c r="AF788" s="126"/>
      <c r="AG788" s="126"/>
      <c r="AH788" s="126"/>
      <c r="AI788" s="126"/>
      <c r="AJ788" s="126"/>
      <c r="AK788" s="126"/>
      <c r="AL788" s="126"/>
      <c r="AM788" s="126"/>
      <c r="AN788" s="126"/>
      <c r="AO788" s="126"/>
    </row>
    <row r="789">
      <c r="A789" s="158"/>
      <c r="B789" s="158"/>
      <c r="C789" s="158"/>
      <c r="D789" s="158"/>
      <c r="E789" s="158"/>
      <c r="F789" s="158"/>
      <c r="G789" s="158"/>
      <c r="H789" s="158"/>
      <c r="I789" s="145"/>
      <c r="J789" s="158"/>
      <c r="K789" s="158"/>
      <c r="L789" s="126"/>
      <c r="M789" s="126"/>
      <c r="N789" s="126"/>
      <c r="O789" s="126"/>
      <c r="P789" s="126"/>
      <c r="Q789" s="126"/>
      <c r="R789" s="126"/>
      <c r="S789" s="126"/>
      <c r="T789" s="126"/>
      <c r="U789" s="126"/>
      <c r="V789" s="126"/>
      <c r="W789" s="126"/>
      <c r="X789" s="126"/>
      <c r="Y789" s="126"/>
      <c r="Z789" s="126"/>
      <c r="AA789" s="126"/>
      <c r="AB789" s="126"/>
      <c r="AC789" s="126"/>
      <c r="AD789" s="126"/>
      <c r="AE789" s="126"/>
      <c r="AF789" s="126"/>
      <c r="AG789" s="126"/>
      <c r="AH789" s="126"/>
      <c r="AI789" s="126"/>
      <c r="AJ789" s="126"/>
      <c r="AK789" s="126"/>
      <c r="AL789" s="126"/>
      <c r="AM789" s="126"/>
      <c r="AN789" s="126"/>
      <c r="AO789" s="126"/>
    </row>
    <row r="790">
      <c r="A790" s="158"/>
      <c r="B790" s="158"/>
      <c r="C790" s="158"/>
      <c r="D790" s="158"/>
      <c r="E790" s="158"/>
      <c r="F790" s="158"/>
      <c r="G790" s="158"/>
      <c r="H790" s="158"/>
      <c r="I790" s="145"/>
      <c r="J790" s="158"/>
      <c r="K790" s="158"/>
      <c r="L790" s="126"/>
      <c r="M790" s="126"/>
      <c r="N790" s="126"/>
      <c r="O790" s="126"/>
      <c r="P790" s="126"/>
      <c r="Q790" s="126"/>
      <c r="R790" s="126"/>
      <c r="S790" s="126"/>
      <c r="T790" s="126"/>
      <c r="U790" s="126"/>
      <c r="V790" s="126"/>
      <c r="W790" s="126"/>
      <c r="X790" s="126"/>
      <c r="Y790" s="126"/>
      <c r="Z790" s="126"/>
      <c r="AA790" s="126"/>
      <c r="AB790" s="126"/>
      <c r="AC790" s="126"/>
      <c r="AD790" s="126"/>
      <c r="AE790" s="126"/>
      <c r="AF790" s="126"/>
      <c r="AG790" s="126"/>
      <c r="AH790" s="126"/>
      <c r="AI790" s="126"/>
      <c r="AJ790" s="126"/>
      <c r="AK790" s="126"/>
      <c r="AL790" s="126"/>
      <c r="AM790" s="126"/>
      <c r="AN790" s="126"/>
      <c r="AO790" s="126"/>
    </row>
    <row r="791">
      <c r="A791" s="158"/>
      <c r="B791" s="158"/>
      <c r="C791" s="158"/>
      <c r="D791" s="158"/>
      <c r="E791" s="158"/>
      <c r="F791" s="158"/>
      <c r="G791" s="158"/>
      <c r="H791" s="158"/>
      <c r="I791" s="145"/>
      <c r="J791" s="158"/>
      <c r="K791" s="158"/>
      <c r="L791" s="126"/>
      <c r="M791" s="126"/>
      <c r="N791" s="126"/>
      <c r="O791" s="126"/>
      <c r="P791" s="126"/>
      <c r="Q791" s="126"/>
      <c r="R791" s="126"/>
      <c r="S791" s="126"/>
      <c r="T791" s="126"/>
      <c r="U791" s="126"/>
      <c r="V791" s="126"/>
      <c r="W791" s="126"/>
      <c r="X791" s="126"/>
      <c r="Y791" s="126"/>
      <c r="Z791" s="126"/>
      <c r="AA791" s="126"/>
      <c r="AB791" s="126"/>
      <c r="AC791" s="126"/>
      <c r="AD791" s="126"/>
      <c r="AE791" s="126"/>
      <c r="AF791" s="126"/>
      <c r="AG791" s="126"/>
      <c r="AH791" s="126"/>
      <c r="AI791" s="126"/>
      <c r="AJ791" s="126"/>
      <c r="AK791" s="126"/>
      <c r="AL791" s="126"/>
      <c r="AM791" s="126"/>
      <c r="AN791" s="126"/>
      <c r="AO791" s="126"/>
    </row>
    <row r="792">
      <c r="A792" s="158"/>
      <c r="B792" s="158"/>
      <c r="C792" s="158"/>
      <c r="D792" s="158"/>
      <c r="E792" s="158"/>
      <c r="F792" s="158"/>
      <c r="G792" s="158"/>
      <c r="H792" s="158"/>
      <c r="I792" s="145"/>
      <c r="J792" s="158"/>
      <c r="K792" s="158"/>
      <c r="L792" s="126"/>
      <c r="M792" s="126"/>
      <c r="N792" s="126"/>
      <c r="O792" s="126"/>
      <c r="P792" s="126"/>
      <c r="Q792" s="126"/>
      <c r="R792" s="126"/>
      <c r="S792" s="126"/>
      <c r="T792" s="126"/>
      <c r="U792" s="126"/>
      <c r="V792" s="126"/>
      <c r="W792" s="126"/>
      <c r="X792" s="126"/>
      <c r="Y792" s="126"/>
      <c r="Z792" s="126"/>
      <c r="AA792" s="126"/>
      <c r="AB792" s="126"/>
      <c r="AC792" s="126"/>
      <c r="AD792" s="126"/>
      <c r="AE792" s="126"/>
      <c r="AF792" s="126"/>
      <c r="AG792" s="126"/>
      <c r="AH792" s="126"/>
      <c r="AI792" s="126"/>
      <c r="AJ792" s="126"/>
      <c r="AK792" s="126"/>
      <c r="AL792" s="126"/>
      <c r="AM792" s="126"/>
      <c r="AN792" s="126"/>
      <c r="AO792" s="126"/>
    </row>
    <row r="793">
      <c r="A793" s="158"/>
      <c r="B793" s="158"/>
      <c r="C793" s="158"/>
      <c r="D793" s="158"/>
      <c r="E793" s="158"/>
      <c r="F793" s="158"/>
      <c r="G793" s="158"/>
      <c r="H793" s="158"/>
      <c r="I793" s="145"/>
      <c r="J793" s="158"/>
      <c r="K793" s="158"/>
      <c r="L793" s="126"/>
      <c r="M793" s="126"/>
      <c r="N793" s="126"/>
      <c r="O793" s="126"/>
      <c r="P793" s="126"/>
      <c r="Q793" s="126"/>
      <c r="R793" s="126"/>
      <c r="S793" s="126"/>
      <c r="T793" s="126"/>
      <c r="U793" s="126"/>
      <c r="V793" s="126"/>
      <c r="W793" s="126"/>
      <c r="X793" s="126"/>
      <c r="Y793" s="126"/>
      <c r="Z793" s="126"/>
      <c r="AA793" s="126"/>
      <c r="AB793" s="126"/>
      <c r="AC793" s="126"/>
      <c r="AD793" s="126"/>
      <c r="AE793" s="126"/>
      <c r="AF793" s="126"/>
      <c r="AG793" s="126"/>
      <c r="AH793" s="126"/>
      <c r="AI793" s="126"/>
      <c r="AJ793" s="126"/>
      <c r="AK793" s="126"/>
      <c r="AL793" s="126"/>
      <c r="AM793" s="126"/>
      <c r="AN793" s="126"/>
      <c r="AO793" s="126"/>
    </row>
    <row r="794">
      <c r="A794" s="158"/>
      <c r="B794" s="158"/>
      <c r="C794" s="158"/>
      <c r="D794" s="158"/>
      <c r="E794" s="158"/>
      <c r="F794" s="158"/>
      <c r="G794" s="158"/>
      <c r="H794" s="158"/>
      <c r="I794" s="145"/>
      <c r="J794" s="158"/>
      <c r="K794" s="158"/>
      <c r="L794" s="126"/>
      <c r="M794" s="126"/>
      <c r="N794" s="126"/>
      <c r="O794" s="126"/>
      <c r="P794" s="126"/>
      <c r="Q794" s="126"/>
      <c r="R794" s="126"/>
      <c r="S794" s="126"/>
      <c r="T794" s="126"/>
      <c r="U794" s="126"/>
      <c r="V794" s="126"/>
      <c r="W794" s="126"/>
      <c r="X794" s="126"/>
      <c r="Y794" s="126"/>
      <c r="Z794" s="126"/>
      <c r="AA794" s="126"/>
      <c r="AB794" s="126"/>
      <c r="AC794" s="126"/>
      <c r="AD794" s="126"/>
      <c r="AE794" s="126"/>
      <c r="AF794" s="126"/>
      <c r="AG794" s="126"/>
      <c r="AH794" s="126"/>
      <c r="AI794" s="126"/>
      <c r="AJ794" s="126"/>
      <c r="AK794" s="126"/>
      <c r="AL794" s="126"/>
      <c r="AM794" s="126"/>
      <c r="AN794" s="126"/>
      <c r="AO794" s="126"/>
    </row>
    <row r="795">
      <c r="A795" s="158"/>
      <c r="B795" s="158"/>
      <c r="C795" s="158"/>
      <c r="D795" s="158"/>
      <c r="E795" s="158"/>
      <c r="F795" s="158"/>
      <c r="G795" s="158"/>
      <c r="H795" s="158"/>
      <c r="I795" s="145"/>
      <c r="J795" s="158"/>
      <c r="K795" s="158"/>
      <c r="L795" s="126"/>
      <c r="M795" s="126"/>
      <c r="N795" s="126"/>
      <c r="O795" s="126"/>
      <c r="P795" s="126"/>
      <c r="Q795" s="126"/>
      <c r="R795" s="126"/>
      <c r="S795" s="126"/>
      <c r="T795" s="126"/>
      <c r="U795" s="126"/>
      <c r="V795" s="126"/>
      <c r="W795" s="126"/>
      <c r="X795" s="126"/>
      <c r="Y795" s="126"/>
      <c r="Z795" s="126"/>
      <c r="AA795" s="126"/>
      <c r="AB795" s="126"/>
      <c r="AC795" s="126"/>
      <c r="AD795" s="126"/>
      <c r="AE795" s="126"/>
      <c r="AF795" s="126"/>
      <c r="AG795" s="126"/>
      <c r="AH795" s="126"/>
      <c r="AI795" s="126"/>
      <c r="AJ795" s="126"/>
      <c r="AK795" s="126"/>
      <c r="AL795" s="126"/>
      <c r="AM795" s="126"/>
      <c r="AN795" s="126"/>
      <c r="AO795" s="126"/>
    </row>
    <row r="796">
      <c r="A796" s="158"/>
      <c r="B796" s="158"/>
      <c r="C796" s="158"/>
      <c r="D796" s="158"/>
      <c r="E796" s="158"/>
      <c r="F796" s="158"/>
      <c r="G796" s="158"/>
      <c r="H796" s="158"/>
      <c r="I796" s="145"/>
      <c r="J796" s="158"/>
      <c r="K796" s="158"/>
      <c r="L796" s="126"/>
      <c r="M796" s="126"/>
      <c r="N796" s="126"/>
      <c r="O796" s="126"/>
      <c r="P796" s="126"/>
      <c r="Q796" s="126"/>
      <c r="R796" s="126"/>
      <c r="S796" s="126"/>
      <c r="T796" s="126"/>
      <c r="U796" s="126"/>
      <c r="V796" s="126"/>
      <c r="W796" s="126"/>
      <c r="X796" s="126"/>
      <c r="Y796" s="126"/>
      <c r="Z796" s="126"/>
      <c r="AA796" s="126"/>
      <c r="AB796" s="126"/>
      <c r="AC796" s="126"/>
      <c r="AD796" s="126"/>
      <c r="AE796" s="126"/>
      <c r="AF796" s="126"/>
      <c r="AG796" s="126"/>
      <c r="AH796" s="126"/>
      <c r="AI796" s="126"/>
      <c r="AJ796" s="126"/>
      <c r="AK796" s="126"/>
      <c r="AL796" s="126"/>
      <c r="AM796" s="126"/>
      <c r="AN796" s="126"/>
      <c r="AO796" s="126"/>
    </row>
    <row r="797">
      <c r="A797" s="158"/>
      <c r="B797" s="158"/>
      <c r="C797" s="158"/>
      <c r="D797" s="158"/>
      <c r="E797" s="158"/>
      <c r="F797" s="158"/>
      <c r="G797" s="158"/>
      <c r="H797" s="158"/>
      <c r="I797" s="145"/>
      <c r="J797" s="158"/>
      <c r="K797" s="158"/>
      <c r="L797" s="126"/>
      <c r="M797" s="126"/>
      <c r="N797" s="126"/>
      <c r="O797" s="126"/>
      <c r="P797" s="126"/>
      <c r="Q797" s="126"/>
      <c r="R797" s="126"/>
      <c r="S797" s="126"/>
      <c r="T797" s="126"/>
      <c r="U797" s="126"/>
      <c r="V797" s="126"/>
      <c r="W797" s="126"/>
      <c r="X797" s="126"/>
      <c r="Y797" s="126"/>
      <c r="Z797" s="126"/>
      <c r="AA797" s="126"/>
      <c r="AB797" s="126"/>
      <c r="AC797" s="126"/>
      <c r="AD797" s="126"/>
      <c r="AE797" s="126"/>
      <c r="AF797" s="126"/>
      <c r="AG797" s="126"/>
      <c r="AH797" s="126"/>
      <c r="AI797" s="126"/>
      <c r="AJ797" s="126"/>
      <c r="AK797" s="126"/>
      <c r="AL797" s="126"/>
      <c r="AM797" s="126"/>
      <c r="AN797" s="126"/>
      <c r="AO797" s="126"/>
    </row>
    <row r="798">
      <c r="A798" s="158"/>
      <c r="B798" s="158"/>
      <c r="C798" s="158"/>
      <c r="D798" s="158"/>
      <c r="E798" s="158"/>
      <c r="F798" s="158"/>
      <c r="G798" s="158"/>
      <c r="H798" s="158"/>
      <c r="I798" s="145"/>
      <c r="J798" s="158"/>
      <c r="K798" s="158"/>
      <c r="L798" s="126"/>
      <c r="M798" s="126"/>
      <c r="N798" s="126"/>
      <c r="O798" s="126"/>
      <c r="P798" s="126"/>
      <c r="Q798" s="126"/>
      <c r="R798" s="126"/>
      <c r="S798" s="126"/>
      <c r="T798" s="126"/>
      <c r="U798" s="126"/>
      <c r="V798" s="126"/>
      <c r="W798" s="126"/>
      <c r="X798" s="126"/>
      <c r="Y798" s="126"/>
      <c r="Z798" s="126"/>
      <c r="AA798" s="126"/>
      <c r="AB798" s="126"/>
      <c r="AC798" s="126"/>
      <c r="AD798" s="126"/>
      <c r="AE798" s="126"/>
      <c r="AF798" s="126"/>
      <c r="AG798" s="126"/>
      <c r="AH798" s="126"/>
      <c r="AI798" s="126"/>
      <c r="AJ798" s="126"/>
      <c r="AK798" s="126"/>
      <c r="AL798" s="126"/>
      <c r="AM798" s="126"/>
      <c r="AN798" s="126"/>
      <c r="AO798" s="126"/>
    </row>
    <row r="799">
      <c r="A799" s="158"/>
      <c r="B799" s="158"/>
      <c r="C799" s="158"/>
      <c r="D799" s="158"/>
      <c r="E799" s="158"/>
      <c r="F799" s="158"/>
      <c r="G799" s="158"/>
      <c r="H799" s="158"/>
      <c r="I799" s="145"/>
      <c r="J799" s="158"/>
      <c r="K799" s="158"/>
      <c r="L799" s="126"/>
      <c r="M799" s="126"/>
      <c r="N799" s="126"/>
      <c r="O799" s="126"/>
      <c r="P799" s="126"/>
      <c r="Q799" s="126"/>
      <c r="R799" s="126"/>
      <c r="S799" s="126"/>
      <c r="T799" s="126"/>
      <c r="U799" s="126"/>
      <c r="V799" s="126"/>
      <c r="W799" s="126"/>
      <c r="X799" s="126"/>
      <c r="Y799" s="126"/>
      <c r="Z799" s="126"/>
      <c r="AA799" s="126"/>
      <c r="AB799" s="126"/>
      <c r="AC799" s="126"/>
      <c r="AD799" s="126"/>
      <c r="AE799" s="126"/>
      <c r="AF799" s="126"/>
      <c r="AG799" s="126"/>
      <c r="AH799" s="126"/>
      <c r="AI799" s="126"/>
      <c r="AJ799" s="126"/>
      <c r="AK799" s="126"/>
      <c r="AL799" s="126"/>
      <c r="AM799" s="126"/>
      <c r="AN799" s="126"/>
      <c r="AO799" s="126"/>
    </row>
    <row r="800">
      <c r="A800" s="158"/>
      <c r="B800" s="158"/>
      <c r="C800" s="158"/>
      <c r="D800" s="158"/>
      <c r="E800" s="158"/>
      <c r="F800" s="158"/>
      <c r="G800" s="158"/>
      <c r="H800" s="158"/>
      <c r="I800" s="145"/>
      <c r="J800" s="158"/>
      <c r="K800" s="158"/>
      <c r="L800" s="126"/>
      <c r="M800" s="126"/>
      <c r="N800" s="126"/>
      <c r="O800" s="126"/>
      <c r="P800" s="126"/>
      <c r="Q800" s="126"/>
      <c r="R800" s="126"/>
      <c r="S800" s="126"/>
      <c r="T800" s="126"/>
      <c r="U800" s="126"/>
      <c r="V800" s="126"/>
      <c r="W800" s="126"/>
      <c r="X800" s="126"/>
      <c r="Y800" s="126"/>
      <c r="Z800" s="126"/>
      <c r="AA800" s="126"/>
      <c r="AB800" s="126"/>
      <c r="AC800" s="126"/>
      <c r="AD800" s="126"/>
      <c r="AE800" s="126"/>
      <c r="AF800" s="126"/>
      <c r="AG800" s="126"/>
      <c r="AH800" s="126"/>
      <c r="AI800" s="126"/>
      <c r="AJ800" s="126"/>
      <c r="AK800" s="126"/>
      <c r="AL800" s="126"/>
      <c r="AM800" s="126"/>
      <c r="AN800" s="126"/>
      <c r="AO800" s="126"/>
    </row>
    <row r="801">
      <c r="A801" s="158"/>
      <c r="B801" s="158"/>
      <c r="C801" s="158"/>
      <c r="D801" s="158"/>
      <c r="E801" s="158"/>
      <c r="F801" s="158"/>
      <c r="G801" s="158"/>
      <c r="H801" s="158"/>
      <c r="I801" s="145"/>
      <c r="J801" s="158"/>
      <c r="K801" s="158"/>
      <c r="L801" s="126"/>
      <c r="M801" s="126"/>
      <c r="N801" s="126"/>
      <c r="O801" s="126"/>
      <c r="P801" s="126"/>
      <c r="Q801" s="126"/>
      <c r="R801" s="126"/>
      <c r="S801" s="126"/>
      <c r="T801" s="126"/>
      <c r="U801" s="126"/>
      <c r="V801" s="126"/>
      <c r="W801" s="126"/>
      <c r="X801" s="126"/>
      <c r="Y801" s="126"/>
      <c r="Z801" s="126"/>
      <c r="AA801" s="126"/>
      <c r="AB801" s="126"/>
      <c r="AC801" s="126"/>
      <c r="AD801" s="126"/>
      <c r="AE801" s="126"/>
      <c r="AF801" s="126"/>
      <c r="AG801" s="126"/>
      <c r="AH801" s="126"/>
      <c r="AI801" s="126"/>
      <c r="AJ801" s="126"/>
      <c r="AK801" s="126"/>
      <c r="AL801" s="126"/>
      <c r="AM801" s="126"/>
      <c r="AN801" s="126"/>
      <c r="AO801" s="126"/>
    </row>
    <row r="802">
      <c r="A802" s="158"/>
      <c r="B802" s="158"/>
      <c r="C802" s="158"/>
      <c r="D802" s="158"/>
      <c r="E802" s="158"/>
      <c r="F802" s="158"/>
      <c r="G802" s="158"/>
      <c r="H802" s="158"/>
      <c r="I802" s="145"/>
      <c r="J802" s="158"/>
      <c r="K802" s="158"/>
      <c r="L802" s="126"/>
      <c r="M802" s="126"/>
      <c r="N802" s="126"/>
      <c r="O802" s="126"/>
      <c r="P802" s="126"/>
      <c r="Q802" s="126"/>
      <c r="R802" s="126"/>
      <c r="S802" s="126"/>
      <c r="T802" s="126"/>
      <c r="U802" s="126"/>
      <c r="V802" s="126"/>
      <c r="W802" s="126"/>
      <c r="X802" s="126"/>
      <c r="Y802" s="126"/>
      <c r="Z802" s="126"/>
      <c r="AA802" s="126"/>
      <c r="AB802" s="126"/>
      <c r="AC802" s="126"/>
      <c r="AD802" s="126"/>
      <c r="AE802" s="126"/>
      <c r="AF802" s="126"/>
      <c r="AG802" s="126"/>
      <c r="AH802" s="126"/>
      <c r="AI802" s="126"/>
      <c r="AJ802" s="126"/>
      <c r="AK802" s="126"/>
      <c r="AL802" s="126"/>
      <c r="AM802" s="126"/>
      <c r="AN802" s="126"/>
      <c r="AO802" s="126"/>
    </row>
    <row r="803">
      <c r="A803" s="158"/>
      <c r="B803" s="158"/>
      <c r="C803" s="158"/>
      <c r="D803" s="158"/>
      <c r="E803" s="158"/>
      <c r="F803" s="158"/>
      <c r="G803" s="158"/>
      <c r="H803" s="158"/>
      <c r="I803" s="145"/>
      <c r="J803" s="158"/>
      <c r="K803" s="158"/>
      <c r="L803" s="126"/>
      <c r="M803" s="126"/>
      <c r="N803" s="126"/>
      <c r="O803" s="126"/>
      <c r="P803" s="126"/>
      <c r="Q803" s="126"/>
      <c r="R803" s="126"/>
      <c r="S803" s="126"/>
      <c r="T803" s="126"/>
      <c r="U803" s="126"/>
      <c r="V803" s="126"/>
      <c r="W803" s="126"/>
      <c r="X803" s="126"/>
      <c r="Y803" s="126"/>
      <c r="Z803" s="126"/>
      <c r="AA803" s="126"/>
      <c r="AB803" s="126"/>
      <c r="AC803" s="126"/>
      <c r="AD803" s="126"/>
      <c r="AE803" s="126"/>
      <c r="AF803" s="126"/>
      <c r="AG803" s="126"/>
      <c r="AH803" s="126"/>
      <c r="AI803" s="126"/>
      <c r="AJ803" s="126"/>
      <c r="AK803" s="126"/>
      <c r="AL803" s="126"/>
      <c r="AM803" s="126"/>
      <c r="AN803" s="126"/>
      <c r="AO803" s="126"/>
    </row>
    <row r="804">
      <c r="A804" s="158"/>
      <c r="B804" s="158"/>
      <c r="C804" s="158"/>
      <c r="D804" s="158"/>
      <c r="E804" s="158"/>
      <c r="F804" s="158"/>
      <c r="G804" s="158"/>
      <c r="H804" s="158"/>
      <c r="I804" s="145"/>
      <c r="J804" s="158"/>
      <c r="K804" s="158"/>
      <c r="L804" s="126"/>
      <c r="M804" s="126"/>
      <c r="N804" s="126"/>
      <c r="O804" s="126"/>
      <c r="P804" s="126"/>
      <c r="Q804" s="126"/>
      <c r="R804" s="126"/>
      <c r="S804" s="126"/>
      <c r="T804" s="126"/>
      <c r="U804" s="126"/>
      <c r="V804" s="126"/>
      <c r="W804" s="126"/>
      <c r="X804" s="126"/>
      <c r="Y804" s="126"/>
      <c r="Z804" s="126"/>
      <c r="AA804" s="126"/>
      <c r="AB804" s="126"/>
      <c r="AC804" s="126"/>
      <c r="AD804" s="126"/>
      <c r="AE804" s="126"/>
      <c r="AF804" s="126"/>
      <c r="AG804" s="126"/>
      <c r="AH804" s="126"/>
      <c r="AI804" s="126"/>
      <c r="AJ804" s="126"/>
      <c r="AK804" s="126"/>
      <c r="AL804" s="126"/>
      <c r="AM804" s="126"/>
      <c r="AN804" s="126"/>
      <c r="AO804" s="126"/>
    </row>
    <row r="805">
      <c r="A805" s="158"/>
      <c r="B805" s="158"/>
      <c r="C805" s="158"/>
      <c r="D805" s="158"/>
      <c r="E805" s="158"/>
      <c r="F805" s="158"/>
      <c r="G805" s="158"/>
      <c r="H805" s="158"/>
      <c r="I805" s="145"/>
      <c r="J805" s="158"/>
      <c r="K805" s="158"/>
      <c r="L805" s="126"/>
      <c r="M805" s="126"/>
      <c r="N805" s="126"/>
      <c r="O805" s="126"/>
      <c r="P805" s="126"/>
      <c r="Q805" s="126"/>
      <c r="R805" s="126"/>
      <c r="S805" s="126"/>
      <c r="T805" s="126"/>
      <c r="U805" s="126"/>
      <c r="V805" s="126"/>
      <c r="W805" s="126"/>
      <c r="X805" s="126"/>
      <c r="Y805" s="126"/>
      <c r="Z805" s="126"/>
      <c r="AA805" s="126"/>
      <c r="AB805" s="126"/>
      <c r="AC805" s="126"/>
      <c r="AD805" s="126"/>
      <c r="AE805" s="126"/>
      <c r="AF805" s="126"/>
      <c r="AG805" s="126"/>
      <c r="AH805" s="126"/>
      <c r="AI805" s="126"/>
      <c r="AJ805" s="126"/>
      <c r="AK805" s="126"/>
      <c r="AL805" s="126"/>
      <c r="AM805" s="126"/>
      <c r="AN805" s="126"/>
      <c r="AO805" s="126"/>
    </row>
    <row r="806">
      <c r="A806" s="158"/>
      <c r="B806" s="158"/>
      <c r="C806" s="158"/>
      <c r="D806" s="158"/>
      <c r="E806" s="158"/>
      <c r="F806" s="158"/>
      <c r="G806" s="158"/>
      <c r="H806" s="158"/>
      <c r="I806" s="145"/>
      <c r="J806" s="158"/>
      <c r="K806" s="158"/>
      <c r="L806" s="126"/>
      <c r="M806" s="126"/>
      <c r="N806" s="126"/>
      <c r="O806" s="126"/>
      <c r="P806" s="126"/>
      <c r="Q806" s="126"/>
      <c r="R806" s="126"/>
      <c r="S806" s="126"/>
      <c r="T806" s="126"/>
      <c r="U806" s="126"/>
      <c r="V806" s="126"/>
      <c r="W806" s="126"/>
      <c r="X806" s="126"/>
      <c r="Y806" s="126"/>
      <c r="Z806" s="126"/>
      <c r="AA806" s="126"/>
      <c r="AB806" s="126"/>
      <c r="AC806" s="126"/>
      <c r="AD806" s="126"/>
      <c r="AE806" s="126"/>
      <c r="AF806" s="126"/>
      <c r="AG806" s="126"/>
      <c r="AH806" s="126"/>
      <c r="AI806" s="126"/>
      <c r="AJ806" s="126"/>
      <c r="AK806" s="126"/>
      <c r="AL806" s="126"/>
      <c r="AM806" s="126"/>
      <c r="AN806" s="126"/>
      <c r="AO806" s="126"/>
    </row>
    <row r="807">
      <c r="A807" s="158"/>
      <c r="B807" s="158"/>
      <c r="C807" s="158"/>
      <c r="D807" s="158"/>
      <c r="E807" s="158"/>
      <c r="F807" s="158"/>
      <c r="G807" s="158"/>
      <c r="H807" s="158"/>
      <c r="I807" s="145"/>
      <c r="J807" s="158"/>
      <c r="K807" s="158"/>
      <c r="L807" s="126"/>
      <c r="M807" s="126"/>
      <c r="N807" s="126"/>
      <c r="O807" s="126"/>
      <c r="P807" s="126"/>
      <c r="Q807" s="126"/>
      <c r="R807" s="126"/>
      <c r="S807" s="126"/>
      <c r="T807" s="126"/>
      <c r="U807" s="126"/>
      <c r="V807" s="126"/>
      <c r="W807" s="126"/>
      <c r="X807" s="126"/>
      <c r="Y807" s="126"/>
      <c r="Z807" s="126"/>
      <c r="AA807" s="126"/>
      <c r="AB807" s="126"/>
      <c r="AC807" s="126"/>
      <c r="AD807" s="126"/>
      <c r="AE807" s="126"/>
      <c r="AF807" s="126"/>
      <c r="AG807" s="126"/>
      <c r="AH807" s="126"/>
      <c r="AI807" s="126"/>
      <c r="AJ807" s="126"/>
      <c r="AK807" s="126"/>
      <c r="AL807" s="126"/>
      <c r="AM807" s="126"/>
      <c r="AN807" s="126"/>
      <c r="AO807" s="126"/>
    </row>
    <row r="808">
      <c r="A808" s="158"/>
      <c r="B808" s="158"/>
      <c r="C808" s="158"/>
      <c r="D808" s="158"/>
      <c r="E808" s="158"/>
      <c r="F808" s="158"/>
      <c r="G808" s="158"/>
      <c r="H808" s="158"/>
      <c r="I808" s="145"/>
      <c r="J808" s="158"/>
      <c r="K808" s="158"/>
      <c r="L808" s="126"/>
      <c r="M808" s="126"/>
      <c r="N808" s="126"/>
      <c r="O808" s="126"/>
      <c r="P808" s="126"/>
      <c r="Q808" s="126"/>
      <c r="R808" s="126"/>
      <c r="S808" s="126"/>
      <c r="T808" s="126"/>
      <c r="U808" s="126"/>
      <c r="V808" s="126"/>
      <c r="W808" s="126"/>
      <c r="X808" s="126"/>
      <c r="Y808" s="126"/>
      <c r="Z808" s="126"/>
      <c r="AA808" s="126"/>
      <c r="AB808" s="126"/>
      <c r="AC808" s="126"/>
      <c r="AD808" s="126"/>
      <c r="AE808" s="126"/>
      <c r="AF808" s="126"/>
      <c r="AG808" s="126"/>
      <c r="AH808" s="126"/>
      <c r="AI808" s="126"/>
      <c r="AJ808" s="126"/>
      <c r="AK808" s="126"/>
      <c r="AL808" s="126"/>
      <c r="AM808" s="126"/>
      <c r="AN808" s="126"/>
      <c r="AO808" s="126"/>
    </row>
    <row r="809">
      <c r="A809" s="158"/>
      <c r="B809" s="158"/>
      <c r="C809" s="158"/>
      <c r="D809" s="158"/>
      <c r="E809" s="158"/>
      <c r="F809" s="158"/>
      <c r="G809" s="158"/>
      <c r="H809" s="158"/>
      <c r="I809" s="145"/>
      <c r="J809" s="158"/>
      <c r="K809" s="158"/>
      <c r="L809" s="126"/>
      <c r="M809" s="126"/>
      <c r="N809" s="126"/>
      <c r="O809" s="126"/>
      <c r="P809" s="126"/>
      <c r="Q809" s="126"/>
      <c r="R809" s="126"/>
      <c r="S809" s="126"/>
      <c r="T809" s="126"/>
      <c r="U809" s="126"/>
      <c r="V809" s="126"/>
      <c r="W809" s="126"/>
      <c r="X809" s="126"/>
      <c r="Y809" s="126"/>
      <c r="Z809" s="126"/>
      <c r="AA809" s="126"/>
      <c r="AB809" s="126"/>
      <c r="AC809" s="126"/>
      <c r="AD809" s="126"/>
      <c r="AE809" s="126"/>
      <c r="AF809" s="126"/>
      <c r="AG809" s="126"/>
      <c r="AH809" s="126"/>
      <c r="AI809" s="126"/>
      <c r="AJ809" s="126"/>
      <c r="AK809" s="126"/>
      <c r="AL809" s="126"/>
      <c r="AM809" s="126"/>
      <c r="AN809" s="126"/>
      <c r="AO809" s="126"/>
    </row>
    <row r="810">
      <c r="A810" s="158"/>
      <c r="B810" s="158"/>
      <c r="C810" s="158"/>
      <c r="D810" s="158"/>
      <c r="E810" s="158"/>
      <c r="F810" s="158"/>
      <c r="G810" s="158"/>
      <c r="H810" s="158"/>
      <c r="I810" s="145"/>
      <c r="J810" s="158"/>
      <c r="K810" s="158"/>
      <c r="L810" s="126"/>
      <c r="M810" s="126"/>
      <c r="N810" s="126"/>
      <c r="O810" s="126"/>
      <c r="P810" s="126"/>
      <c r="Q810" s="126"/>
      <c r="R810" s="126"/>
      <c r="S810" s="126"/>
      <c r="T810" s="126"/>
      <c r="U810" s="126"/>
      <c r="V810" s="126"/>
      <c r="W810" s="126"/>
      <c r="X810" s="126"/>
      <c r="Y810" s="126"/>
      <c r="Z810" s="126"/>
      <c r="AA810" s="126"/>
      <c r="AB810" s="126"/>
      <c r="AC810" s="126"/>
      <c r="AD810" s="126"/>
      <c r="AE810" s="126"/>
      <c r="AF810" s="126"/>
      <c r="AG810" s="126"/>
      <c r="AH810" s="126"/>
      <c r="AI810" s="126"/>
      <c r="AJ810" s="126"/>
      <c r="AK810" s="126"/>
      <c r="AL810" s="126"/>
      <c r="AM810" s="126"/>
      <c r="AN810" s="126"/>
      <c r="AO810" s="126"/>
    </row>
    <row r="811">
      <c r="A811" s="158"/>
      <c r="B811" s="158"/>
      <c r="C811" s="158"/>
      <c r="D811" s="158"/>
      <c r="E811" s="158"/>
      <c r="F811" s="158"/>
      <c r="G811" s="158"/>
      <c r="H811" s="158"/>
      <c r="I811" s="145"/>
      <c r="J811" s="158"/>
      <c r="K811" s="158"/>
      <c r="L811" s="126"/>
      <c r="M811" s="126"/>
      <c r="N811" s="126"/>
      <c r="O811" s="126"/>
      <c r="P811" s="126"/>
      <c r="Q811" s="126"/>
      <c r="R811" s="126"/>
      <c r="S811" s="126"/>
      <c r="T811" s="126"/>
      <c r="U811" s="126"/>
      <c r="V811" s="126"/>
      <c r="W811" s="126"/>
      <c r="X811" s="126"/>
      <c r="Y811" s="126"/>
      <c r="Z811" s="126"/>
      <c r="AA811" s="126"/>
      <c r="AB811" s="126"/>
      <c r="AC811" s="126"/>
      <c r="AD811" s="126"/>
      <c r="AE811" s="126"/>
      <c r="AF811" s="126"/>
      <c r="AG811" s="126"/>
      <c r="AH811" s="126"/>
      <c r="AI811" s="126"/>
      <c r="AJ811" s="126"/>
      <c r="AK811" s="126"/>
      <c r="AL811" s="126"/>
      <c r="AM811" s="126"/>
      <c r="AN811" s="126"/>
      <c r="AO811" s="126"/>
    </row>
    <row r="812">
      <c r="A812" s="158"/>
      <c r="B812" s="158"/>
      <c r="C812" s="158"/>
      <c r="D812" s="158"/>
      <c r="E812" s="158"/>
      <c r="F812" s="158"/>
      <c r="G812" s="158"/>
      <c r="H812" s="158"/>
      <c r="I812" s="145"/>
      <c r="J812" s="158"/>
      <c r="K812" s="158"/>
      <c r="L812" s="126"/>
      <c r="M812" s="126"/>
      <c r="N812" s="126"/>
      <c r="O812" s="126"/>
      <c r="P812" s="126"/>
      <c r="Q812" s="126"/>
      <c r="R812" s="126"/>
      <c r="S812" s="126"/>
      <c r="T812" s="126"/>
      <c r="U812" s="126"/>
      <c r="V812" s="126"/>
      <c r="W812" s="126"/>
      <c r="X812" s="126"/>
      <c r="Y812" s="126"/>
      <c r="Z812" s="126"/>
      <c r="AA812" s="126"/>
      <c r="AB812" s="126"/>
      <c r="AC812" s="126"/>
      <c r="AD812" s="126"/>
      <c r="AE812" s="126"/>
      <c r="AF812" s="126"/>
      <c r="AG812" s="126"/>
      <c r="AH812" s="126"/>
      <c r="AI812" s="126"/>
      <c r="AJ812" s="126"/>
      <c r="AK812" s="126"/>
      <c r="AL812" s="126"/>
      <c r="AM812" s="126"/>
      <c r="AN812" s="126"/>
      <c r="AO812" s="126"/>
    </row>
    <row r="813">
      <c r="A813" s="158"/>
      <c r="B813" s="158"/>
      <c r="C813" s="158"/>
      <c r="D813" s="158"/>
      <c r="E813" s="158"/>
      <c r="F813" s="158"/>
      <c r="G813" s="158"/>
      <c r="H813" s="158"/>
      <c r="I813" s="145"/>
      <c r="J813" s="158"/>
      <c r="K813" s="158"/>
      <c r="L813" s="126"/>
      <c r="M813" s="126"/>
      <c r="N813" s="126"/>
      <c r="O813" s="126"/>
      <c r="P813" s="126"/>
      <c r="Q813" s="126"/>
      <c r="R813" s="126"/>
      <c r="S813" s="126"/>
      <c r="T813" s="126"/>
      <c r="U813" s="126"/>
      <c r="V813" s="126"/>
      <c r="W813" s="126"/>
      <c r="X813" s="126"/>
      <c r="Y813" s="126"/>
      <c r="Z813" s="126"/>
      <c r="AA813" s="126"/>
      <c r="AB813" s="126"/>
      <c r="AC813" s="126"/>
      <c r="AD813" s="126"/>
      <c r="AE813" s="126"/>
      <c r="AF813" s="126"/>
      <c r="AG813" s="126"/>
      <c r="AH813" s="126"/>
      <c r="AI813" s="126"/>
      <c r="AJ813" s="126"/>
      <c r="AK813" s="126"/>
      <c r="AL813" s="126"/>
      <c r="AM813" s="126"/>
      <c r="AN813" s="126"/>
      <c r="AO813" s="126"/>
    </row>
    <row r="814">
      <c r="A814" s="158"/>
      <c r="B814" s="158"/>
      <c r="C814" s="158"/>
      <c r="D814" s="158"/>
      <c r="E814" s="158"/>
      <c r="F814" s="158"/>
      <c r="G814" s="158"/>
      <c r="H814" s="158"/>
      <c r="I814" s="145"/>
      <c r="J814" s="158"/>
      <c r="K814" s="158"/>
      <c r="L814" s="126"/>
      <c r="M814" s="126"/>
      <c r="N814" s="126"/>
      <c r="O814" s="126"/>
      <c r="P814" s="126"/>
      <c r="Q814" s="126"/>
      <c r="R814" s="126"/>
      <c r="S814" s="126"/>
      <c r="T814" s="126"/>
      <c r="U814" s="126"/>
      <c r="V814" s="126"/>
      <c r="W814" s="126"/>
      <c r="X814" s="126"/>
      <c r="Y814" s="126"/>
      <c r="Z814" s="126"/>
      <c r="AA814" s="126"/>
      <c r="AB814" s="126"/>
      <c r="AC814" s="126"/>
      <c r="AD814" s="126"/>
      <c r="AE814" s="126"/>
      <c r="AF814" s="126"/>
      <c r="AG814" s="126"/>
      <c r="AH814" s="126"/>
      <c r="AI814" s="126"/>
      <c r="AJ814" s="126"/>
      <c r="AK814" s="126"/>
      <c r="AL814" s="126"/>
      <c r="AM814" s="126"/>
      <c r="AN814" s="126"/>
      <c r="AO814" s="126"/>
    </row>
    <row r="815">
      <c r="A815" s="158"/>
      <c r="B815" s="158"/>
      <c r="C815" s="158"/>
      <c r="D815" s="158"/>
      <c r="E815" s="158"/>
      <c r="F815" s="158"/>
      <c r="G815" s="158"/>
      <c r="H815" s="158"/>
      <c r="I815" s="145"/>
      <c r="J815" s="158"/>
      <c r="K815" s="158"/>
      <c r="L815" s="126"/>
      <c r="M815" s="126"/>
      <c r="N815" s="126"/>
      <c r="O815" s="126"/>
      <c r="P815" s="126"/>
      <c r="Q815" s="126"/>
      <c r="R815" s="126"/>
      <c r="S815" s="126"/>
      <c r="T815" s="126"/>
      <c r="U815" s="126"/>
      <c r="V815" s="126"/>
      <c r="W815" s="126"/>
      <c r="X815" s="126"/>
      <c r="Y815" s="126"/>
      <c r="Z815" s="126"/>
      <c r="AA815" s="126"/>
      <c r="AB815" s="126"/>
      <c r="AC815" s="126"/>
      <c r="AD815" s="126"/>
      <c r="AE815" s="126"/>
      <c r="AF815" s="126"/>
      <c r="AG815" s="126"/>
      <c r="AH815" s="126"/>
      <c r="AI815" s="126"/>
      <c r="AJ815" s="126"/>
      <c r="AK815" s="126"/>
      <c r="AL815" s="126"/>
      <c r="AM815" s="126"/>
      <c r="AN815" s="126"/>
      <c r="AO815" s="126"/>
    </row>
    <row r="816">
      <c r="A816" s="158"/>
      <c r="B816" s="158"/>
      <c r="C816" s="158"/>
      <c r="D816" s="158"/>
      <c r="E816" s="158"/>
      <c r="F816" s="158"/>
      <c r="G816" s="158"/>
      <c r="H816" s="158"/>
      <c r="I816" s="145"/>
      <c r="J816" s="158"/>
      <c r="K816" s="158"/>
      <c r="L816" s="126"/>
      <c r="M816" s="126"/>
      <c r="N816" s="126"/>
      <c r="O816" s="126"/>
      <c r="P816" s="126"/>
      <c r="Q816" s="126"/>
      <c r="R816" s="126"/>
      <c r="S816" s="126"/>
      <c r="T816" s="126"/>
      <c r="U816" s="126"/>
      <c r="V816" s="126"/>
      <c r="W816" s="126"/>
      <c r="X816" s="126"/>
      <c r="Y816" s="126"/>
      <c r="Z816" s="126"/>
      <c r="AA816" s="126"/>
      <c r="AB816" s="126"/>
      <c r="AC816" s="126"/>
      <c r="AD816" s="126"/>
      <c r="AE816" s="126"/>
      <c r="AF816" s="126"/>
      <c r="AG816" s="126"/>
      <c r="AH816" s="126"/>
      <c r="AI816" s="126"/>
      <c r="AJ816" s="126"/>
      <c r="AK816" s="126"/>
      <c r="AL816" s="126"/>
      <c r="AM816" s="126"/>
      <c r="AN816" s="126"/>
      <c r="AO816" s="126"/>
    </row>
    <row r="817">
      <c r="A817" s="158"/>
      <c r="B817" s="158"/>
      <c r="C817" s="158"/>
      <c r="D817" s="158"/>
      <c r="E817" s="158"/>
      <c r="F817" s="158"/>
      <c r="G817" s="158"/>
      <c r="H817" s="158"/>
      <c r="I817" s="145"/>
      <c r="J817" s="158"/>
      <c r="K817" s="158"/>
      <c r="L817" s="126"/>
      <c r="M817" s="126"/>
      <c r="N817" s="126"/>
      <c r="O817" s="126"/>
      <c r="P817" s="126"/>
      <c r="Q817" s="126"/>
      <c r="R817" s="126"/>
      <c r="S817" s="126"/>
      <c r="T817" s="126"/>
      <c r="U817" s="126"/>
      <c r="V817" s="126"/>
      <c r="W817" s="126"/>
      <c r="X817" s="126"/>
      <c r="Y817" s="126"/>
      <c r="Z817" s="126"/>
      <c r="AA817" s="126"/>
      <c r="AB817" s="126"/>
      <c r="AC817" s="126"/>
      <c r="AD817" s="126"/>
      <c r="AE817" s="126"/>
      <c r="AF817" s="126"/>
      <c r="AG817" s="126"/>
      <c r="AH817" s="126"/>
      <c r="AI817" s="126"/>
      <c r="AJ817" s="126"/>
      <c r="AK817" s="126"/>
      <c r="AL817" s="126"/>
      <c r="AM817" s="126"/>
      <c r="AN817" s="126"/>
      <c r="AO817" s="126"/>
    </row>
    <row r="818">
      <c r="A818" s="158"/>
      <c r="B818" s="158"/>
      <c r="C818" s="158"/>
      <c r="D818" s="158"/>
      <c r="E818" s="158"/>
      <c r="F818" s="158"/>
      <c r="G818" s="158"/>
      <c r="H818" s="158"/>
      <c r="I818" s="145"/>
      <c r="J818" s="158"/>
      <c r="K818" s="158"/>
      <c r="L818" s="126"/>
      <c r="M818" s="126"/>
      <c r="N818" s="126"/>
      <c r="O818" s="126"/>
      <c r="P818" s="126"/>
      <c r="Q818" s="126"/>
      <c r="R818" s="126"/>
      <c r="S818" s="126"/>
      <c r="T818" s="126"/>
      <c r="U818" s="126"/>
      <c r="V818" s="126"/>
      <c r="W818" s="126"/>
      <c r="X818" s="126"/>
      <c r="Y818" s="126"/>
      <c r="Z818" s="126"/>
      <c r="AA818" s="126"/>
      <c r="AB818" s="126"/>
      <c r="AC818" s="126"/>
      <c r="AD818" s="126"/>
      <c r="AE818" s="126"/>
      <c r="AF818" s="126"/>
      <c r="AG818" s="126"/>
      <c r="AH818" s="126"/>
      <c r="AI818" s="126"/>
      <c r="AJ818" s="126"/>
      <c r="AK818" s="126"/>
      <c r="AL818" s="126"/>
      <c r="AM818" s="126"/>
      <c r="AN818" s="126"/>
      <c r="AO818" s="126"/>
    </row>
    <row r="819">
      <c r="A819" s="158"/>
      <c r="B819" s="158"/>
      <c r="C819" s="158"/>
      <c r="D819" s="158"/>
      <c r="E819" s="158"/>
      <c r="F819" s="158"/>
      <c r="G819" s="158"/>
      <c r="H819" s="158"/>
      <c r="I819" s="145"/>
      <c r="J819" s="158"/>
      <c r="K819" s="158"/>
      <c r="L819" s="126"/>
      <c r="M819" s="126"/>
      <c r="N819" s="126"/>
      <c r="O819" s="126"/>
      <c r="P819" s="126"/>
      <c r="Q819" s="126"/>
      <c r="R819" s="126"/>
      <c r="S819" s="126"/>
      <c r="T819" s="126"/>
      <c r="U819" s="126"/>
      <c r="V819" s="126"/>
      <c r="W819" s="126"/>
      <c r="X819" s="126"/>
      <c r="Y819" s="126"/>
      <c r="Z819" s="126"/>
      <c r="AA819" s="126"/>
      <c r="AB819" s="126"/>
      <c r="AC819" s="126"/>
      <c r="AD819" s="126"/>
      <c r="AE819" s="126"/>
      <c r="AF819" s="126"/>
      <c r="AG819" s="126"/>
      <c r="AH819" s="126"/>
      <c r="AI819" s="126"/>
      <c r="AJ819" s="126"/>
      <c r="AK819" s="126"/>
      <c r="AL819" s="126"/>
      <c r="AM819" s="126"/>
      <c r="AN819" s="126"/>
      <c r="AO819" s="126"/>
    </row>
    <row r="820">
      <c r="A820" s="158"/>
      <c r="B820" s="158"/>
      <c r="C820" s="158"/>
      <c r="D820" s="158"/>
      <c r="E820" s="158"/>
      <c r="F820" s="158"/>
      <c r="G820" s="158"/>
      <c r="H820" s="158"/>
      <c r="I820" s="145"/>
      <c r="J820" s="158"/>
      <c r="K820" s="158"/>
      <c r="L820" s="126"/>
      <c r="M820" s="126"/>
      <c r="N820" s="126"/>
      <c r="O820" s="126"/>
      <c r="P820" s="126"/>
      <c r="Q820" s="126"/>
      <c r="R820" s="126"/>
      <c r="S820" s="126"/>
      <c r="T820" s="126"/>
      <c r="U820" s="126"/>
      <c r="V820" s="126"/>
      <c r="W820" s="126"/>
      <c r="X820" s="126"/>
      <c r="Y820" s="126"/>
      <c r="Z820" s="126"/>
      <c r="AA820" s="126"/>
      <c r="AB820" s="126"/>
      <c r="AC820" s="126"/>
      <c r="AD820" s="126"/>
      <c r="AE820" s="126"/>
      <c r="AF820" s="126"/>
      <c r="AG820" s="126"/>
      <c r="AH820" s="126"/>
      <c r="AI820" s="126"/>
      <c r="AJ820" s="126"/>
      <c r="AK820" s="126"/>
      <c r="AL820" s="126"/>
      <c r="AM820" s="126"/>
      <c r="AN820" s="126"/>
      <c r="AO820" s="126"/>
    </row>
    <row r="821">
      <c r="A821" s="158"/>
      <c r="B821" s="158"/>
      <c r="C821" s="158"/>
      <c r="D821" s="158"/>
      <c r="E821" s="158"/>
      <c r="F821" s="158"/>
      <c r="G821" s="158"/>
      <c r="H821" s="158"/>
      <c r="I821" s="145"/>
      <c r="J821" s="158"/>
      <c r="K821" s="158"/>
      <c r="L821" s="126"/>
      <c r="M821" s="126"/>
      <c r="N821" s="126"/>
      <c r="O821" s="126"/>
      <c r="P821" s="126"/>
      <c r="Q821" s="126"/>
      <c r="R821" s="126"/>
      <c r="S821" s="126"/>
      <c r="T821" s="126"/>
      <c r="U821" s="126"/>
      <c r="V821" s="126"/>
      <c r="W821" s="126"/>
      <c r="X821" s="126"/>
      <c r="Y821" s="126"/>
      <c r="Z821" s="126"/>
      <c r="AA821" s="126"/>
      <c r="AB821" s="126"/>
      <c r="AC821" s="126"/>
      <c r="AD821" s="126"/>
      <c r="AE821" s="126"/>
      <c r="AF821" s="126"/>
      <c r="AG821" s="126"/>
      <c r="AH821" s="126"/>
      <c r="AI821" s="126"/>
      <c r="AJ821" s="126"/>
      <c r="AK821" s="126"/>
      <c r="AL821" s="126"/>
      <c r="AM821" s="126"/>
      <c r="AN821" s="126"/>
      <c r="AO821" s="126"/>
    </row>
    <row r="822">
      <c r="A822" s="158"/>
      <c r="B822" s="158"/>
      <c r="C822" s="158"/>
      <c r="D822" s="158"/>
      <c r="E822" s="158"/>
      <c r="F822" s="158"/>
      <c r="G822" s="158"/>
      <c r="H822" s="158"/>
      <c r="I822" s="145"/>
      <c r="J822" s="158"/>
      <c r="K822" s="158"/>
      <c r="L822" s="126"/>
      <c r="M822" s="126"/>
      <c r="N822" s="126"/>
      <c r="O822" s="126"/>
      <c r="P822" s="126"/>
      <c r="Q822" s="126"/>
      <c r="R822" s="126"/>
      <c r="S822" s="126"/>
      <c r="T822" s="126"/>
      <c r="U822" s="126"/>
      <c r="V822" s="126"/>
      <c r="W822" s="126"/>
      <c r="X822" s="126"/>
      <c r="Y822" s="126"/>
      <c r="Z822" s="126"/>
      <c r="AA822" s="126"/>
      <c r="AB822" s="126"/>
      <c r="AC822" s="126"/>
      <c r="AD822" s="126"/>
      <c r="AE822" s="126"/>
      <c r="AF822" s="126"/>
      <c r="AG822" s="126"/>
      <c r="AH822" s="126"/>
      <c r="AI822" s="126"/>
      <c r="AJ822" s="126"/>
      <c r="AK822" s="126"/>
      <c r="AL822" s="126"/>
      <c r="AM822" s="126"/>
      <c r="AN822" s="126"/>
      <c r="AO822" s="126"/>
    </row>
    <row r="823">
      <c r="A823" s="158"/>
      <c r="B823" s="158"/>
      <c r="C823" s="158"/>
      <c r="D823" s="158"/>
      <c r="E823" s="158"/>
      <c r="F823" s="158"/>
      <c r="G823" s="158"/>
      <c r="H823" s="158"/>
      <c r="I823" s="145"/>
      <c r="J823" s="158"/>
      <c r="K823" s="158"/>
      <c r="L823" s="126"/>
      <c r="M823" s="126"/>
      <c r="N823" s="126"/>
      <c r="O823" s="126"/>
      <c r="P823" s="126"/>
      <c r="Q823" s="126"/>
      <c r="R823" s="126"/>
      <c r="S823" s="126"/>
      <c r="T823" s="126"/>
      <c r="U823" s="126"/>
      <c r="V823" s="126"/>
      <c r="W823" s="126"/>
      <c r="X823" s="126"/>
      <c r="Y823" s="126"/>
      <c r="Z823" s="126"/>
      <c r="AA823" s="126"/>
      <c r="AB823" s="126"/>
      <c r="AC823" s="126"/>
      <c r="AD823" s="126"/>
      <c r="AE823" s="126"/>
      <c r="AF823" s="126"/>
      <c r="AG823" s="126"/>
      <c r="AH823" s="126"/>
      <c r="AI823" s="126"/>
      <c r="AJ823" s="126"/>
      <c r="AK823" s="126"/>
      <c r="AL823" s="126"/>
      <c r="AM823" s="126"/>
      <c r="AN823" s="126"/>
      <c r="AO823" s="126"/>
    </row>
    <row r="824">
      <c r="A824" s="158"/>
      <c r="B824" s="158"/>
      <c r="C824" s="158"/>
      <c r="D824" s="158"/>
      <c r="E824" s="158"/>
      <c r="F824" s="158"/>
      <c r="G824" s="158"/>
      <c r="H824" s="158"/>
      <c r="I824" s="145"/>
      <c r="J824" s="158"/>
      <c r="K824" s="158"/>
      <c r="L824" s="126"/>
      <c r="M824" s="126"/>
      <c r="N824" s="126"/>
      <c r="O824" s="126"/>
      <c r="P824" s="126"/>
      <c r="Q824" s="126"/>
      <c r="R824" s="126"/>
      <c r="S824" s="126"/>
      <c r="T824" s="126"/>
      <c r="U824" s="126"/>
      <c r="V824" s="126"/>
      <c r="W824" s="126"/>
      <c r="X824" s="126"/>
      <c r="Y824" s="126"/>
      <c r="Z824" s="126"/>
      <c r="AA824" s="126"/>
      <c r="AB824" s="126"/>
      <c r="AC824" s="126"/>
      <c r="AD824" s="126"/>
      <c r="AE824" s="126"/>
      <c r="AF824" s="126"/>
      <c r="AG824" s="126"/>
      <c r="AH824" s="126"/>
      <c r="AI824" s="126"/>
      <c r="AJ824" s="126"/>
      <c r="AK824" s="126"/>
      <c r="AL824" s="126"/>
      <c r="AM824" s="126"/>
      <c r="AN824" s="126"/>
      <c r="AO824" s="126"/>
    </row>
    <row r="825">
      <c r="A825" s="158"/>
      <c r="B825" s="158"/>
      <c r="C825" s="158"/>
      <c r="D825" s="158"/>
      <c r="E825" s="158"/>
      <c r="F825" s="158"/>
      <c r="G825" s="158"/>
      <c r="H825" s="158"/>
      <c r="I825" s="145"/>
      <c r="J825" s="158"/>
      <c r="K825" s="158"/>
      <c r="L825" s="126"/>
      <c r="M825" s="126"/>
      <c r="N825" s="126"/>
      <c r="O825" s="126"/>
      <c r="P825" s="126"/>
      <c r="Q825" s="126"/>
      <c r="R825" s="126"/>
      <c r="S825" s="126"/>
      <c r="T825" s="126"/>
      <c r="U825" s="126"/>
      <c r="V825" s="126"/>
      <c r="W825" s="126"/>
      <c r="X825" s="126"/>
      <c r="Y825" s="126"/>
      <c r="Z825" s="126"/>
      <c r="AA825" s="126"/>
      <c r="AB825" s="126"/>
      <c r="AC825" s="126"/>
      <c r="AD825" s="126"/>
      <c r="AE825" s="126"/>
      <c r="AF825" s="126"/>
      <c r="AG825" s="126"/>
      <c r="AH825" s="126"/>
      <c r="AI825" s="126"/>
      <c r="AJ825" s="126"/>
      <c r="AK825" s="126"/>
      <c r="AL825" s="126"/>
      <c r="AM825" s="126"/>
      <c r="AN825" s="126"/>
      <c r="AO825" s="126"/>
    </row>
    <row r="826">
      <c r="A826" s="158"/>
      <c r="B826" s="158"/>
      <c r="C826" s="158"/>
      <c r="D826" s="158"/>
      <c r="E826" s="158"/>
      <c r="F826" s="158"/>
      <c r="G826" s="158"/>
      <c r="H826" s="158"/>
      <c r="I826" s="145"/>
      <c r="J826" s="158"/>
      <c r="K826" s="158"/>
      <c r="L826" s="126"/>
      <c r="M826" s="126"/>
      <c r="N826" s="126"/>
      <c r="O826" s="126"/>
      <c r="P826" s="126"/>
      <c r="Q826" s="126"/>
      <c r="R826" s="126"/>
      <c r="S826" s="126"/>
      <c r="T826" s="126"/>
      <c r="U826" s="126"/>
      <c r="V826" s="126"/>
      <c r="W826" s="126"/>
      <c r="X826" s="126"/>
      <c r="Y826" s="126"/>
      <c r="Z826" s="126"/>
      <c r="AA826" s="126"/>
      <c r="AB826" s="126"/>
      <c r="AC826" s="126"/>
      <c r="AD826" s="126"/>
      <c r="AE826" s="126"/>
      <c r="AF826" s="126"/>
      <c r="AG826" s="126"/>
      <c r="AH826" s="126"/>
      <c r="AI826" s="126"/>
      <c r="AJ826" s="126"/>
      <c r="AK826" s="126"/>
      <c r="AL826" s="126"/>
      <c r="AM826" s="126"/>
      <c r="AN826" s="126"/>
      <c r="AO826" s="126"/>
    </row>
    <row r="827">
      <c r="A827" s="158"/>
      <c r="B827" s="158"/>
      <c r="C827" s="158"/>
      <c r="D827" s="158"/>
      <c r="E827" s="158"/>
      <c r="F827" s="158"/>
      <c r="G827" s="158"/>
      <c r="H827" s="158"/>
      <c r="I827" s="145"/>
      <c r="J827" s="158"/>
      <c r="K827" s="158"/>
      <c r="L827" s="126"/>
      <c r="M827" s="126"/>
      <c r="N827" s="126"/>
      <c r="O827" s="126"/>
      <c r="P827" s="126"/>
      <c r="Q827" s="126"/>
      <c r="R827" s="126"/>
      <c r="S827" s="126"/>
      <c r="T827" s="126"/>
      <c r="U827" s="126"/>
      <c r="V827" s="126"/>
      <c r="W827" s="126"/>
      <c r="X827" s="126"/>
      <c r="Y827" s="126"/>
      <c r="Z827" s="126"/>
      <c r="AA827" s="126"/>
      <c r="AB827" s="126"/>
      <c r="AC827" s="126"/>
      <c r="AD827" s="126"/>
      <c r="AE827" s="126"/>
      <c r="AF827" s="126"/>
      <c r="AG827" s="126"/>
      <c r="AH827" s="126"/>
      <c r="AI827" s="126"/>
      <c r="AJ827" s="126"/>
      <c r="AK827" s="126"/>
      <c r="AL827" s="126"/>
      <c r="AM827" s="126"/>
      <c r="AN827" s="126"/>
      <c r="AO827" s="126"/>
    </row>
    <row r="828">
      <c r="A828" s="158"/>
      <c r="B828" s="158"/>
      <c r="C828" s="158"/>
      <c r="D828" s="158"/>
      <c r="E828" s="158"/>
      <c r="F828" s="158"/>
      <c r="G828" s="158"/>
      <c r="H828" s="158"/>
      <c r="I828" s="145"/>
      <c r="J828" s="158"/>
      <c r="K828" s="158"/>
      <c r="L828" s="126"/>
      <c r="M828" s="126"/>
      <c r="N828" s="126"/>
      <c r="O828" s="126"/>
      <c r="P828" s="126"/>
      <c r="Q828" s="126"/>
      <c r="R828" s="126"/>
      <c r="S828" s="126"/>
      <c r="T828" s="126"/>
      <c r="U828" s="126"/>
      <c r="V828" s="126"/>
      <c r="W828" s="126"/>
      <c r="X828" s="126"/>
      <c r="Y828" s="126"/>
      <c r="Z828" s="126"/>
      <c r="AA828" s="126"/>
      <c r="AB828" s="126"/>
      <c r="AC828" s="126"/>
      <c r="AD828" s="126"/>
      <c r="AE828" s="126"/>
      <c r="AF828" s="126"/>
      <c r="AG828" s="126"/>
      <c r="AH828" s="126"/>
      <c r="AI828" s="126"/>
      <c r="AJ828" s="126"/>
      <c r="AK828" s="126"/>
      <c r="AL828" s="126"/>
      <c r="AM828" s="126"/>
      <c r="AN828" s="126"/>
      <c r="AO828" s="126"/>
    </row>
    <row r="829">
      <c r="A829" s="158"/>
      <c r="B829" s="158"/>
      <c r="C829" s="158"/>
      <c r="D829" s="158"/>
      <c r="E829" s="158"/>
      <c r="F829" s="158"/>
      <c r="G829" s="158"/>
      <c r="H829" s="158"/>
      <c r="I829" s="145"/>
      <c r="J829" s="158"/>
      <c r="K829" s="158"/>
      <c r="L829" s="126"/>
      <c r="M829" s="126"/>
      <c r="N829" s="126"/>
      <c r="O829" s="126"/>
      <c r="P829" s="126"/>
      <c r="Q829" s="126"/>
      <c r="R829" s="126"/>
      <c r="S829" s="126"/>
      <c r="T829" s="126"/>
      <c r="U829" s="126"/>
      <c r="V829" s="126"/>
      <c r="W829" s="126"/>
      <c r="X829" s="126"/>
      <c r="Y829" s="126"/>
      <c r="Z829" s="126"/>
      <c r="AA829" s="126"/>
      <c r="AB829" s="126"/>
      <c r="AC829" s="126"/>
      <c r="AD829" s="126"/>
      <c r="AE829" s="126"/>
      <c r="AF829" s="126"/>
      <c r="AG829" s="126"/>
      <c r="AH829" s="126"/>
      <c r="AI829" s="126"/>
      <c r="AJ829" s="126"/>
      <c r="AK829" s="126"/>
      <c r="AL829" s="126"/>
      <c r="AM829" s="126"/>
      <c r="AN829" s="126"/>
      <c r="AO829" s="126"/>
    </row>
    <row r="830">
      <c r="A830" s="158"/>
      <c r="B830" s="158"/>
      <c r="C830" s="158"/>
      <c r="D830" s="158"/>
      <c r="E830" s="158"/>
      <c r="F830" s="158"/>
      <c r="G830" s="158"/>
      <c r="H830" s="158"/>
      <c r="I830" s="145"/>
      <c r="J830" s="158"/>
      <c r="K830" s="158"/>
      <c r="L830" s="126"/>
      <c r="M830" s="126"/>
      <c r="N830" s="126"/>
      <c r="O830" s="126"/>
      <c r="P830" s="126"/>
      <c r="Q830" s="126"/>
      <c r="R830" s="126"/>
      <c r="S830" s="126"/>
      <c r="T830" s="126"/>
      <c r="U830" s="126"/>
      <c r="V830" s="126"/>
      <c r="W830" s="126"/>
      <c r="X830" s="126"/>
      <c r="Y830" s="126"/>
      <c r="Z830" s="126"/>
      <c r="AA830" s="126"/>
      <c r="AB830" s="126"/>
      <c r="AC830" s="126"/>
      <c r="AD830" s="126"/>
      <c r="AE830" s="126"/>
      <c r="AF830" s="126"/>
      <c r="AG830" s="126"/>
      <c r="AH830" s="126"/>
      <c r="AI830" s="126"/>
      <c r="AJ830" s="126"/>
      <c r="AK830" s="126"/>
      <c r="AL830" s="126"/>
      <c r="AM830" s="126"/>
      <c r="AN830" s="126"/>
      <c r="AO830" s="126"/>
    </row>
    <row r="831">
      <c r="A831" s="158"/>
      <c r="B831" s="158"/>
      <c r="C831" s="158"/>
      <c r="D831" s="158"/>
      <c r="E831" s="158"/>
      <c r="F831" s="158"/>
      <c r="G831" s="158"/>
      <c r="H831" s="158"/>
      <c r="I831" s="145"/>
      <c r="J831" s="158"/>
      <c r="K831" s="158"/>
      <c r="L831" s="126"/>
      <c r="M831" s="126"/>
      <c r="N831" s="126"/>
      <c r="O831" s="126"/>
      <c r="P831" s="126"/>
      <c r="Q831" s="126"/>
      <c r="R831" s="126"/>
      <c r="S831" s="126"/>
      <c r="T831" s="126"/>
      <c r="U831" s="126"/>
      <c r="V831" s="126"/>
      <c r="W831" s="126"/>
      <c r="X831" s="126"/>
      <c r="Y831" s="126"/>
      <c r="Z831" s="126"/>
      <c r="AA831" s="126"/>
      <c r="AB831" s="126"/>
      <c r="AC831" s="126"/>
      <c r="AD831" s="126"/>
      <c r="AE831" s="126"/>
      <c r="AF831" s="126"/>
      <c r="AG831" s="126"/>
      <c r="AH831" s="126"/>
      <c r="AI831" s="126"/>
      <c r="AJ831" s="126"/>
      <c r="AK831" s="126"/>
      <c r="AL831" s="126"/>
      <c r="AM831" s="126"/>
      <c r="AN831" s="126"/>
      <c r="AO831" s="126"/>
    </row>
    <row r="832">
      <c r="A832" s="158"/>
      <c r="B832" s="158"/>
      <c r="C832" s="158"/>
      <c r="D832" s="158"/>
      <c r="E832" s="158"/>
      <c r="F832" s="158"/>
      <c r="G832" s="158"/>
      <c r="H832" s="158"/>
      <c r="I832" s="145"/>
      <c r="J832" s="158"/>
      <c r="K832" s="158"/>
      <c r="L832" s="126"/>
      <c r="M832" s="126"/>
      <c r="N832" s="126"/>
      <c r="O832" s="126"/>
      <c r="P832" s="126"/>
      <c r="Q832" s="126"/>
      <c r="R832" s="126"/>
      <c r="S832" s="126"/>
      <c r="T832" s="126"/>
      <c r="U832" s="126"/>
      <c r="V832" s="126"/>
      <c r="W832" s="126"/>
      <c r="X832" s="126"/>
      <c r="Y832" s="126"/>
      <c r="Z832" s="126"/>
      <c r="AA832" s="126"/>
      <c r="AB832" s="126"/>
      <c r="AC832" s="126"/>
      <c r="AD832" s="126"/>
      <c r="AE832" s="126"/>
      <c r="AF832" s="126"/>
      <c r="AG832" s="126"/>
      <c r="AH832" s="126"/>
      <c r="AI832" s="126"/>
      <c r="AJ832" s="126"/>
      <c r="AK832" s="126"/>
      <c r="AL832" s="126"/>
      <c r="AM832" s="126"/>
      <c r="AN832" s="126"/>
      <c r="AO832" s="126"/>
    </row>
    <row r="833">
      <c r="A833" s="158"/>
      <c r="B833" s="158"/>
      <c r="C833" s="158"/>
      <c r="D833" s="158"/>
      <c r="E833" s="158"/>
      <c r="F833" s="158"/>
      <c r="G833" s="158"/>
      <c r="H833" s="158"/>
      <c r="I833" s="145"/>
      <c r="J833" s="158"/>
      <c r="K833" s="158"/>
      <c r="L833" s="126"/>
      <c r="M833" s="126"/>
      <c r="N833" s="126"/>
      <c r="O833" s="126"/>
      <c r="P833" s="126"/>
      <c r="Q833" s="126"/>
      <c r="R833" s="126"/>
      <c r="S833" s="126"/>
      <c r="T833" s="126"/>
      <c r="U833" s="126"/>
      <c r="V833" s="126"/>
      <c r="W833" s="126"/>
      <c r="X833" s="126"/>
      <c r="Y833" s="126"/>
      <c r="Z833" s="126"/>
      <c r="AA833" s="126"/>
      <c r="AB833" s="126"/>
      <c r="AC833" s="126"/>
      <c r="AD833" s="126"/>
      <c r="AE833" s="126"/>
      <c r="AF833" s="126"/>
      <c r="AG833" s="126"/>
      <c r="AH833" s="126"/>
      <c r="AI833" s="126"/>
      <c r="AJ833" s="126"/>
      <c r="AK833" s="126"/>
      <c r="AL833" s="126"/>
      <c r="AM833" s="126"/>
      <c r="AN833" s="126"/>
      <c r="AO833" s="126"/>
    </row>
    <row r="834">
      <c r="A834" s="158"/>
      <c r="B834" s="158"/>
      <c r="C834" s="158"/>
      <c r="D834" s="158"/>
      <c r="E834" s="158"/>
      <c r="F834" s="158"/>
      <c r="G834" s="158"/>
      <c r="H834" s="158"/>
      <c r="I834" s="145"/>
      <c r="J834" s="158"/>
      <c r="K834" s="158"/>
      <c r="L834" s="126"/>
      <c r="M834" s="126"/>
      <c r="N834" s="126"/>
      <c r="O834" s="126"/>
      <c r="P834" s="126"/>
      <c r="Q834" s="126"/>
      <c r="R834" s="126"/>
      <c r="S834" s="126"/>
      <c r="T834" s="126"/>
      <c r="U834" s="126"/>
      <c r="V834" s="126"/>
      <c r="W834" s="126"/>
      <c r="X834" s="126"/>
      <c r="Y834" s="126"/>
      <c r="Z834" s="126"/>
      <c r="AA834" s="126"/>
      <c r="AB834" s="126"/>
      <c r="AC834" s="126"/>
      <c r="AD834" s="126"/>
      <c r="AE834" s="126"/>
      <c r="AF834" s="126"/>
      <c r="AG834" s="126"/>
      <c r="AH834" s="126"/>
      <c r="AI834" s="126"/>
      <c r="AJ834" s="126"/>
      <c r="AK834" s="126"/>
      <c r="AL834" s="126"/>
      <c r="AM834" s="126"/>
      <c r="AN834" s="126"/>
      <c r="AO834" s="126"/>
    </row>
    <row r="835">
      <c r="A835" s="158"/>
      <c r="B835" s="158"/>
      <c r="C835" s="158"/>
      <c r="D835" s="158"/>
      <c r="E835" s="158"/>
      <c r="F835" s="158"/>
      <c r="G835" s="158"/>
      <c r="H835" s="158"/>
      <c r="I835" s="145"/>
      <c r="J835" s="158"/>
      <c r="K835" s="158"/>
      <c r="L835" s="126"/>
      <c r="M835" s="126"/>
      <c r="N835" s="126"/>
      <c r="O835" s="126"/>
      <c r="P835" s="126"/>
      <c r="Q835" s="126"/>
      <c r="R835" s="126"/>
      <c r="S835" s="126"/>
      <c r="T835" s="126"/>
      <c r="U835" s="126"/>
      <c r="V835" s="126"/>
      <c r="W835" s="126"/>
      <c r="X835" s="126"/>
      <c r="Y835" s="126"/>
      <c r="Z835" s="126"/>
      <c r="AA835" s="126"/>
      <c r="AB835" s="126"/>
      <c r="AC835" s="126"/>
      <c r="AD835" s="126"/>
      <c r="AE835" s="126"/>
      <c r="AF835" s="126"/>
      <c r="AG835" s="126"/>
      <c r="AH835" s="126"/>
      <c r="AI835" s="126"/>
      <c r="AJ835" s="126"/>
      <c r="AK835" s="126"/>
      <c r="AL835" s="126"/>
      <c r="AM835" s="126"/>
      <c r="AN835" s="126"/>
      <c r="AO835" s="126"/>
    </row>
    <row r="836">
      <c r="A836" s="158"/>
      <c r="B836" s="158"/>
      <c r="C836" s="158"/>
      <c r="D836" s="158"/>
      <c r="E836" s="158"/>
      <c r="F836" s="158"/>
      <c r="G836" s="158"/>
      <c r="H836" s="158"/>
      <c r="I836" s="145"/>
      <c r="J836" s="158"/>
      <c r="K836" s="158"/>
      <c r="L836" s="126"/>
      <c r="M836" s="126"/>
      <c r="N836" s="126"/>
      <c r="O836" s="126"/>
      <c r="P836" s="126"/>
      <c r="Q836" s="126"/>
      <c r="R836" s="126"/>
      <c r="S836" s="126"/>
      <c r="T836" s="126"/>
      <c r="U836" s="126"/>
      <c r="V836" s="126"/>
      <c r="W836" s="126"/>
      <c r="X836" s="126"/>
      <c r="Y836" s="126"/>
      <c r="Z836" s="126"/>
      <c r="AA836" s="126"/>
      <c r="AB836" s="126"/>
      <c r="AC836" s="126"/>
      <c r="AD836" s="126"/>
      <c r="AE836" s="126"/>
      <c r="AF836" s="126"/>
      <c r="AG836" s="126"/>
      <c r="AH836" s="126"/>
      <c r="AI836" s="126"/>
      <c r="AJ836" s="126"/>
      <c r="AK836" s="126"/>
      <c r="AL836" s="126"/>
      <c r="AM836" s="126"/>
      <c r="AN836" s="126"/>
      <c r="AO836" s="126"/>
    </row>
    <row r="837">
      <c r="A837" s="158"/>
      <c r="B837" s="158"/>
      <c r="C837" s="158"/>
      <c r="D837" s="158"/>
      <c r="E837" s="158"/>
      <c r="F837" s="158"/>
      <c r="G837" s="158"/>
      <c r="H837" s="158"/>
      <c r="I837" s="145"/>
      <c r="J837" s="158"/>
      <c r="K837" s="158"/>
      <c r="L837" s="126"/>
      <c r="M837" s="126"/>
      <c r="N837" s="126"/>
      <c r="O837" s="126"/>
      <c r="P837" s="126"/>
      <c r="Q837" s="126"/>
      <c r="R837" s="126"/>
      <c r="S837" s="126"/>
      <c r="T837" s="126"/>
      <c r="U837" s="126"/>
      <c r="V837" s="126"/>
      <c r="W837" s="126"/>
      <c r="X837" s="126"/>
      <c r="Y837" s="126"/>
      <c r="Z837" s="126"/>
      <c r="AA837" s="126"/>
      <c r="AB837" s="126"/>
      <c r="AC837" s="126"/>
      <c r="AD837" s="126"/>
      <c r="AE837" s="126"/>
      <c r="AF837" s="126"/>
      <c r="AG837" s="126"/>
      <c r="AH837" s="126"/>
      <c r="AI837" s="126"/>
      <c r="AJ837" s="126"/>
      <c r="AK837" s="126"/>
      <c r="AL837" s="126"/>
      <c r="AM837" s="126"/>
      <c r="AN837" s="126"/>
      <c r="AO837" s="126"/>
    </row>
    <row r="838">
      <c r="A838" s="158"/>
      <c r="B838" s="158"/>
      <c r="C838" s="158"/>
      <c r="D838" s="158"/>
      <c r="E838" s="158"/>
      <c r="F838" s="158"/>
      <c r="G838" s="158"/>
      <c r="H838" s="158"/>
      <c r="I838" s="145"/>
      <c r="J838" s="158"/>
      <c r="K838" s="158"/>
      <c r="L838" s="126"/>
      <c r="M838" s="126"/>
      <c r="N838" s="126"/>
      <c r="O838" s="126"/>
      <c r="P838" s="126"/>
      <c r="Q838" s="126"/>
      <c r="R838" s="126"/>
      <c r="S838" s="126"/>
      <c r="T838" s="126"/>
      <c r="U838" s="126"/>
      <c r="V838" s="126"/>
      <c r="W838" s="126"/>
      <c r="X838" s="126"/>
      <c r="Y838" s="126"/>
      <c r="Z838" s="126"/>
      <c r="AA838" s="126"/>
      <c r="AB838" s="126"/>
      <c r="AC838" s="126"/>
      <c r="AD838" s="126"/>
      <c r="AE838" s="126"/>
      <c r="AF838" s="126"/>
      <c r="AG838" s="126"/>
      <c r="AH838" s="126"/>
      <c r="AI838" s="126"/>
      <c r="AJ838" s="126"/>
      <c r="AK838" s="126"/>
      <c r="AL838" s="126"/>
      <c r="AM838" s="126"/>
      <c r="AN838" s="126"/>
      <c r="AO838" s="126"/>
    </row>
    <row r="839">
      <c r="A839" s="158"/>
      <c r="B839" s="158"/>
      <c r="C839" s="158"/>
      <c r="D839" s="158"/>
      <c r="E839" s="158"/>
      <c r="F839" s="158"/>
      <c r="G839" s="158"/>
      <c r="H839" s="158"/>
      <c r="I839" s="145"/>
      <c r="J839" s="158"/>
      <c r="K839" s="158"/>
      <c r="L839" s="126"/>
      <c r="M839" s="126"/>
      <c r="N839" s="126"/>
      <c r="O839" s="126"/>
      <c r="P839" s="126"/>
      <c r="Q839" s="126"/>
      <c r="R839" s="126"/>
      <c r="S839" s="126"/>
      <c r="T839" s="126"/>
      <c r="U839" s="126"/>
      <c r="V839" s="126"/>
      <c r="W839" s="126"/>
      <c r="X839" s="126"/>
      <c r="Y839" s="126"/>
      <c r="Z839" s="126"/>
      <c r="AA839" s="126"/>
      <c r="AB839" s="126"/>
      <c r="AC839" s="126"/>
      <c r="AD839" s="126"/>
      <c r="AE839" s="126"/>
      <c r="AF839" s="126"/>
      <c r="AG839" s="126"/>
      <c r="AH839" s="126"/>
      <c r="AI839" s="126"/>
      <c r="AJ839" s="126"/>
      <c r="AK839" s="126"/>
      <c r="AL839" s="126"/>
      <c r="AM839" s="126"/>
      <c r="AN839" s="126"/>
      <c r="AO839" s="126"/>
    </row>
    <row r="840">
      <c r="A840" s="158"/>
      <c r="B840" s="158"/>
      <c r="C840" s="158"/>
      <c r="D840" s="158"/>
      <c r="E840" s="158"/>
      <c r="F840" s="158"/>
      <c r="G840" s="158"/>
      <c r="H840" s="158"/>
      <c r="I840" s="145"/>
      <c r="J840" s="158"/>
      <c r="K840" s="158"/>
      <c r="L840" s="126"/>
      <c r="M840" s="126"/>
      <c r="N840" s="126"/>
      <c r="O840" s="126"/>
      <c r="P840" s="126"/>
      <c r="Q840" s="126"/>
      <c r="R840" s="126"/>
      <c r="S840" s="126"/>
      <c r="T840" s="126"/>
      <c r="U840" s="126"/>
      <c r="V840" s="126"/>
      <c r="W840" s="126"/>
      <c r="X840" s="126"/>
      <c r="Y840" s="126"/>
      <c r="Z840" s="126"/>
      <c r="AA840" s="126"/>
      <c r="AB840" s="126"/>
      <c r="AC840" s="126"/>
      <c r="AD840" s="126"/>
      <c r="AE840" s="126"/>
      <c r="AF840" s="126"/>
      <c r="AG840" s="126"/>
      <c r="AH840" s="126"/>
      <c r="AI840" s="126"/>
      <c r="AJ840" s="126"/>
      <c r="AK840" s="126"/>
      <c r="AL840" s="126"/>
      <c r="AM840" s="126"/>
      <c r="AN840" s="126"/>
      <c r="AO840" s="126"/>
    </row>
    <row r="841">
      <c r="A841" s="158"/>
      <c r="B841" s="158"/>
      <c r="C841" s="158"/>
      <c r="D841" s="158"/>
      <c r="E841" s="158"/>
      <c r="F841" s="158"/>
      <c r="G841" s="158"/>
      <c r="H841" s="158"/>
      <c r="I841" s="145"/>
      <c r="J841" s="158"/>
      <c r="K841" s="158"/>
      <c r="L841" s="126"/>
      <c r="M841" s="126"/>
      <c r="N841" s="126"/>
      <c r="O841" s="126"/>
      <c r="P841" s="126"/>
      <c r="Q841" s="126"/>
      <c r="R841" s="126"/>
      <c r="S841" s="126"/>
      <c r="T841" s="126"/>
      <c r="U841" s="126"/>
      <c r="V841" s="126"/>
      <c r="W841" s="126"/>
      <c r="X841" s="126"/>
      <c r="Y841" s="126"/>
      <c r="Z841" s="126"/>
      <c r="AA841" s="126"/>
      <c r="AB841" s="126"/>
      <c r="AC841" s="126"/>
      <c r="AD841" s="126"/>
      <c r="AE841" s="126"/>
      <c r="AF841" s="126"/>
      <c r="AG841" s="126"/>
      <c r="AH841" s="126"/>
      <c r="AI841" s="126"/>
      <c r="AJ841" s="126"/>
      <c r="AK841" s="126"/>
      <c r="AL841" s="126"/>
      <c r="AM841" s="126"/>
      <c r="AN841" s="126"/>
      <c r="AO841" s="126"/>
    </row>
    <row r="842">
      <c r="A842" s="158"/>
      <c r="B842" s="158"/>
      <c r="C842" s="158"/>
      <c r="D842" s="158"/>
      <c r="E842" s="158"/>
      <c r="F842" s="158"/>
      <c r="G842" s="158"/>
      <c r="H842" s="158"/>
      <c r="I842" s="145"/>
      <c r="J842" s="158"/>
      <c r="K842" s="158"/>
      <c r="L842" s="126"/>
      <c r="M842" s="126"/>
      <c r="N842" s="126"/>
      <c r="O842" s="126"/>
      <c r="P842" s="126"/>
      <c r="Q842" s="126"/>
      <c r="R842" s="126"/>
      <c r="S842" s="126"/>
      <c r="T842" s="126"/>
      <c r="U842" s="126"/>
      <c r="V842" s="126"/>
      <c r="W842" s="126"/>
      <c r="X842" s="126"/>
      <c r="Y842" s="126"/>
      <c r="Z842" s="126"/>
      <c r="AA842" s="126"/>
      <c r="AB842" s="126"/>
      <c r="AC842" s="126"/>
      <c r="AD842" s="126"/>
      <c r="AE842" s="126"/>
      <c r="AF842" s="126"/>
      <c r="AG842" s="126"/>
      <c r="AH842" s="126"/>
      <c r="AI842" s="126"/>
      <c r="AJ842" s="126"/>
      <c r="AK842" s="126"/>
      <c r="AL842" s="126"/>
      <c r="AM842" s="126"/>
      <c r="AN842" s="126"/>
      <c r="AO842" s="126"/>
    </row>
    <row r="843">
      <c r="A843" s="158"/>
      <c r="B843" s="158"/>
      <c r="C843" s="158"/>
      <c r="D843" s="158"/>
      <c r="E843" s="158"/>
      <c r="F843" s="158"/>
      <c r="G843" s="158"/>
      <c r="H843" s="158"/>
      <c r="I843" s="145"/>
      <c r="J843" s="158"/>
      <c r="K843" s="158"/>
      <c r="L843" s="126"/>
      <c r="M843" s="126"/>
      <c r="N843" s="126"/>
      <c r="O843" s="126"/>
      <c r="P843" s="126"/>
      <c r="Q843" s="126"/>
      <c r="R843" s="126"/>
      <c r="S843" s="126"/>
      <c r="T843" s="126"/>
      <c r="U843" s="126"/>
      <c r="V843" s="126"/>
      <c r="W843" s="126"/>
      <c r="X843" s="126"/>
      <c r="Y843" s="126"/>
      <c r="Z843" s="126"/>
      <c r="AA843" s="126"/>
      <c r="AB843" s="126"/>
      <c r="AC843" s="126"/>
      <c r="AD843" s="126"/>
      <c r="AE843" s="126"/>
      <c r="AF843" s="126"/>
      <c r="AG843" s="126"/>
      <c r="AH843" s="126"/>
      <c r="AI843" s="126"/>
      <c r="AJ843" s="126"/>
      <c r="AK843" s="126"/>
      <c r="AL843" s="126"/>
      <c r="AM843" s="126"/>
      <c r="AN843" s="126"/>
      <c r="AO843" s="126"/>
    </row>
    <row r="844">
      <c r="A844" s="158"/>
      <c r="B844" s="158"/>
      <c r="C844" s="158"/>
      <c r="D844" s="158"/>
      <c r="E844" s="158"/>
      <c r="F844" s="158"/>
      <c r="G844" s="158"/>
      <c r="H844" s="158"/>
      <c r="I844" s="145"/>
      <c r="J844" s="158"/>
      <c r="K844" s="158"/>
      <c r="L844" s="126"/>
      <c r="M844" s="126"/>
      <c r="N844" s="126"/>
      <c r="O844" s="126"/>
      <c r="P844" s="126"/>
      <c r="Q844" s="126"/>
      <c r="R844" s="126"/>
      <c r="S844" s="126"/>
      <c r="T844" s="126"/>
      <c r="U844" s="126"/>
      <c r="V844" s="126"/>
      <c r="W844" s="126"/>
      <c r="X844" s="126"/>
      <c r="Y844" s="126"/>
      <c r="Z844" s="126"/>
      <c r="AA844" s="126"/>
      <c r="AB844" s="126"/>
      <c r="AC844" s="126"/>
      <c r="AD844" s="126"/>
      <c r="AE844" s="126"/>
      <c r="AF844" s="126"/>
      <c r="AG844" s="126"/>
      <c r="AH844" s="126"/>
      <c r="AI844" s="126"/>
      <c r="AJ844" s="126"/>
      <c r="AK844" s="126"/>
      <c r="AL844" s="126"/>
      <c r="AM844" s="126"/>
      <c r="AN844" s="126"/>
      <c r="AO844" s="126"/>
    </row>
    <row r="845">
      <c r="A845" s="158"/>
      <c r="B845" s="158"/>
      <c r="C845" s="158"/>
      <c r="D845" s="158"/>
      <c r="E845" s="158"/>
      <c r="F845" s="158"/>
      <c r="G845" s="158"/>
      <c r="H845" s="158"/>
      <c r="I845" s="145"/>
      <c r="J845" s="158"/>
      <c r="K845" s="158"/>
      <c r="L845" s="126"/>
      <c r="M845" s="126"/>
      <c r="N845" s="126"/>
      <c r="O845" s="126"/>
      <c r="P845" s="126"/>
      <c r="Q845" s="126"/>
      <c r="R845" s="126"/>
      <c r="S845" s="126"/>
      <c r="T845" s="126"/>
      <c r="U845" s="126"/>
      <c r="V845" s="126"/>
      <c r="W845" s="126"/>
      <c r="X845" s="126"/>
      <c r="Y845" s="126"/>
      <c r="Z845" s="126"/>
      <c r="AA845" s="126"/>
      <c r="AB845" s="126"/>
      <c r="AC845" s="126"/>
      <c r="AD845" s="126"/>
      <c r="AE845" s="126"/>
      <c r="AF845" s="126"/>
      <c r="AG845" s="126"/>
      <c r="AH845" s="126"/>
      <c r="AI845" s="126"/>
      <c r="AJ845" s="126"/>
      <c r="AK845" s="126"/>
      <c r="AL845" s="126"/>
      <c r="AM845" s="126"/>
      <c r="AN845" s="126"/>
      <c r="AO845" s="126"/>
    </row>
    <row r="846">
      <c r="A846" s="158"/>
      <c r="B846" s="158"/>
      <c r="C846" s="158"/>
      <c r="D846" s="158"/>
      <c r="E846" s="158"/>
      <c r="F846" s="158"/>
      <c r="G846" s="158"/>
      <c r="H846" s="158"/>
      <c r="I846" s="145"/>
      <c r="J846" s="158"/>
      <c r="K846" s="158"/>
      <c r="L846" s="126"/>
      <c r="M846" s="126"/>
      <c r="N846" s="126"/>
      <c r="O846" s="126"/>
      <c r="P846" s="126"/>
      <c r="Q846" s="126"/>
      <c r="R846" s="126"/>
      <c r="S846" s="126"/>
      <c r="T846" s="126"/>
      <c r="U846" s="126"/>
      <c r="V846" s="126"/>
      <c r="W846" s="126"/>
      <c r="X846" s="126"/>
      <c r="Y846" s="126"/>
      <c r="Z846" s="126"/>
      <c r="AA846" s="126"/>
      <c r="AB846" s="126"/>
      <c r="AC846" s="126"/>
      <c r="AD846" s="126"/>
      <c r="AE846" s="126"/>
      <c r="AF846" s="126"/>
      <c r="AG846" s="126"/>
      <c r="AH846" s="126"/>
      <c r="AI846" s="126"/>
      <c r="AJ846" s="126"/>
      <c r="AK846" s="126"/>
      <c r="AL846" s="126"/>
      <c r="AM846" s="126"/>
      <c r="AN846" s="126"/>
      <c r="AO846" s="126"/>
    </row>
    <row r="847">
      <c r="A847" s="158"/>
      <c r="B847" s="158"/>
      <c r="C847" s="158"/>
      <c r="D847" s="158"/>
      <c r="E847" s="158"/>
      <c r="F847" s="158"/>
      <c r="G847" s="158"/>
      <c r="H847" s="158"/>
      <c r="I847" s="145"/>
      <c r="J847" s="158"/>
      <c r="K847" s="158"/>
      <c r="L847" s="126"/>
      <c r="M847" s="126"/>
      <c r="N847" s="126"/>
      <c r="O847" s="126"/>
      <c r="P847" s="126"/>
      <c r="Q847" s="126"/>
      <c r="R847" s="126"/>
      <c r="S847" s="126"/>
      <c r="T847" s="126"/>
      <c r="U847" s="126"/>
      <c r="V847" s="126"/>
      <c r="W847" s="126"/>
      <c r="X847" s="126"/>
      <c r="Y847" s="126"/>
      <c r="Z847" s="126"/>
      <c r="AA847" s="126"/>
      <c r="AB847" s="126"/>
      <c r="AC847" s="126"/>
      <c r="AD847" s="126"/>
      <c r="AE847" s="126"/>
      <c r="AF847" s="126"/>
      <c r="AG847" s="126"/>
      <c r="AH847" s="126"/>
      <c r="AI847" s="126"/>
      <c r="AJ847" s="126"/>
      <c r="AK847" s="126"/>
      <c r="AL847" s="126"/>
      <c r="AM847" s="126"/>
      <c r="AN847" s="126"/>
      <c r="AO847" s="126"/>
    </row>
    <row r="848">
      <c r="A848" s="158"/>
      <c r="B848" s="158"/>
      <c r="C848" s="158"/>
      <c r="D848" s="158"/>
      <c r="E848" s="158"/>
      <c r="F848" s="158"/>
      <c r="G848" s="158"/>
      <c r="H848" s="158"/>
      <c r="I848" s="145"/>
      <c r="J848" s="158"/>
      <c r="K848" s="158"/>
      <c r="L848" s="126"/>
      <c r="M848" s="126"/>
      <c r="N848" s="126"/>
      <c r="O848" s="126"/>
      <c r="P848" s="126"/>
      <c r="Q848" s="126"/>
      <c r="R848" s="126"/>
      <c r="S848" s="126"/>
      <c r="T848" s="126"/>
      <c r="U848" s="126"/>
      <c r="V848" s="126"/>
      <c r="W848" s="126"/>
      <c r="X848" s="126"/>
      <c r="Y848" s="126"/>
      <c r="Z848" s="126"/>
      <c r="AA848" s="126"/>
      <c r="AB848" s="126"/>
      <c r="AC848" s="126"/>
      <c r="AD848" s="126"/>
      <c r="AE848" s="126"/>
      <c r="AF848" s="126"/>
      <c r="AG848" s="126"/>
      <c r="AH848" s="126"/>
      <c r="AI848" s="126"/>
      <c r="AJ848" s="126"/>
      <c r="AK848" s="126"/>
      <c r="AL848" s="126"/>
      <c r="AM848" s="126"/>
      <c r="AN848" s="126"/>
      <c r="AO848" s="126"/>
    </row>
    <row r="849">
      <c r="A849" s="158"/>
      <c r="B849" s="158"/>
      <c r="C849" s="158"/>
      <c r="D849" s="158"/>
      <c r="E849" s="158"/>
      <c r="F849" s="158"/>
      <c r="G849" s="158"/>
      <c r="H849" s="158"/>
      <c r="I849" s="145"/>
      <c r="J849" s="158"/>
      <c r="K849" s="158"/>
      <c r="L849" s="126"/>
      <c r="M849" s="126"/>
      <c r="N849" s="126"/>
      <c r="O849" s="126"/>
      <c r="P849" s="126"/>
      <c r="Q849" s="126"/>
      <c r="R849" s="126"/>
      <c r="S849" s="126"/>
      <c r="T849" s="126"/>
      <c r="U849" s="126"/>
      <c r="V849" s="126"/>
      <c r="W849" s="126"/>
      <c r="X849" s="126"/>
      <c r="Y849" s="126"/>
      <c r="Z849" s="126"/>
      <c r="AA849" s="126"/>
      <c r="AB849" s="126"/>
      <c r="AC849" s="126"/>
      <c r="AD849" s="126"/>
      <c r="AE849" s="126"/>
      <c r="AF849" s="126"/>
      <c r="AG849" s="126"/>
      <c r="AH849" s="126"/>
      <c r="AI849" s="126"/>
      <c r="AJ849" s="126"/>
      <c r="AK849" s="126"/>
      <c r="AL849" s="126"/>
      <c r="AM849" s="126"/>
      <c r="AN849" s="126"/>
      <c r="AO849" s="126"/>
    </row>
    <row r="850">
      <c r="A850" s="158"/>
      <c r="B850" s="158"/>
      <c r="C850" s="158"/>
      <c r="D850" s="158"/>
      <c r="E850" s="158"/>
      <c r="F850" s="158"/>
      <c r="G850" s="158"/>
      <c r="H850" s="158"/>
      <c r="I850" s="145"/>
      <c r="J850" s="158"/>
      <c r="K850" s="158"/>
      <c r="L850" s="126"/>
      <c r="M850" s="126"/>
      <c r="N850" s="126"/>
      <c r="O850" s="126"/>
      <c r="P850" s="126"/>
      <c r="Q850" s="126"/>
      <c r="R850" s="126"/>
      <c r="S850" s="126"/>
      <c r="T850" s="126"/>
      <c r="U850" s="126"/>
      <c r="V850" s="126"/>
      <c r="W850" s="126"/>
      <c r="X850" s="126"/>
      <c r="Y850" s="126"/>
      <c r="Z850" s="126"/>
      <c r="AA850" s="126"/>
      <c r="AB850" s="126"/>
      <c r="AC850" s="126"/>
      <c r="AD850" s="126"/>
      <c r="AE850" s="126"/>
      <c r="AF850" s="126"/>
      <c r="AG850" s="126"/>
      <c r="AH850" s="126"/>
      <c r="AI850" s="126"/>
      <c r="AJ850" s="126"/>
      <c r="AK850" s="126"/>
      <c r="AL850" s="126"/>
      <c r="AM850" s="126"/>
      <c r="AN850" s="126"/>
      <c r="AO850" s="126"/>
    </row>
    <row r="851">
      <c r="A851" s="158"/>
      <c r="B851" s="158"/>
      <c r="C851" s="158"/>
      <c r="D851" s="158"/>
      <c r="E851" s="158"/>
      <c r="F851" s="158"/>
      <c r="G851" s="158"/>
      <c r="H851" s="158"/>
      <c r="I851" s="145"/>
      <c r="J851" s="158"/>
      <c r="K851" s="158"/>
      <c r="L851" s="126"/>
      <c r="M851" s="126"/>
      <c r="N851" s="126"/>
      <c r="O851" s="126"/>
      <c r="P851" s="126"/>
      <c r="Q851" s="126"/>
      <c r="R851" s="126"/>
      <c r="S851" s="126"/>
      <c r="T851" s="126"/>
      <c r="U851" s="126"/>
      <c r="V851" s="126"/>
      <c r="W851" s="126"/>
      <c r="X851" s="126"/>
      <c r="Y851" s="126"/>
      <c r="Z851" s="126"/>
      <c r="AA851" s="126"/>
      <c r="AB851" s="126"/>
      <c r="AC851" s="126"/>
      <c r="AD851" s="126"/>
      <c r="AE851" s="126"/>
      <c r="AF851" s="126"/>
      <c r="AG851" s="126"/>
      <c r="AH851" s="126"/>
      <c r="AI851" s="126"/>
      <c r="AJ851" s="126"/>
      <c r="AK851" s="126"/>
      <c r="AL851" s="126"/>
      <c r="AM851" s="126"/>
      <c r="AN851" s="126"/>
      <c r="AO851" s="126"/>
    </row>
    <row r="852">
      <c r="A852" s="158"/>
      <c r="B852" s="158"/>
      <c r="C852" s="158"/>
      <c r="D852" s="158"/>
      <c r="E852" s="158"/>
      <c r="F852" s="158"/>
      <c r="G852" s="158"/>
      <c r="H852" s="158"/>
      <c r="I852" s="145"/>
      <c r="J852" s="158"/>
      <c r="K852" s="158"/>
      <c r="L852" s="126"/>
      <c r="M852" s="126"/>
      <c r="N852" s="126"/>
      <c r="O852" s="126"/>
      <c r="P852" s="126"/>
      <c r="Q852" s="126"/>
      <c r="R852" s="126"/>
      <c r="S852" s="126"/>
      <c r="T852" s="126"/>
      <c r="U852" s="126"/>
      <c r="V852" s="126"/>
      <c r="W852" s="126"/>
      <c r="X852" s="126"/>
      <c r="Y852" s="126"/>
      <c r="Z852" s="126"/>
      <c r="AA852" s="126"/>
      <c r="AB852" s="126"/>
      <c r="AC852" s="126"/>
      <c r="AD852" s="126"/>
      <c r="AE852" s="126"/>
      <c r="AF852" s="126"/>
      <c r="AG852" s="126"/>
      <c r="AH852" s="126"/>
      <c r="AI852" s="126"/>
      <c r="AJ852" s="126"/>
      <c r="AK852" s="126"/>
      <c r="AL852" s="126"/>
      <c r="AM852" s="126"/>
      <c r="AN852" s="126"/>
      <c r="AO852" s="126"/>
    </row>
    <row r="853">
      <c r="A853" s="158"/>
      <c r="B853" s="158"/>
      <c r="C853" s="158"/>
      <c r="D853" s="158"/>
      <c r="E853" s="158"/>
      <c r="F853" s="158"/>
      <c r="G853" s="158"/>
      <c r="H853" s="158"/>
      <c r="I853" s="145"/>
      <c r="J853" s="158"/>
      <c r="K853" s="158"/>
      <c r="L853" s="126"/>
      <c r="M853" s="126"/>
      <c r="N853" s="126"/>
      <c r="O853" s="126"/>
      <c r="P853" s="126"/>
      <c r="Q853" s="126"/>
      <c r="R853" s="126"/>
      <c r="S853" s="126"/>
      <c r="T853" s="126"/>
      <c r="U853" s="126"/>
      <c r="V853" s="126"/>
      <c r="W853" s="126"/>
      <c r="X853" s="126"/>
      <c r="Y853" s="126"/>
      <c r="Z853" s="126"/>
      <c r="AA853" s="126"/>
      <c r="AB853" s="126"/>
      <c r="AC853" s="126"/>
      <c r="AD853" s="126"/>
      <c r="AE853" s="126"/>
      <c r="AF853" s="126"/>
      <c r="AG853" s="126"/>
      <c r="AH853" s="126"/>
      <c r="AI853" s="126"/>
      <c r="AJ853" s="126"/>
      <c r="AK853" s="126"/>
      <c r="AL853" s="126"/>
      <c r="AM853" s="126"/>
      <c r="AN853" s="126"/>
      <c r="AO853" s="126"/>
    </row>
    <row r="854">
      <c r="A854" s="158"/>
      <c r="B854" s="158"/>
      <c r="C854" s="158"/>
      <c r="D854" s="158"/>
      <c r="E854" s="158"/>
      <c r="F854" s="158"/>
      <c r="G854" s="158"/>
      <c r="H854" s="158"/>
      <c r="I854" s="145"/>
      <c r="J854" s="158"/>
      <c r="K854" s="158"/>
      <c r="L854" s="126"/>
      <c r="M854" s="126"/>
      <c r="N854" s="126"/>
      <c r="O854" s="126"/>
      <c r="P854" s="126"/>
      <c r="Q854" s="126"/>
      <c r="R854" s="126"/>
      <c r="S854" s="126"/>
      <c r="T854" s="126"/>
      <c r="U854" s="126"/>
      <c r="V854" s="126"/>
      <c r="W854" s="126"/>
      <c r="X854" s="126"/>
      <c r="Y854" s="126"/>
      <c r="Z854" s="126"/>
      <c r="AA854" s="126"/>
      <c r="AB854" s="126"/>
      <c r="AC854" s="126"/>
      <c r="AD854" s="126"/>
      <c r="AE854" s="126"/>
      <c r="AF854" s="126"/>
      <c r="AG854" s="126"/>
      <c r="AH854" s="126"/>
      <c r="AI854" s="126"/>
      <c r="AJ854" s="126"/>
      <c r="AK854" s="126"/>
      <c r="AL854" s="126"/>
      <c r="AM854" s="126"/>
      <c r="AN854" s="126"/>
      <c r="AO854" s="126"/>
    </row>
    <row r="855">
      <c r="A855" s="158"/>
      <c r="B855" s="158"/>
      <c r="C855" s="158"/>
      <c r="D855" s="158"/>
      <c r="E855" s="158"/>
      <c r="F855" s="158"/>
      <c r="G855" s="158"/>
      <c r="H855" s="158"/>
      <c r="I855" s="145"/>
      <c r="J855" s="158"/>
      <c r="K855" s="158"/>
      <c r="L855" s="126"/>
      <c r="M855" s="126"/>
      <c r="N855" s="126"/>
      <c r="O855" s="126"/>
      <c r="P855" s="126"/>
      <c r="Q855" s="126"/>
      <c r="R855" s="126"/>
      <c r="S855" s="126"/>
      <c r="T855" s="126"/>
      <c r="U855" s="126"/>
      <c r="V855" s="126"/>
      <c r="W855" s="126"/>
      <c r="X855" s="126"/>
      <c r="Y855" s="126"/>
      <c r="Z855" s="126"/>
      <c r="AA855" s="126"/>
      <c r="AB855" s="126"/>
      <c r="AC855" s="126"/>
      <c r="AD855" s="126"/>
      <c r="AE855" s="126"/>
      <c r="AF855" s="126"/>
      <c r="AG855" s="126"/>
      <c r="AH855" s="126"/>
      <c r="AI855" s="126"/>
      <c r="AJ855" s="126"/>
      <c r="AK855" s="126"/>
      <c r="AL855" s="126"/>
      <c r="AM855" s="126"/>
      <c r="AN855" s="126"/>
      <c r="AO855" s="126"/>
    </row>
    <row r="856">
      <c r="A856" s="158"/>
      <c r="B856" s="158"/>
      <c r="C856" s="158"/>
      <c r="D856" s="158"/>
      <c r="E856" s="158"/>
      <c r="F856" s="158"/>
      <c r="G856" s="158"/>
      <c r="H856" s="158"/>
      <c r="I856" s="145"/>
      <c r="J856" s="158"/>
      <c r="K856" s="158"/>
      <c r="L856" s="126"/>
      <c r="M856" s="126"/>
      <c r="N856" s="126"/>
      <c r="O856" s="126"/>
      <c r="P856" s="126"/>
      <c r="Q856" s="126"/>
      <c r="R856" s="126"/>
      <c r="S856" s="126"/>
      <c r="T856" s="126"/>
      <c r="U856" s="126"/>
      <c r="V856" s="126"/>
      <c r="W856" s="126"/>
      <c r="X856" s="126"/>
      <c r="Y856" s="126"/>
      <c r="Z856" s="126"/>
      <c r="AA856" s="126"/>
      <c r="AB856" s="126"/>
      <c r="AC856" s="126"/>
      <c r="AD856" s="126"/>
      <c r="AE856" s="126"/>
      <c r="AF856" s="126"/>
      <c r="AG856" s="126"/>
      <c r="AH856" s="126"/>
      <c r="AI856" s="126"/>
      <c r="AJ856" s="126"/>
      <c r="AK856" s="126"/>
      <c r="AL856" s="126"/>
      <c r="AM856" s="126"/>
      <c r="AN856" s="126"/>
      <c r="AO856" s="126"/>
    </row>
    <row r="857">
      <c r="A857" s="158"/>
      <c r="B857" s="158"/>
      <c r="C857" s="158"/>
      <c r="D857" s="158"/>
      <c r="E857" s="158"/>
      <c r="F857" s="158"/>
      <c r="G857" s="158"/>
      <c r="H857" s="158"/>
      <c r="I857" s="145"/>
      <c r="J857" s="158"/>
      <c r="K857" s="158"/>
      <c r="L857" s="126"/>
      <c r="M857" s="126"/>
      <c r="N857" s="126"/>
      <c r="O857" s="126"/>
      <c r="P857" s="126"/>
      <c r="Q857" s="126"/>
      <c r="R857" s="126"/>
      <c r="S857" s="126"/>
      <c r="T857" s="126"/>
      <c r="U857" s="126"/>
      <c r="V857" s="126"/>
      <c r="W857" s="126"/>
      <c r="X857" s="126"/>
      <c r="Y857" s="126"/>
      <c r="Z857" s="126"/>
      <c r="AA857" s="126"/>
      <c r="AB857" s="126"/>
      <c r="AC857" s="126"/>
      <c r="AD857" s="126"/>
      <c r="AE857" s="126"/>
      <c r="AF857" s="126"/>
      <c r="AG857" s="126"/>
      <c r="AH857" s="126"/>
      <c r="AI857" s="126"/>
      <c r="AJ857" s="126"/>
      <c r="AK857" s="126"/>
      <c r="AL857" s="126"/>
      <c r="AM857" s="126"/>
      <c r="AN857" s="126"/>
      <c r="AO857" s="126"/>
    </row>
    <row r="858">
      <c r="A858" s="158"/>
      <c r="B858" s="158"/>
      <c r="C858" s="158"/>
      <c r="D858" s="158"/>
      <c r="E858" s="158"/>
      <c r="F858" s="158"/>
      <c r="G858" s="158"/>
      <c r="H858" s="158"/>
      <c r="I858" s="145"/>
      <c r="J858" s="158"/>
      <c r="K858" s="158"/>
      <c r="L858" s="126"/>
      <c r="M858" s="126"/>
      <c r="N858" s="126"/>
      <c r="O858" s="126"/>
      <c r="P858" s="126"/>
      <c r="Q858" s="126"/>
      <c r="R858" s="126"/>
      <c r="S858" s="126"/>
      <c r="T858" s="126"/>
      <c r="U858" s="126"/>
      <c r="V858" s="126"/>
      <c r="W858" s="126"/>
      <c r="X858" s="126"/>
      <c r="Y858" s="126"/>
      <c r="Z858" s="126"/>
      <c r="AA858" s="126"/>
      <c r="AB858" s="126"/>
      <c r="AC858" s="126"/>
      <c r="AD858" s="126"/>
      <c r="AE858" s="126"/>
      <c r="AF858" s="126"/>
      <c r="AG858" s="126"/>
      <c r="AH858" s="126"/>
      <c r="AI858" s="126"/>
      <c r="AJ858" s="126"/>
      <c r="AK858" s="126"/>
      <c r="AL858" s="126"/>
      <c r="AM858" s="126"/>
      <c r="AN858" s="126"/>
      <c r="AO858" s="126"/>
    </row>
    <row r="859">
      <c r="A859" s="158"/>
      <c r="B859" s="158"/>
      <c r="C859" s="158"/>
      <c r="D859" s="158"/>
      <c r="E859" s="158"/>
      <c r="F859" s="158"/>
      <c r="G859" s="158"/>
      <c r="H859" s="158"/>
      <c r="I859" s="145"/>
      <c r="J859" s="158"/>
      <c r="K859" s="158"/>
      <c r="L859" s="126"/>
      <c r="M859" s="126"/>
      <c r="N859" s="126"/>
      <c r="O859" s="126"/>
      <c r="P859" s="126"/>
      <c r="Q859" s="126"/>
      <c r="R859" s="126"/>
      <c r="S859" s="126"/>
      <c r="T859" s="126"/>
      <c r="U859" s="126"/>
      <c r="V859" s="126"/>
      <c r="W859" s="126"/>
      <c r="X859" s="126"/>
      <c r="Y859" s="126"/>
      <c r="Z859" s="126"/>
      <c r="AA859" s="126"/>
      <c r="AB859" s="126"/>
      <c r="AC859" s="126"/>
      <c r="AD859" s="126"/>
      <c r="AE859" s="126"/>
      <c r="AF859" s="126"/>
      <c r="AG859" s="126"/>
      <c r="AH859" s="126"/>
      <c r="AI859" s="126"/>
      <c r="AJ859" s="126"/>
      <c r="AK859" s="126"/>
      <c r="AL859" s="126"/>
      <c r="AM859" s="126"/>
      <c r="AN859" s="126"/>
      <c r="AO859" s="126"/>
    </row>
    <row r="860">
      <c r="A860" s="158"/>
      <c r="B860" s="158"/>
      <c r="C860" s="158"/>
      <c r="D860" s="158"/>
      <c r="E860" s="158"/>
      <c r="F860" s="158"/>
      <c r="G860" s="158"/>
      <c r="H860" s="158"/>
      <c r="I860" s="145"/>
      <c r="J860" s="158"/>
      <c r="K860" s="158"/>
      <c r="L860" s="126"/>
      <c r="M860" s="126"/>
      <c r="N860" s="126"/>
      <c r="O860" s="126"/>
      <c r="P860" s="126"/>
      <c r="Q860" s="126"/>
      <c r="R860" s="126"/>
      <c r="S860" s="126"/>
      <c r="T860" s="126"/>
      <c r="U860" s="126"/>
      <c r="V860" s="126"/>
      <c r="W860" s="126"/>
      <c r="X860" s="126"/>
      <c r="Y860" s="126"/>
      <c r="Z860" s="126"/>
      <c r="AA860" s="126"/>
      <c r="AB860" s="126"/>
      <c r="AC860" s="126"/>
      <c r="AD860" s="126"/>
      <c r="AE860" s="126"/>
      <c r="AF860" s="126"/>
      <c r="AG860" s="126"/>
      <c r="AH860" s="126"/>
      <c r="AI860" s="126"/>
      <c r="AJ860" s="126"/>
      <c r="AK860" s="126"/>
      <c r="AL860" s="126"/>
      <c r="AM860" s="126"/>
      <c r="AN860" s="126"/>
      <c r="AO860" s="126"/>
    </row>
    <row r="861">
      <c r="A861" s="158"/>
      <c r="B861" s="158"/>
      <c r="C861" s="158"/>
      <c r="D861" s="158"/>
      <c r="E861" s="158"/>
      <c r="F861" s="158"/>
      <c r="G861" s="158"/>
      <c r="H861" s="158"/>
      <c r="I861" s="145"/>
      <c r="J861" s="158"/>
      <c r="K861" s="158"/>
      <c r="L861" s="126"/>
      <c r="M861" s="126"/>
      <c r="N861" s="126"/>
      <c r="O861" s="126"/>
      <c r="P861" s="126"/>
      <c r="Q861" s="126"/>
      <c r="R861" s="126"/>
      <c r="S861" s="126"/>
      <c r="T861" s="126"/>
      <c r="U861" s="126"/>
      <c r="V861" s="126"/>
      <c r="W861" s="126"/>
      <c r="X861" s="126"/>
      <c r="Y861" s="126"/>
      <c r="Z861" s="126"/>
      <c r="AA861" s="126"/>
      <c r="AB861" s="126"/>
      <c r="AC861" s="126"/>
      <c r="AD861" s="126"/>
      <c r="AE861" s="126"/>
      <c r="AF861" s="126"/>
      <c r="AG861" s="126"/>
      <c r="AH861" s="126"/>
      <c r="AI861" s="126"/>
      <c r="AJ861" s="126"/>
      <c r="AK861" s="126"/>
      <c r="AL861" s="126"/>
      <c r="AM861" s="126"/>
      <c r="AN861" s="126"/>
      <c r="AO861" s="126"/>
    </row>
    <row r="862">
      <c r="A862" s="158"/>
      <c r="B862" s="158"/>
      <c r="C862" s="158"/>
      <c r="D862" s="158"/>
      <c r="E862" s="158"/>
      <c r="F862" s="158"/>
      <c r="G862" s="158"/>
      <c r="H862" s="158"/>
      <c r="I862" s="145"/>
      <c r="J862" s="158"/>
      <c r="K862" s="158"/>
      <c r="L862" s="126"/>
      <c r="M862" s="126"/>
      <c r="N862" s="126"/>
      <c r="O862" s="126"/>
      <c r="P862" s="126"/>
      <c r="Q862" s="126"/>
      <c r="R862" s="126"/>
      <c r="S862" s="126"/>
      <c r="T862" s="126"/>
      <c r="U862" s="126"/>
      <c r="V862" s="126"/>
      <c r="W862" s="126"/>
      <c r="X862" s="126"/>
      <c r="Y862" s="126"/>
      <c r="Z862" s="126"/>
      <c r="AA862" s="126"/>
      <c r="AB862" s="126"/>
      <c r="AC862" s="126"/>
      <c r="AD862" s="126"/>
      <c r="AE862" s="126"/>
      <c r="AF862" s="126"/>
      <c r="AG862" s="126"/>
      <c r="AH862" s="126"/>
      <c r="AI862" s="126"/>
      <c r="AJ862" s="126"/>
      <c r="AK862" s="126"/>
      <c r="AL862" s="126"/>
      <c r="AM862" s="126"/>
      <c r="AN862" s="126"/>
      <c r="AO862" s="126"/>
    </row>
    <row r="863">
      <c r="A863" s="158"/>
      <c r="B863" s="158"/>
      <c r="C863" s="158"/>
      <c r="D863" s="158"/>
      <c r="E863" s="158"/>
      <c r="F863" s="158"/>
      <c r="G863" s="158"/>
      <c r="H863" s="158"/>
      <c r="I863" s="145"/>
      <c r="J863" s="158"/>
      <c r="K863" s="158"/>
      <c r="L863" s="126"/>
      <c r="M863" s="126"/>
      <c r="N863" s="126"/>
      <c r="O863" s="126"/>
      <c r="P863" s="126"/>
      <c r="Q863" s="126"/>
      <c r="R863" s="126"/>
      <c r="S863" s="126"/>
      <c r="T863" s="126"/>
      <c r="U863" s="126"/>
      <c r="V863" s="126"/>
      <c r="W863" s="126"/>
      <c r="X863" s="126"/>
      <c r="Y863" s="126"/>
      <c r="Z863" s="126"/>
      <c r="AA863" s="126"/>
      <c r="AB863" s="126"/>
      <c r="AC863" s="126"/>
      <c r="AD863" s="126"/>
      <c r="AE863" s="126"/>
      <c r="AF863" s="126"/>
      <c r="AG863" s="126"/>
      <c r="AH863" s="126"/>
      <c r="AI863" s="126"/>
      <c r="AJ863" s="126"/>
      <c r="AK863" s="126"/>
      <c r="AL863" s="126"/>
      <c r="AM863" s="126"/>
      <c r="AN863" s="126"/>
      <c r="AO863" s="126"/>
    </row>
    <row r="864">
      <c r="A864" s="158"/>
      <c r="B864" s="158"/>
      <c r="C864" s="158"/>
      <c r="D864" s="158"/>
      <c r="E864" s="158"/>
      <c r="F864" s="158"/>
      <c r="G864" s="158"/>
      <c r="H864" s="158"/>
      <c r="I864" s="145"/>
      <c r="J864" s="158"/>
      <c r="K864" s="158"/>
      <c r="L864" s="126"/>
      <c r="M864" s="126"/>
      <c r="N864" s="126"/>
      <c r="O864" s="126"/>
      <c r="P864" s="126"/>
      <c r="Q864" s="126"/>
      <c r="R864" s="126"/>
      <c r="S864" s="126"/>
      <c r="T864" s="126"/>
      <c r="U864" s="126"/>
      <c r="V864" s="126"/>
      <c r="W864" s="126"/>
      <c r="X864" s="126"/>
      <c r="Y864" s="126"/>
      <c r="Z864" s="126"/>
      <c r="AA864" s="126"/>
      <c r="AB864" s="126"/>
      <c r="AC864" s="126"/>
      <c r="AD864" s="126"/>
      <c r="AE864" s="126"/>
      <c r="AF864" s="126"/>
      <c r="AG864" s="126"/>
      <c r="AH864" s="126"/>
      <c r="AI864" s="126"/>
      <c r="AJ864" s="126"/>
      <c r="AK864" s="126"/>
      <c r="AL864" s="126"/>
      <c r="AM864" s="126"/>
      <c r="AN864" s="126"/>
      <c r="AO864" s="126"/>
    </row>
    <row r="865">
      <c r="A865" s="158"/>
      <c r="B865" s="158"/>
      <c r="C865" s="158"/>
      <c r="D865" s="158"/>
      <c r="E865" s="158"/>
      <c r="F865" s="158"/>
      <c r="G865" s="158"/>
      <c r="H865" s="158"/>
      <c r="I865" s="145"/>
      <c r="J865" s="158"/>
      <c r="K865" s="158"/>
      <c r="L865" s="126"/>
      <c r="M865" s="126"/>
      <c r="N865" s="126"/>
      <c r="O865" s="126"/>
      <c r="P865" s="126"/>
      <c r="Q865" s="126"/>
      <c r="R865" s="126"/>
      <c r="S865" s="126"/>
      <c r="T865" s="126"/>
      <c r="U865" s="126"/>
      <c r="V865" s="126"/>
      <c r="W865" s="126"/>
      <c r="X865" s="126"/>
      <c r="Y865" s="126"/>
      <c r="Z865" s="126"/>
      <c r="AA865" s="126"/>
      <c r="AB865" s="126"/>
      <c r="AC865" s="126"/>
      <c r="AD865" s="126"/>
      <c r="AE865" s="126"/>
      <c r="AF865" s="126"/>
      <c r="AG865" s="126"/>
      <c r="AH865" s="126"/>
      <c r="AI865" s="126"/>
      <c r="AJ865" s="126"/>
      <c r="AK865" s="126"/>
      <c r="AL865" s="126"/>
      <c r="AM865" s="126"/>
      <c r="AN865" s="126"/>
      <c r="AO865" s="126"/>
    </row>
    <row r="866">
      <c r="A866" s="158"/>
      <c r="B866" s="158"/>
      <c r="C866" s="158"/>
      <c r="D866" s="158"/>
      <c r="E866" s="158"/>
      <c r="F866" s="158"/>
      <c r="G866" s="158"/>
      <c r="H866" s="158"/>
      <c r="I866" s="145"/>
      <c r="J866" s="158"/>
      <c r="K866" s="158"/>
      <c r="L866" s="126"/>
      <c r="M866" s="126"/>
      <c r="N866" s="126"/>
      <c r="O866" s="126"/>
      <c r="P866" s="126"/>
      <c r="Q866" s="126"/>
      <c r="R866" s="126"/>
      <c r="S866" s="126"/>
      <c r="T866" s="126"/>
      <c r="U866" s="126"/>
      <c r="V866" s="126"/>
      <c r="W866" s="126"/>
      <c r="X866" s="126"/>
      <c r="Y866" s="126"/>
      <c r="Z866" s="126"/>
      <c r="AA866" s="126"/>
      <c r="AB866" s="126"/>
      <c r="AC866" s="126"/>
      <c r="AD866" s="126"/>
      <c r="AE866" s="126"/>
      <c r="AF866" s="126"/>
      <c r="AG866" s="126"/>
      <c r="AH866" s="126"/>
      <c r="AI866" s="126"/>
      <c r="AJ866" s="126"/>
      <c r="AK866" s="126"/>
      <c r="AL866" s="126"/>
      <c r="AM866" s="126"/>
      <c r="AN866" s="126"/>
      <c r="AO866" s="126"/>
    </row>
    <row r="867">
      <c r="A867" s="158"/>
      <c r="B867" s="158"/>
      <c r="C867" s="158"/>
      <c r="D867" s="158"/>
      <c r="E867" s="158"/>
      <c r="F867" s="158"/>
      <c r="G867" s="158"/>
      <c r="H867" s="158"/>
      <c r="I867" s="145"/>
      <c r="J867" s="158"/>
      <c r="K867" s="158"/>
      <c r="L867" s="126"/>
      <c r="M867" s="126"/>
      <c r="N867" s="126"/>
      <c r="O867" s="126"/>
      <c r="P867" s="126"/>
      <c r="Q867" s="126"/>
      <c r="R867" s="126"/>
      <c r="S867" s="126"/>
      <c r="T867" s="126"/>
      <c r="U867" s="126"/>
      <c r="V867" s="126"/>
      <c r="W867" s="126"/>
      <c r="X867" s="126"/>
      <c r="Y867" s="126"/>
      <c r="Z867" s="126"/>
      <c r="AA867" s="126"/>
      <c r="AB867" s="126"/>
      <c r="AC867" s="126"/>
      <c r="AD867" s="126"/>
      <c r="AE867" s="126"/>
      <c r="AF867" s="126"/>
      <c r="AG867" s="126"/>
      <c r="AH867" s="126"/>
      <c r="AI867" s="126"/>
      <c r="AJ867" s="126"/>
      <c r="AK867" s="126"/>
      <c r="AL867" s="126"/>
      <c r="AM867" s="126"/>
      <c r="AN867" s="126"/>
      <c r="AO867" s="126"/>
    </row>
    <row r="868">
      <c r="A868" s="158"/>
      <c r="B868" s="158"/>
      <c r="C868" s="158"/>
      <c r="D868" s="158"/>
      <c r="E868" s="158"/>
      <c r="F868" s="158"/>
      <c r="G868" s="158"/>
      <c r="H868" s="158"/>
      <c r="I868" s="145"/>
      <c r="J868" s="158"/>
      <c r="K868" s="158"/>
      <c r="L868" s="126"/>
      <c r="M868" s="126"/>
      <c r="N868" s="126"/>
      <c r="O868" s="126"/>
      <c r="P868" s="126"/>
      <c r="Q868" s="126"/>
      <c r="R868" s="126"/>
      <c r="S868" s="126"/>
      <c r="T868" s="126"/>
      <c r="U868" s="126"/>
      <c r="V868" s="126"/>
      <c r="W868" s="126"/>
      <c r="X868" s="126"/>
      <c r="Y868" s="126"/>
      <c r="Z868" s="126"/>
      <c r="AA868" s="126"/>
      <c r="AB868" s="126"/>
      <c r="AC868" s="126"/>
      <c r="AD868" s="126"/>
      <c r="AE868" s="126"/>
      <c r="AF868" s="126"/>
      <c r="AG868" s="126"/>
      <c r="AH868" s="126"/>
      <c r="AI868" s="126"/>
      <c r="AJ868" s="126"/>
      <c r="AK868" s="126"/>
      <c r="AL868" s="126"/>
      <c r="AM868" s="126"/>
      <c r="AN868" s="126"/>
      <c r="AO868" s="126"/>
    </row>
    <row r="869">
      <c r="A869" s="158"/>
      <c r="B869" s="158"/>
      <c r="C869" s="158"/>
      <c r="D869" s="158"/>
      <c r="E869" s="158"/>
      <c r="F869" s="158"/>
      <c r="G869" s="158"/>
      <c r="H869" s="158"/>
      <c r="I869" s="145"/>
      <c r="J869" s="158"/>
      <c r="K869" s="158"/>
      <c r="L869" s="126"/>
      <c r="M869" s="126"/>
      <c r="N869" s="126"/>
      <c r="O869" s="126"/>
      <c r="P869" s="126"/>
      <c r="Q869" s="126"/>
      <c r="R869" s="126"/>
      <c r="S869" s="126"/>
      <c r="T869" s="126"/>
      <c r="U869" s="126"/>
      <c r="V869" s="126"/>
      <c r="W869" s="126"/>
      <c r="X869" s="126"/>
      <c r="Y869" s="126"/>
      <c r="Z869" s="126"/>
      <c r="AA869" s="126"/>
      <c r="AB869" s="126"/>
      <c r="AC869" s="126"/>
      <c r="AD869" s="126"/>
      <c r="AE869" s="126"/>
      <c r="AF869" s="126"/>
      <c r="AG869" s="126"/>
      <c r="AH869" s="126"/>
      <c r="AI869" s="126"/>
      <c r="AJ869" s="126"/>
      <c r="AK869" s="126"/>
      <c r="AL869" s="126"/>
      <c r="AM869" s="126"/>
      <c r="AN869" s="126"/>
      <c r="AO869" s="126"/>
    </row>
    <row r="870">
      <c r="A870" s="158"/>
      <c r="B870" s="158"/>
      <c r="C870" s="158"/>
      <c r="D870" s="158"/>
      <c r="E870" s="158"/>
      <c r="F870" s="158"/>
      <c r="G870" s="158"/>
      <c r="H870" s="158"/>
      <c r="I870" s="145"/>
      <c r="J870" s="158"/>
      <c r="K870" s="158"/>
      <c r="L870" s="126"/>
      <c r="M870" s="126"/>
      <c r="N870" s="126"/>
      <c r="O870" s="126"/>
      <c r="P870" s="126"/>
      <c r="Q870" s="126"/>
      <c r="R870" s="126"/>
      <c r="S870" s="126"/>
      <c r="T870" s="126"/>
      <c r="U870" s="126"/>
      <c r="V870" s="126"/>
      <c r="W870" s="126"/>
      <c r="X870" s="126"/>
      <c r="Y870" s="126"/>
      <c r="Z870" s="126"/>
      <c r="AA870" s="126"/>
      <c r="AB870" s="126"/>
      <c r="AC870" s="126"/>
      <c r="AD870" s="126"/>
      <c r="AE870" s="126"/>
      <c r="AF870" s="126"/>
      <c r="AG870" s="126"/>
      <c r="AH870" s="126"/>
      <c r="AI870" s="126"/>
      <c r="AJ870" s="126"/>
      <c r="AK870" s="126"/>
      <c r="AL870" s="126"/>
      <c r="AM870" s="126"/>
      <c r="AN870" s="126"/>
      <c r="AO870" s="126"/>
    </row>
    <row r="871">
      <c r="A871" s="158"/>
      <c r="B871" s="158"/>
      <c r="C871" s="158"/>
      <c r="D871" s="158"/>
      <c r="E871" s="158"/>
      <c r="F871" s="158"/>
      <c r="G871" s="158"/>
      <c r="H871" s="158"/>
      <c r="I871" s="145"/>
      <c r="J871" s="158"/>
      <c r="K871" s="158"/>
      <c r="L871" s="126"/>
      <c r="M871" s="126"/>
      <c r="N871" s="126"/>
      <c r="O871" s="126"/>
      <c r="P871" s="126"/>
      <c r="Q871" s="126"/>
      <c r="R871" s="126"/>
      <c r="S871" s="126"/>
      <c r="T871" s="126"/>
      <c r="U871" s="126"/>
      <c r="V871" s="126"/>
      <c r="W871" s="126"/>
      <c r="X871" s="126"/>
      <c r="Y871" s="126"/>
      <c r="Z871" s="126"/>
      <c r="AA871" s="126"/>
      <c r="AB871" s="126"/>
      <c r="AC871" s="126"/>
      <c r="AD871" s="126"/>
      <c r="AE871" s="126"/>
      <c r="AF871" s="126"/>
      <c r="AG871" s="126"/>
      <c r="AH871" s="126"/>
      <c r="AI871" s="126"/>
      <c r="AJ871" s="126"/>
      <c r="AK871" s="126"/>
      <c r="AL871" s="126"/>
      <c r="AM871" s="126"/>
      <c r="AN871" s="126"/>
      <c r="AO871" s="126"/>
    </row>
    <row r="872">
      <c r="A872" s="158"/>
      <c r="B872" s="158"/>
      <c r="C872" s="158"/>
      <c r="D872" s="158"/>
      <c r="E872" s="158"/>
      <c r="F872" s="158"/>
      <c r="G872" s="158"/>
      <c r="H872" s="158"/>
      <c r="I872" s="145"/>
      <c r="J872" s="158"/>
      <c r="K872" s="158"/>
      <c r="L872" s="126"/>
      <c r="M872" s="126"/>
      <c r="N872" s="126"/>
      <c r="O872" s="126"/>
      <c r="P872" s="126"/>
      <c r="Q872" s="126"/>
      <c r="R872" s="126"/>
      <c r="S872" s="126"/>
      <c r="T872" s="126"/>
      <c r="U872" s="126"/>
      <c r="V872" s="126"/>
      <c r="W872" s="126"/>
      <c r="X872" s="126"/>
      <c r="Y872" s="126"/>
      <c r="Z872" s="126"/>
      <c r="AA872" s="126"/>
      <c r="AB872" s="126"/>
      <c r="AC872" s="126"/>
      <c r="AD872" s="126"/>
      <c r="AE872" s="126"/>
      <c r="AF872" s="126"/>
      <c r="AG872" s="126"/>
      <c r="AH872" s="126"/>
      <c r="AI872" s="126"/>
      <c r="AJ872" s="126"/>
      <c r="AK872" s="126"/>
      <c r="AL872" s="126"/>
      <c r="AM872" s="126"/>
      <c r="AN872" s="126"/>
      <c r="AO872" s="126"/>
    </row>
    <row r="873">
      <c r="A873" s="158"/>
      <c r="B873" s="158"/>
      <c r="C873" s="158"/>
      <c r="D873" s="158"/>
      <c r="E873" s="158"/>
      <c r="F873" s="158"/>
      <c r="G873" s="158"/>
      <c r="H873" s="158"/>
      <c r="I873" s="145"/>
      <c r="J873" s="158"/>
      <c r="K873" s="158"/>
      <c r="L873" s="126"/>
      <c r="M873" s="126"/>
      <c r="N873" s="126"/>
      <c r="O873" s="126"/>
      <c r="P873" s="126"/>
      <c r="Q873" s="126"/>
      <c r="R873" s="126"/>
      <c r="S873" s="126"/>
      <c r="T873" s="126"/>
      <c r="U873" s="126"/>
      <c r="V873" s="126"/>
      <c r="W873" s="126"/>
      <c r="X873" s="126"/>
      <c r="Y873" s="126"/>
      <c r="Z873" s="126"/>
      <c r="AA873" s="126"/>
      <c r="AB873" s="126"/>
      <c r="AC873" s="126"/>
      <c r="AD873" s="126"/>
      <c r="AE873" s="126"/>
      <c r="AF873" s="126"/>
      <c r="AG873" s="126"/>
      <c r="AH873" s="126"/>
      <c r="AI873" s="126"/>
      <c r="AJ873" s="126"/>
      <c r="AK873" s="126"/>
      <c r="AL873" s="126"/>
      <c r="AM873" s="126"/>
      <c r="AN873" s="126"/>
      <c r="AO873" s="126"/>
    </row>
    <row r="874">
      <c r="A874" s="158"/>
      <c r="B874" s="158"/>
      <c r="C874" s="158"/>
      <c r="D874" s="158"/>
      <c r="E874" s="158"/>
      <c r="F874" s="158"/>
      <c r="G874" s="158"/>
      <c r="H874" s="158"/>
      <c r="I874" s="145"/>
      <c r="J874" s="158"/>
      <c r="K874" s="158"/>
      <c r="L874" s="126"/>
      <c r="M874" s="126"/>
      <c r="N874" s="126"/>
      <c r="O874" s="126"/>
      <c r="P874" s="126"/>
      <c r="Q874" s="126"/>
      <c r="R874" s="126"/>
      <c r="S874" s="126"/>
      <c r="T874" s="126"/>
      <c r="U874" s="126"/>
      <c r="V874" s="126"/>
      <c r="W874" s="126"/>
      <c r="X874" s="126"/>
      <c r="Y874" s="126"/>
      <c r="Z874" s="126"/>
      <c r="AA874" s="126"/>
      <c r="AB874" s="126"/>
      <c r="AC874" s="126"/>
      <c r="AD874" s="126"/>
      <c r="AE874" s="126"/>
      <c r="AF874" s="126"/>
      <c r="AG874" s="126"/>
      <c r="AH874" s="126"/>
      <c r="AI874" s="126"/>
      <c r="AJ874" s="126"/>
      <c r="AK874" s="126"/>
      <c r="AL874" s="126"/>
      <c r="AM874" s="126"/>
      <c r="AN874" s="126"/>
      <c r="AO874" s="126"/>
    </row>
    <row r="875">
      <c r="A875" s="158"/>
      <c r="B875" s="158"/>
      <c r="C875" s="158"/>
      <c r="D875" s="158"/>
      <c r="E875" s="158"/>
      <c r="F875" s="158"/>
      <c r="G875" s="158"/>
      <c r="H875" s="158"/>
      <c r="I875" s="145"/>
      <c r="J875" s="158"/>
      <c r="K875" s="158"/>
      <c r="L875" s="126"/>
      <c r="M875" s="126"/>
      <c r="N875" s="126"/>
      <c r="O875" s="126"/>
      <c r="P875" s="126"/>
      <c r="Q875" s="126"/>
      <c r="R875" s="126"/>
      <c r="S875" s="126"/>
      <c r="T875" s="126"/>
      <c r="U875" s="126"/>
      <c r="V875" s="126"/>
      <c r="W875" s="126"/>
      <c r="X875" s="126"/>
      <c r="Y875" s="126"/>
      <c r="Z875" s="126"/>
      <c r="AA875" s="126"/>
      <c r="AB875" s="126"/>
      <c r="AC875" s="126"/>
      <c r="AD875" s="126"/>
      <c r="AE875" s="126"/>
      <c r="AF875" s="126"/>
      <c r="AG875" s="126"/>
      <c r="AH875" s="126"/>
      <c r="AI875" s="126"/>
      <c r="AJ875" s="126"/>
      <c r="AK875" s="126"/>
      <c r="AL875" s="126"/>
      <c r="AM875" s="126"/>
      <c r="AN875" s="126"/>
      <c r="AO875" s="126"/>
    </row>
    <row r="876">
      <c r="A876" s="158"/>
      <c r="B876" s="158"/>
      <c r="C876" s="158"/>
      <c r="D876" s="158"/>
      <c r="E876" s="158"/>
      <c r="F876" s="158"/>
      <c r="G876" s="158"/>
      <c r="H876" s="158"/>
      <c r="I876" s="145"/>
      <c r="J876" s="158"/>
      <c r="K876" s="158"/>
      <c r="L876" s="126"/>
      <c r="M876" s="126"/>
      <c r="N876" s="126"/>
      <c r="O876" s="126"/>
      <c r="P876" s="126"/>
      <c r="Q876" s="126"/>
      <c r="R876" s="126"/>
      <c r="S876" s="126"/>
      <c r="T876" s="126"/>
      <c r="U876" s="126"/>
      <c r="V876" s="126"/>
      <c r="W876" s="126"/>
      <c r="X876" s="126"/>
      <c r="Y876" s="126"/>
      <c r="Z876" s="126"/>
      <c r="AA876" s="126"/>
      <c r="AB876" s="126"/>
      <c r="AC876" s="126"/>
      <c r="AD876" s="126"/>
      <c r="AE876" s="126"/>
      <c r="AF876" s="126"/>
      <c r="AG876" s="126"/>
      <c r="AH876" s="126"/>
      <c r="AI876" s="126"/>
      <c r="AJ876" s="126"/>
      <c r="AK876" s="126"/>
      <c r="AL876" s="126"/>
      <c r="AM876" s="126"/>
      <c r="AN876" s="126"/>
      <c r="AO876" s="126"/>
    </row>
    <row r="877">
      <c r="A877" s="158"/>
      <c r="B877" s="158"/>
      <c r="C877" s="158"/>
      <c r="D877" s="158"/>
      <c r="E877" s="158"/>
      <c r="F877" s="158"/>
      <c r="G877" s="158"/>
      <c r="H877" s="158"/>
      <c r="I877" s="145"/>
      <c r="J877" s="158"/>
      <c r="K877" s="158"/>
      <c r="L877" s="126"/>
      <c r="M877" s="126"/>
      <c r="N877" s="126"/>
      <c r="O877" s="126"/>
      <c r="P877" s="126"/>
      <c r="Q877" s="126"/>
      <c r="R877" s="126"/>
      <c r="S877" s="126"/>
      <c r="T877" s="126"/>
      <c r="U877" s="126"/>
      <c r="V877" s="126"/>
      <c r="W877" s="126"/>
      <c r="X877" s="126"/>
      <c r="Y877" s="126"/>
      <c r="Z877" s="126"/>
      <c r="AA877" s="126"/>
      <c r="AB877" s="126"/>
      <c r="AC877" s="126"/>
      <c r="AD877" s="126"/>
      <c r="AE877" s="126"/>
      <c r="AF877" s="126"/>
      <c r="AG877" s="126"/>
      <c r="AH877" s="126"/>
      <c r="AI877" s="126"/>
      <c r="AJ877" s="126"/>
      <c r="AK877" s="126"/>
      <c r="AL877" s="126"/>
      <c r="AM877" s="126"/>
      <c r="AN877" s="126"/>
      <c r="AO877" s="126"/>
    </row>
    <row r="878">
      <c r="A878" s="158"/>
      <c r="B878" s="158"/>
      <c r="C878" s="158"/>
      <c r="D878" s="158"/>
      <c r="E878" s="158"/>
      <c r="F878" s="158"/>
      <c r="G878" s="158"/>
      <c r="H878" s="158"/>
      <c r="I878" s="145"/>
      <c r="J878" s="158"/>
      <c r="K878" s="158"/>
      <c r="L878" s="126"/>
      <c r="M878" s="126"/>
      <c r="N878" s="126"/>
      <c r="O878" s="126"/>
      <c r="P878" s="126"/>
      <c r="Q878" s="126"/>
      <c r="R878" s="126"/>
      <c r="S878" s="126"/>
      <c r="T878" s="126"/>
      <c r="U878" s="126"/>
      <c r="V878" s="126"/>
      <c r="W878" s="126"/>
      <c r="X878" s="126"/>
      <c r="Y878" s="126"/>
      <c r="Z878" s="126"/>
      <c r="AA878" s="126"/>
      <c r="AB878" s="126"/>
      <c r="AC878" s="126"/>
      <c r="AD878" s="126"/>
      <c r="AE878" s="126"/>
      <c r="AF878" s="126"/>
      <c r="AG878" s="126"/>
      <c r="AH878" s="126"/>
      <c r="AI878" s="126"/>
      <c r="AJ878" s="126"/>
      <c r="AK878" s="126"/>
      <c r="AL878" s="126"/>
      <c r="AM878" s="126"/>
      <c r="AN878" s="126"/>
      <c r="AO878" s="126"/>
    </row>
    <row r="879">
      <c r="A879" s="158"/>
      <c r="B879" s="158"/>
      <c r="C879" s="158"/>
      <c r="D879" s="158"/>
      <c r="E879" s="158"/>
      <c r="F879" s="158"/>
      <c r="G879" s="158"/>
      <c r="H879" s="158"/>
      <c r="I879" s="145"/>
      <c r="J879" s="158"/>
      <c r="K879" s="158"/>
      <c r="L879" s="126"/>
      <c r="M879" s="126"/>
      <c r="N879" s="126"/>
      <c r="O879" s="126"/>
      <c r="P879" s="126"/>
      <c r="Q879" s="126"/>
      <c r="R879" s="126"/>
      <c r="S879" s="126"/>
      <c r="T879" s="126"/>
      <c r="U879" s="126"/>
      <c r="V879" s="126"/>
      <c r="W879" s="126"/>
      <c r="X879" s="126"/>
      <c r="Y879" s="126"/>
      <c r="Z879" s="126"/>
      <c r="AA879" s="126"/>
      <c r="AB879" s="126"/>
      <c r="AC879" s="126"/>
      <c r="AD879" s="126"/>
      <c r="AE879" s="126"/>
      <c r="AF879" s="126"/>
      <c r="AG879" s="126"/>
      <c r="AH879" s="126"/>
      <c r="AI879" s="126"/>
      <c r="AJ879" s="126"/>
      <c r="AK879" s="126"/>
      <c r="AL879" s="126"/>
      <c r="AM879" s="126"/>
      <c r="AN879" s="126"/>
      <c r="AO879" s="126"/>
    </row>
    <row r="880">
      <c r="A880" s="158"/>
      <c r="B880" s="158"/>
      <c r="C880" s="158"/>
      <c r="D880" s="158"/>
      <c r="E880" s="158"/>
      <c r="F880" s="158"/>
      <c r="G880" s="158"/>
      <c r="H880" s="158"/>
      <c r="I880" s="145"/>
      <c r="J880" s="158"/>
      <c r="K880" s="158"/>
      <c r="L880" s="126"/>
      <c r="M880" s="126"/>
      <c r="N880" s="126"/>
      <c r="O880" s="126"/>
      <c r="P880" s="126"/>
      <c r="Q880" s="126"/>
      <c r="R880" s="126"/>
      <c r="S880" s="126"/>
      <c r="T880" s="126"/>
      <c r="U880" s="126"/>
      <c r="V880" s="126"/>
      <c r="W880" s="126"/>
      <c r="X880" s="126"/>
      <c r="Y880" s="126"/>
      <c r="Z880" s="126"/>
      <c r="AA880" s="126"/>
      <c r="AB880" s="126"/>
      <c r="AC880" s="126"/>
      <c r="AD880" s="126"/>
      <c r="AE880" s="126"/>
      <c r="AF880" s="126"/>
      <c r="AG880" s="126"/>
      <c r="AH880" s="126"/>
      <c r="AI880" s="126"/>
      <c r="AJ880" s="126"/>
      <c r="AK880" s="126"/>
      <c r="AL880" s="126"/>
      <c r="AM880" s="126"/>
      <c r="AN880" s="126"/>
      <c r="AO880" s="126"/>
    </row>
    <row r="881">
      <c r="A881" s="158"/>
      <c r="B881" s="158"/>
      <c r="C881" s="158"/>
      <c r="D881" s="158"/>
      <c r="E881" s="158"/>
      <c r="F881" s="158"/>
      <c r="G881" s="158"/>
      <c r="H881" s="158"/>
      <c r="I881" s="145"/>
      <c r="J881" s="158"/>
      <c r="K881" s="158"/>
      <c r="L881" s="126"/>
      <c r="M881" s="126"/>
      <c r="N881" s="126"/>
      <c r="O881" s="126"/>
      <c r="P881" s="126"/>
      <c r="Q881" s="126"/>
      <c r="R881" s="126"/>
      <c r="S881" s="126"/>
      <c r="T881" s="126"/>
      <c r="U881" s="126"/>
      <c r="V881" s="126"/>
      <c r="W881" s="126"/>
      <c r="X881" s="126"/>
      <c r="Y881" s="126"/>
      <c r="Z881" s="126"/>
      <c r="AA881" s="126"/>
      <c r="AB881" s="126"/>
      <c r="AC881" s="126"/>
      <c r="AD881" s="126"/>
      <c r="AE881" s="126"/>
      <c r="AF881" s="126"/>
      <c r="AG881" s="126"/>
      <c r="AH881" s="126"/>
      <c r="AI881" s="126"/>
      <c r="AJ881" s="126"/>
      <c r="AK881" s="126"/>
      <c r="AL881" s="126"/>
      <c r="AM881" s="126"/>
      <c r="AN881" s="126"/>
      <c r="AO881" s="126"/>
    </row>
    <row r="882">
      <c r="A882" s="158"/>
      <c r="B882" s="158"/>
      <c r="C882" s="158"/>
      <c r="D882" s="158"/>
      <c r="E882" s="158"/>
      <c r="F882" s="158"/>
      <c r="G882" s="158"/>
      <c r="H882" s="158"/>
      <c r="I882" s="145"/>
      <c r="J882" s="158"/>
      <c r="K882" s="158"/>
      <c r="L882" s="126"/>
      <c r="M882" s="126"/>
      <c r="N882" s="126"/>
      <c r="O882" s="126"/>
      <c r="P882" s="126"/>
      <c r="Q882" s="126"/>
      <c r="R882" s="126"/>
      <c r="S882" s="126"/>
      <c r="T882" s="126"/>
      <c r="U882" s="126"/>
      <c r="V882" s="126"/>
      <c r="W882" s="126"/>
      <c r="X882" s="126"/>
      <c r="Y882" s="126"/>
      <c r="Z882" s="126"/>
      <c r="AA882" s="126"/>
      <c r="AB882" s="126"/>
      <c r="AC882" s="126"/>
      <c r="AD882" s="126"/>
      <c r="AE882" s="126"/>
      <c r="AF882" s="126"/>
      <c r="AG882" s="126"/>
      <c r="AH882" s="126"/>
      <c r="AI882" s="126"/>
      <c r="AJ882" s="126"/>
      <c r="AK882" s="126"/>
      <c r="AL882" s="126"/>
      <c r="AM882" s="126"/>
      <c r="AN882" s="126"/>
      <c r="AO882" s="126"/>
    </row>
    <row r="883">
      <c r="A883" s="158"/>
      <c r="B883" s="158"/>
      <c r="C883" s="158"/>
      <c r="D883" s="158"/>
      <c r="E883" s="158"/>
      <c r="F883" s="158"/>
      <c r="G883" s="158"/>
      <c r="H883" s="158"/>
      <c r="I883" s="145"/>
      <c r="J883" s="158"/>
      <c r="K883" s="158"/>
      <c r="L883" s="126"/>
      <c r="M883" s="126"/>
      <c r="N883" s="126"/>
      <c r="O883" s="126"/>
      <c r="P883" s="126"/>
      <c r="Q883" s="126"/>
      <c r="R883" s="126"/>
      <c r="S883" s="126"/>
      <c r="T883" s="126"/>
      <c r="U883" s="126"/>
      <c r="V883" s="126"/>
      <c r="W883" s="126"/>
      <c r="X883" s="126"/>
      <c r="Y883" s="126"/>
      <c r="Z883" s="126"/>
      <c r="AA883" s="126"/>
      <c r="AB883" s="126"/>
      <c r="AC883" s="126"/>
      <c r="AD883" s="126"/>
      <c r="AE883" s="126"/>
      <c r="AF883" s="126"/>
      <c r="AG883" s="126"/>
      <c r="AH883" s="126"/>
      <c r="AI883" s="126"/>
      <c r="AJ883" s="126"/>
      <c r="AK883" s="126"/>
      <c r="AL883" s="126"/>
      <c r="AM883" s="126"/>
      <c r="AN883" s="126"/>
      <c r="AO883" s="126"/>
    </row>
    <row r="884">
      <c r="A884" s="158"/>
      <c r="B884" s="158"/>
      <c r="C884" s="158"/>
      <c r="D884" s="158"/>
      <c r="E884" s="158"/>
      <c r="F884" s="158"/>
      <c r="G884" s="158"/>
      <c r="H884" s="158"/>
      <c r="I884" s="145"/>
      <c r="J884" s="158"/>
      <c r="K884" s="158"/>
      <c r="L884" s="126"/>
      <c r="M884" s="126"/>
      <c r="N884" s="126"/>
      <c r="O884" s="126"/>
      <c r="P884" s="126"/>
      <c r="Q884" s="126"/>
      <c r="R884" s="126"/>
      <c r="S884" s="126"/>
      <c r="T884" s="126"/>
      <c r="U884" s="126"/>
      <c r="V884" s="126"/>
      <c r="W884" s="126"/>
      <c r="X884" s="126"/>
      <c r="Y884" s="126"/>
      <c r="Z884" s="126"/>
      <c r="AA884" s="126"/>
      <c r="AB884" s="126"/>
      <c r="AC884" s="126"/>
      <c r="AD884" s="126"/>
      <c r="AE884" s="126"/>
      <c r="AF884" s="126"/>
      <c r="AG884" s="126"/>
      <c r="AH884" s="126"/>
      <c r="AI884" s="126"/>
      <c r="AJ884" s="126"/>
      <c r="AK884" s="126"/>
      <c r="AL884" s="126"/>
      <c r="AM884" s="126"/>
      <c r="AN884" s="126"/>
      <c r="AO884" s="126"/>
    </row>
    <row r="885">
      <c r="A885" s="158"/>
      <c r="B885" s="158"/>
      <c r="C885" s="158"/>
      <c r="D885" s="158"/>
      <c r="E885" s="158"/>
      <c r="F885" s="158"/>
      <c r="G885" s="158"/>
      <c r="H885" s="158"/>
      <c r="I885" s="145"/>
      <c r="J885" s="158"/>
      <c r="K885" s="158"/>
      <c r="L885" s="126"/>
      <c r="M885" s="126"/>
      <c r="N885" s="126"/>
      <c r="O885" s="126"/>
      <c r="P885" s="126"/>
      <c r="Q885" s="126"/>
      <c r="R885" s="126"/>
      <c r="S885" s="126"/>
      <c r="T885" s="126"/>
      <c r="U885" s="126"/>
      <c r="V885" s="126"/>
      <c r="W885" s="126"/>
      <c r="X885" s="126"/>
      <c r="Y885" s="126"/>
      <c r="Z885" s="126"/>
      <c r="AA885" s="126"/>
      <c r="AB885" s="126"/>
      <c r="AC885" s="126"/>
      <c r="AD885" s="126"/>
      <c r="AE885" s="126"/>
      <c r="AF885" s="126"/>
      <c r="AG885" s="126"/>
      <c r="AH885" s="126"/>
      <c r="AI885" s="126"/>
      <c r="AJ885" s="126"/>
      <c r="AK885" s="126"/>
      <c r="AL885" s="126"/>
      <c r="AM885" s="126"/>
      <c r="AN885" s="126"/>
      <c r="AO885" s="126"/>
    </row>
  </sheetData>
  <dataValidations>
    <dataValidation type="list" allowBlank="1" showErrorMessage="1" sqref="K16 K18:K22 K32:K47">
      <formula1>"CONTRATAÇÃO,REPARADO - LIBERADA,SINALIZADOR,GRAFISMO,CONTRATAÇÃO - DESCARGA,BORRACHARIA,GARANTIA"</formula1>
    </dataValidation>
    <dataValidation type="list" allowBlank="1" showErrorMessage="1" sqref="K2:K15 K17 K23:K31">
      <formula1>"CONTRATAÇÃO,REPARADO - LIBERADA,SINALIZADOR,GRAFISMO,CONTRATAÇÃO - DESCARGA,BORRACHARIA"</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5"/>
    <col customWidth="1" min="2" max="2" width="10.0"/>
    <col customWidth="1" min="3" max="3" width="10.5"/>
    <col customWidth="1" min="4" max="4" width="43.88"/>
    <col customWidth="1" min="5" max="5" width="18.13"/>
    <col customWidth="1" min="7" max="7" width="16.13"/>
    <col customWidth="1" min="9" max="9" width="55.75"/>
    <col customWidth="1" min="11" max="11" width="25.63"/>
    <col hidden="1" min="12" max="29" width="12.63"/>
  </cols>
  <sheetData>
    <row r="1" ht="46.5" customHeight="1">
      <c r="A1" s="159" t="s">
        <v>2753</v>
      </c>
      <c r="B1" s="160" t="s">
        <v>1</v>
      </c>
      <c r="C1" s="160" t="s">
        <v>2</v>
      </c>
      <c r="D1" s="160" t="s">
        <v>3</v>
      </c>
      <c r="E1" s="160" t="s">
        <v>4</v>
      </c>
      <c r="F1" s="161" t="s">
        <v>2622</v>
      </c>
      <c r="G1" s="162" t="s">
        <v>6</v>
      </c>
      <c r="H1" s="163" t="s">
        <v>7</v>
      </c>
      <c r="I1" s="164" t="s">
        <v>8</v>
      </c>
      <c r="J1" s="165" t="s">
        <v>9</v>
      </c>
      <c r="K1" s="163" t="s">
        <v>10</v>
      </c>
      <c r="L1" s="166"/>
      <c r="M1" s="166"/>
      <c r="N1" s="167"/>
      <c r="O1" s="166"/>
      <c r="P1" s="166"/>
      <c r="Q1" s="166"/>
      <c r="R1" s="166"/>
      <c r="S1" s="166"/>
      <c r="T1" s="166"/>
      <c r="U1" s="166"/>
      <c r="V1" s="166"/>
      <c r="W1" s="166"/>
      <c r="X1" s="166"/>
      <c r="Y1" s="166"/>
      <c r="Z1" s="166"/>
      <c r="AA1" s="166"/>
      <c r="AB1" s="166"/>
      <c r="AC1" s="166"/>
      <c r="AD1" s="166"/>
      <c r="AE1" s="166"/>
      <c r="AF1" s="166"/>
      <c r="AG1" s="166"/>
      <c r="AH1" s="166"/>
      <c r="AI1" s="166"/>
      <c r="AJ1" s="166"/>
      <c r="AK1" s="166"/>
      <c r="AL1" s="166"/>
      <c r="AM1" s="166"/>
      <c r="AN1" s="166"/>
      <c r="AO1" s="166"/>
    </row>
    <row r="2">
      <c r="A2" s="168">
        <v>0.0</v>
      </c>
      <c r="B2" s="169" t="s">
        <v>2754</v>
      </c>
      <c r="C2" s="168">
        <v>2023.0</v>
      </c>
      <c r="D2" s="142" t="s">
        <v>130</v>
      </c>
      <c r="E2" s="142" t="s">
        <v>2755</v>
      </c>
      <c r="F2" s="170" t="s">
        <v>2756</v>
      </c>
      <c r="G2" s="171">
        <v>45625.0</v>
      </c>
      <c r="H2" s="172">
        <f t="shared" ref="H2:H1059" si="1">IF(G2="","",IF(J2="",TODAY()-G2,J2-G2))</f>
        <v>0</v>
      </c>
      <c r="I2" s="173" t="s">
        <v>2757</v>
      </c>
      <c r="J2" s="171">
        <v>45625.0</v>
      </c>
      <c r="K2" s="169" t="s">
        <v>2758</v>
      </c>
    </row>
    <row r="3">
      <c r="A3" s="174">
        <v>0.0</v>
      </c>
      <c r="B3" s="175" t="s">
        <v>2759</v>
      </c>
      <c r="C3" s="174">
        <v>2023.0</v>
      </c>
      <c r="D3" s="176" t="s">
        <v>130</v>
      </c>
      <c r="E3" s="176" t="s">
        <v>2755</v>
      </c>
      <c r="F3" s="177" t="s">
        <v>2760</v>
      </c>
      <c r="G3" s="178">
        <v>45625.0</v>
      </c>
      <c r="H3" s="179">
        <f t="shared" si="1"/>
        <v>0</v>
      </c>
      <c r="I3" s="180" t="s">
        <v>2761</v>
      </c>
      <c r="J3" s="178">
        <v>45625.0</v>
      </c>
      <c r="K3" s="175" t="s">
        <v>2758</v>
      </c>
    </row>
    <row r="4">
      <c r="A4" s="168">
        <v>0.0</v>
      </c>
      <c r="B4" s="169" t="s">
        <v>2762</v>
      </c>
      <c r="C4" s="168">
        <v>2022.0</v>
      </c>
      <c r="D4" s="142" t="s">
        <v>52</v>
      </c>
      <c r="E4" s="142" t="s">
        <v>2763</v>
      </c>
      <c r="F4" s="170" t="s">
        <v>2764</v>
      </c>
      <c r="G4" s="171">
        <v>45660.0</v>
      </c>
      <c r="H4" s="172">
        <f t="shared" si="1"/>
        <v>0</v>
      </c>
      <c r="I4" s="173" t="s">
        <v>2765</v>
      </c>
      <c r="J4" s="171">
        <v>45660.0</v>
      </c>
      <c r="K4" s="169" t="s">
        <v>31</v>
      </c>
    </row>
    <row r="5">
      <c r="A5" s="174">
        <v>0.0</v>
      </c>
      <c r="B5" s="175" t="s">
        <v>2766</v>
      </c>
      <c r="C5" s="174">
        <v>2020.0</v>
      </c>
      <c r="D5" s="176" t="s">
        <v>2767</v>
      </c>
      <c r="E5" s="176" t="s">
        <v>2763</v>
      </c>
      <c r="F5" s="177" t="s">
        <v>2768</v>
      </c>
      <c r="G5" s="178">
        <v>45660.0</v>
      </c>
      <c r="H5" s="179">
        <f t="shared" si="1"/>
        <v>0</v>
      </c>
      <c r="I5" s="180" t="s">
        <v>2769</v>
      </c>
      <c r="J5" s="178">
        <v>45660.0</v>
      </c>
      <c r="K5" s="175" t="s">
        <v>2758</v>
      </c>
    </row>
    <row r="6">
      <c r="A6" s="168">
        <v>0.0</v>
      </c>
      <c r="B6" s="169" t="s">
        <v>2770</v>
      </c>
      <c r="C6" s="168">
        <v>2019.0</v>
      </c>
      <c r="D6" s="142" t="s">
        <v>14</v>
      </c>
      <c r="E6" s="142" t="s">
        <v>2771</v>
      </c>
      <c r="F6" s="170">
        <v>5337.0</v>
      </c>
      <c r="G6" s="171">
        <v>45775.0</v>
      </c>
      <c r="H6" s="172">
        <f t="shared" si="1"/>
        <v>0</v>
      </c>
      <c r="I6" s="173" t="s">
        <v>2772</v>
      </c>
      <c r="J6" s="171">
        <v>45775.0</v>
      </c>
      <c r="K6" s="169" t="s">
        <v>2758</v>
      </c>
    </row>
    <row r="7">
      <c r="A7" s="174">
        <v>0.0</v>
      </c>
      <c r="B7" s="175" t="s">
        <v>1395</v>
      </c>
      <c r="C7" s="174">
        <v>2019.0</v>
      </c>
      <c r="D7" s="176" t="s">
        <v>14</v>
      </c>
      <c r="E7" s="176" t="s">
        <v>2014</v>
      </c>
      <c r="F7" s="177" t="s">
        <v>2773</v>
      </c>
      <c r="G7" s="178">
        <v>45775.0</v>
      </c>
      <c r="H7" s="179">
        <f t="shared" si="1"/>
        <v>0</v>
      </c>
      <c r="I7" s="180" t="s">
        <v>2774</v>
      </c>
      <c r="J7" s="178">
        <v>45775.0</v>
      </c>
      <c r="K7" s="175" t="s">
        <v>2758</v>
      </c>
    </row>
    <row r="8">
      <c r="A8" s="168">
        <v>0.0</v>
      </c>
      <c r="B8" s="169" t="s">
        <v>2775</v>
      </c>
      <c r="C8" s="168">
        <v>2019.0</v>
      </c>
      <c r="D8" s="142" t="s">
        <v>197</v>
      </c>
      <c r="E8" s="142" t="s">
        <v>2776</v>
      </c>
      <c r="F8" s="170">
        <v>9219.0</v>
      </c>
      <c r="G8" s="171">
        <v>45775.0</v>
      </c>
      <c r="H8" s="172">
        <f t="shared" si="1"/>
        <v>0</v>
      </c>
      <c r="I8" s="173" t="s">
        <v>2777</v>
      </c>
      <c r="J8" s="171">
        <v>45775.0</v>
      </c>
      <c r="K8" s="169" t="s">
        <v>2758</v>
      </c>
    </row>
    <row r="9">
      <c r="A9" s="181">
        <v>6276.0</v>
      </c>
      <c r="B9" s="175" t="s">
        <v>1488</v>
      </c>
      <c r="C9" s="174">
        <v>2013.0</v>
      </c>
      <c r="D9" s="175" t="s">
        <v>105</v>
      </c>
      <c r="E9" s="175" t="s">
        <v>106</v>
      </c>
      <c r="F9" s="177" t="s">
        <v>1489</v>
      </c>
      <c r="G9" s="178">
        <v>45523.0</v>
      </c>
      <c r="H9" s="179">
        <f t="shared" si="1"/>
        <v>1</v>
      </c>
      <c r="I9" s="182" t="s">
        <v>2778</v>
      </c>
      <c r="J9" s="178">
        <v>45524.0</v>
      </c>
      <c r="K9" s="175" t="s">
        <v>31</v>
      </c>
    </row>
    <row r="10">
      <c r="A10" s="183">
        <v>7818.0</v>
      </c>
      <c r="B10" s="169" t="s">
        <v>2779</v>
      </c>
      <c r="C10" s="168">
        <v>2014.0</v>
      </c>
      <c r="D10" s="142" t="s">
        <v>188</v>
      </c>
      <c r="E10" s="142" t="s">
        <v>855</v>
      </c>
      <c r="F10" s="170" t="s">
        <v>2780</v>
      </c>
      <c r="G10" s="171">
        <v>45041.0</v>
      </c>
      <c r="H10" s="172">
        <f t="shared" si="1"/>
        <v>615</v>
      </c>
      <c r="I10" s="173" t="s">
        <v>133</v>
      </c>
      <c r="J10" s="171">
        <v>45656.0</v>
      </c>
      <c r="K10" s="169" t="s">
        <v>2758</v>
      </c>
    </row>
    <row r="11">
      <c r="A11" s="181">
        <v>9737.0</v>
      </c>
      <c r="B11" s="175" t="s">
        <v>2781</v>
      </c>
      <c r="C11" s="174">
        <v>2014.0</v>
      </c>
      <c r="D11" s="176" t="s">
        <v>105</v>
      </c>
      <c r="E11" s="176" t="s">
        <v>805</v>
      </c>
      <c r="F11" s="177" t="s">
        <v>2782</v>
      </c>
      <c r="G11" s="178">
        <v>45566.0</v>
      </c>
      <c r="H11" s="179">
        <f t="shared" si="1"/>
        <v>1</v>
      </c>
      <c r="I11" s="180" t="s">
        <v>2783</v>
      </c>
      <c r="J11" s="178">
        <v>45567.0</v>
      </c>
      <c r="K11" s="175" t="s">
        <v>37</v>
      </c>
    </row>
    <row r="12">
      <c r="A12" s="172">
        <v>10235.0</v>
      </c>
      <c r="B12" s="184" t="s">
        <v>2784</v>
      </c>
      <c r="C12" s="185">
        <v>2018.0</v>
      </c>
      <c r="D12" s="184" t="s">
        <v>52</v>
      </c>
      <c r="E12" s="184" t="s">
        <v>912</v>
      </c>
      <c r="F12" s="186" t="s">
        <v>2785</v>
      </c>
      <c r="G12" s="187">
        <v>45492.0</v>
      </c>
      <c r="H12" s="172">
        <f t="shared" si="1"/>
        <v>0</v>
      </c>
      <c r="I12" s="188" t="s">
        <v>2786</v>
      </c>
      <c r="J12" s="187">
        <v>45492.0</v>
      </c>
      <c r="K12" s="184" t="s">
        <v>2758</v>
      </c>
    </row>
    <row r="13">
      <c r="A13" s="181">
        <v>11132.0</v>
      </c>
      <c r="B13" s="175" t="s">
        <v>2787</v>
      </c>
      <c r="C13" s="174">
        <v>2015.0</v>
      </c>
      <c r="D13" s="176" t="s">
        <v>14</v>
      </c>
      <c r="E13" s="176" t="s">
        <v>2788</v>
      </c>
      <c r="F13" s="177" t="s">
        <v>2789</v>
      </c>
      <c r="G13" s="178">
        <v>45562.0</v>
      </c>
      <c r="H13" s="179">
        <f t="shared" si="1"/>
        <v>3</v>
      </c>
      <c r="I13" s="180" t="s">
        <v>133</v>
      </c>
      <c r="J13" s="178">
        <v>45565.0</v>
      </c>
      <c r="K13" s="175" t="s">
        <v>2758</v>
      </c>
    </row>
    <row r="14">
      <c r="A14" s="189">
        <v>11449.0</v>
      </c>
      <c r="B14" s="190" t="s">
        <v>2790</v>
      </c>
      <c r="C14" s="189">
        <v>2014.0</v>
      </c>
      <c r="D14" s="190" t="s">
        <v>136</v>
      </c>
      <c r="E14" s="190" t="s">
        <v>169</v>
      </c>
      <c r="F14" s="191" t="s">
        <v>2791</v>
      </c>
      <c r="G14" s="187">
        <v>45338.0</v>
      </c>
      <c r="H14" s="172">
        <f t="shared" si="1"/>
        <v>123</v>
      </c>
      <c r="I14" s="192" t="s">
        <v>2792</v>
      </c>
      <c r="J14" s="187">
        <v>45461.0</v>
      </c>
      <c r="K14" s="190" t="s">
        <v>2758</v>
      </c>
    </row>
    <row r="15">
      <c r="A15" s="193">
        <v>11744.0</v>
      </c>
      <c r="B15" s="194" t="s">
        <v>2663</v>
      </c>
      <c r="C15" s="193">
        <v>2017.0</v>
      </c>
      <c r="D15" s="194" t="s">
        <v>2793</v>
      </c>
      <c r="E15" s="194" t="s">
        <v>1194</v>
      </c>
      <c r="F15" s="195" t="s">
        <v>2665</v>
      </c>
      <c r="G15" s="196">
        <v>45356.0</v>
      </c>
      <c r="H15" s="179">
        <f t="shared" si="1"/>
        <v>105</v>
      </c>
      <c r="I15" s="197" t="s">
        <v>2794</v>
      </c>
      <c r="J15" s="196">
        <v>45461.0</v>
      </c>
      <c r="K15" s="194" t="s">
        <v>17</v>
      </c>
    </row>
    <row r="16">
      <c r="A16" s="189">
        <v>11838.0</v>
      </c>
      <c r="B16" s="190" t="s">
        <v>950</v>
      </c>
      <c r="C16" s="189">
        <v>2015.0</v>
      </c>
      <c r="D16" s="190" t="s">
        <v>14</v>
      </c>
      <c r="E16" s="190" t="s">
        <v>70</v>
      </c>
      <c r="F16" s="191" t="s">
        <v>951</v>
      </c>
      <c r="G16" s="187">
        <v>45359.0</v>
      </c>
      <c r="H16" s="172">
        <f t="shared" si="1"/>
        <v>97</v>
      </c>
      <c r="I16" s="192" t="s">
        <v>2795</v>
      </c>
      <c r="J16" s="187">
        <v>45456.0</v>
      </c>
      <c r="K16" s="190" t="s">
        <v>31</v>
      </c>
    </row>
    <row r="17">
      <c r="A17" s="193">
        <v>11877.0</v>
      </c>
      <c r="B17" s="194" t="s">
        <v>2678</v>
      </c>
      <c r="C17" s="193">
        <v>2015.0</v>
      </c>
      <c r="D17" s="194" t="s">
        <v>14</v>
      </c>
      <c r="E17" s="194" t="s">
        <v>855</v>
      </c>
      <c r="F17" s="195" t="s">
        <v>2679</v>
      </c>
      <c r="G17" s="196">
        <v>45362.0</v>
      </c>
      <c r="H17" s="179">
        <f t="shared" si="1"/>
        <v>102</v>
      </c>
      <c r="I17" s="197" t="s">
        <v>2796</v>
      </c>
      <c r="J17" s="196">
        <v>45464.0</v>
      </c>
      <c r="K17" s="194" t="s">
        <v>31</v>
      </c>
    </row>
    <row r="18">
      <c r="A18" s="172">
        <v>11892.0</v>
      </c>
      <c r="B18" s="184" t="s">
        <v>2797</v>
      </c>
      <c r="C18" s="185">
        <v>2015.0</v>
      </c>
      <c r="D18" s="184" t="s">
        <v>14</v>
      </c>
      <c r="E18" s="184" t="s">
        <v>70</v>
      </c>
      <c r="F18" s="186" t="s">
        <v>2393</v>
      </c>
      <c r="G18" s="187">
        <v>45363.0</v>
      </c>
      <c r="H18" s="172">
        <f t="shared" si="1"/>
        <v>106</v>
      </c>
      <c r="I18" s="188" t="s">
        <v>2798</v>
      </c>
      <c r="J18" s="187">
        <v>45469.0</v>
      </c>
      <c r="K18" s="184" t="s">
        <v>31</v>
      </c>
    </row>
    <row r="19">
      <c r="A19" s="193">
        <v>11898.0</v>
      </c>
      <c r="B19" s="194" t="s">
        <v>2799</v>
      </c>
      <c r="C19" s="193">
        <v>2015.0</v>
      </c>
      <c r="D19" s="194" t="s">
        <v>14</v>
      </c>
      <c r="E19" s="194" t="s">
        <v>28</v>
      </c>
      <c r="F19" s="195" t="s">
        <v>2800</v>
      </c>
      <c r="G19" s="196">
        <v>45363.0</v>
      </c>
      <c r="H19" s="179">
        <f t="shared" si="1"/>
        <v>101</v>
      </c>
      <c r="I19" s="197" t="s">
        <v>2801</v>
      </c>
      <c r="J19" s="196">
        <v>45464.0</v>
      </c>
      <c r="K19" s="194" t="s">
        <v>31</v>
      </c>
    </row>
    <row r="20">
      <c r="A20" s="172">
        <v>12104.0</v>
      </c>
      <c r="B20" s="184" t="s">
        <v>366</v>
      </c>
      <c r="C20" s="185">
        <v>2011.0</v>
      </c>
      <c r="D20" s="184" t="s">
        <v>367</v>
      </c>
      <c r="E20" s="184" t="s">
        <v>2802</v>
      </c>
      <c r="F20" s="186" t="s">
        <v>2803</v>
      </c>
      <c r="G20" s="187">
        <v>45476.0</v>
      </c>
      <c r="H20" s="172">
        <f t="shared" si="1"/>
        <v>0</v>
      </c>
      <c r="I20" s="188" t="s">
        <v>133</v>
      </c>
      <c r="J20" s="187">
        <v>45476.0</v>
      </c>
      <c r="K20" s="184" t="s">
        <v>2758</v>
      </c>
    </row>
    <row r="21">
      <c r="A21" s="179">
        <v>12231.0</v>
      </c>
      <c r="B21" s="198" t="s">
        <v>2804</v>
      </c>
      <c r="C21" s="199">
        <v>2022.0</v>
      </c>
      <c r="D21" s="198" t="s">
        <v>197</v>
      </c>
      <c r="E21" s="198" t="s">
        <v>855</v>
      </c>
      <c r="F21" s="200" t="s">
        <v>2805</v>
      </c>
      <c r="G21" s="196">
        <v>45499.0</v>
      </c>
      <c r="H21" s="179">
        <f t="shared" si="1"/>
        <v>6</v>
      </c>
      <c r="I21" s="201" t="s">
        <v>2806</v>
      </c>
      <c r="J21" s="196">
        <v>45505.0</v>
      </c>
      <c r="K21" s="198" t="s">
        <v>17</v>
      </c>
    </row>
    <row r="22">
      <c r="A22" s="172">
        <v>12375.0</v>
      </c>
      <c r="B22" s="184" t="s">
        <v>2807</v>
      </c>
      <c r="C22" s="185">
        <v>2018.0</v>
      </c>
      <c r="D22" s="184" t="s">
        <v>14</v>
      </c>
      <c r="E22" s="184" t="s">
        <v>459</v>
      </c>
      <c r="F22" s="186" t="s">
        <v>2808</v>
      </c>
      <c r="G22" s="187">
        <v>45397.0</v>
      </c>
      <c r="H22" s="172">
        <f t="shared" si="1"/>
        <v>73</v>
      </c>
      <c r="I22" s="188" t="s">
        <v>2809</v>
      </c>
      <c r="J22" s="187">
        <v>45470.0</v>
      </c>
      <c r="K22" s="184" t="s">
        <v>31</v>
      </c>
    </row>
    <row r="23">
      <c r="A23" s="181">
        <v>12375.0</v>
      </c>
      <c r="B23" s="175" t="s">
        <v>2807</v>
      </c>
      <c r="C23" s="174">
        <v>2018.0</v>
      </c>
      <c r="D23" s="176" t="s">
        <v>14</v>
      </c>
      <c r="E23" s="176" t="s">
        <v>459</v>
      </c>
      <c r="F23" s="177" t="s">
        <v>2808</v>
      </c>
      <c r="G23" s="178">
        <v>45636.0</v>
      </c>
      <c r="H23" s="179">
        <f t="shared" si="1"/>
        <v>0</v>
      </c>
      <c r="I23" s="180" t="s">
        <v>133</v>
      </c>
      <c r="J23" s="178">
        <v>45636.0</v>
      </c>
      <c r="K23" s="175" t="s">
        <v>2758</v>
      </c>
    </row>
    <row r="24">
      <c r="A24" s="183">
        <v>12494.0</v>
      </c>
      <c r="B24" s="169" t="s">
        <v>2810</v>
      </c>
      <c r="C24" s="168">
        <v>2011.0</v>
      </c>
      <c r="D24" s="142" t="s">
        <v>367</v>
      </c>
      <c r="E24" s="142" t="s">
        <v>912</v>
      </c>
      <c r="F24" s="170" t="s">
        <v>2811</v>
      </c>
      <c r="G24" s="171">
        <v>45428.0</v>
      </c>
      <c r="H24" s="172">
        <f t="shared" si="1"/>
        <v>228</v>
      </c>
      <c r="I24" s="173" t="s">
        <v>133</v>
      </c>
      <c r="J24" s="171">
        <v>45656.0</v>
      </c>
      <c r="K24" s="169" t="s">
        <v>2758</v>
      </c>
    </row>
    <row r="25">
      <c r="A25" s="179">
        <v>12648.0</v>
      </c>
      <c r="B25" s="198" t="s">
        <v>2812</v>
      </c>
      <c r="C25" s="199">
        <v>2015.0</v>
      </c>
      <c r="D25" s="198" t="s">
        <v>14</v>
      </c>
      <c r="E25" s="198" t="s">
        <v>106</v>
      </c>
      <c r="F25" s="200" t="s">
        <v>2813</v>
      </c>
      <c r="G25" s="196">
        <v>45420.0</v>
      </c>
      <c r="H25" s="179">
        <f t="shared" si="1"/>
        <v>57</v>
      </c>
      <c r="I25" s="201" t="s">
        <v>2814</v>
      </c>
      <c r="J25" s="202">
        <v>45477.0</v>
      </c>
      <c r="K25" s="198" t="s">
        <v>2758</v>
      </c>
    </row>
    <row r="26">
      <c r="A26" s="172">
        <v>12673.0</v>
      </c>
      <c r="B26" s="184" t="s">
        <v>2274</v>
      </c>
      <c r="C26" s="185">
        <v>2018.0</v>
      </c>
      <c r="D26" s="184" t="s">
        <v>14</v>
      </c>
      <c r="E26" s="184" t="s">
        <v>183</v>
      </c>
      <c r="F26" s="186" t="s">
        <v>2275</v>
      </c>
      <c r="G26" s="187">
        <v>45422.0</v>
      </c>
      <c r="H26" s="172">
        <f t="shared" si="1"/>
        <v>67</v>
      </c>
      <c r="I26" s="188" t="s">
        <v>2815</v>
      </c>
      <c r="J26" s="187">
        <v>45489.0</v>
      </c>
      <c r="K26" s="184" t="s">
        <v>31</v>
      </c>
    </row>
    <row r="27">
      <c r="A27" s="179">
        <v>12694.0</v>
      </c>
      <c r="B27" s="198" t="s">
        <v>2378</v>
      </c>
      <c r="C27" s="199">
        <v>2015.0</v>
      </c>
      <c r="D27" s="198" t="s">
        <v>14</v>
      </c>
      <c r="E27" s="198" t="s">
        <v>70</v>
      </c>
      <c r="F27" s="200" t="s">
        <v>2379</v>
      </c>
      <c r="G27" s="196">
        <v>45491.0</v>
      </c>
      <c r="H27" s="179">
        <f t="shared" si="1"/>
        <v>0</v>
      </c>
      <c r="I27" s="201" t="s">
        <v>2816</v>
      </c>
      <c r="J27" s="196">
        <v>45491.0</v>
      </c>
      <c r="K27" s="198" t="s">
        <v>2758</v>
      </c>
    </row>
    <row r="28">
      <c r="A28" s="172">
        <v>12705.0</v>
      </c>
      <c r="B28" s="184" t="s">
        <v>2817</v>
      </c>
      <c r="C28" s="185">
        <v>2011.0</v>
      </c>
      <c r="D28" s="184" t="s">
        <v>2647</v>
      </c>
      <c r="E28" s="184" t="s">
        <v>70</v>
      </c>
      <c r="F28" s="186" t="s">
        <v>2818</v>
      </c>
      <c r="G28" s="187">
        <v>45491.0</v>
      </c>
      <c r="H28" s="172">
        <f t="shared" si="1"/>
        <v>4</v>
      </c>
      <c r="I28" s="188" t="s">
        <v>30</v>
      </c>
      <c r="J28" s="187">
        <v>45495.0</v>
      </c>
      <c r="K28" s="184" t="s">
        <v>31</v>
      </c>
    </row>
    <row r="29">
      <c r="A29" s="179">
        <v>12706.0</v>
      </c>
      <c r="B29" s="198" t="s">
        <v>2819</v>
      </c>
      <c r="C29" s="199">
        <v>2015.0</v>
      </c>
      <c r="D29" s="198" t="s">
        <v>14</v>
      </c>
      <c r="E29" s="198" t="s">
        <v>70</v>
      </c>
      <c r="F29" s="200" t="s">
        <v>2820</v>
      </c>
      <c r="G29" s="196">
        <v>45427.0</v>
      </c>
      <c r="H29" s="179">
        <f t="shared" si="1"/>
        <v>85</v>
      </c>
      <c r="I29" s="201" t="s">
        <v>30</v>
      </c>
      <c r="J29" s="196">
        <v>45512.0</v>
      </c>
      <c r="K29" s="198" t="s">
        <v>31</v>
      </c>
    </row>
    <row r="30">
      <c r="A30" s="189">
        <v>12808.0</v>
      </c>
      <c r="B30" s="190" t="s">
        <v>2821</v>
      </c>
      <c r="C30" s="189">
        <v>2011.0</v>
      </c>
      <c r="D30" s="190" t="s">
        <v>367</v>
      </c>
      <c r="E30" s="190" t="s">
        <v>277</v>
      </c>
      <c r="F30" s="191" t="s">
        <v>2822</v>
      </c>
      <c r="G30" s="187">
        <v>45435.0</v>
      </c>
      <c r="H30" s="172">
        <f t="shared" si="1"/>
        <v>20</v>
      </c>
      <c r="I30" s="192" t="s">
        <v>2823</v>
      </c>
      <c r="J30" s="187">
        <v>45455.0</v>
      </c>
      <c r="K30" s="190" t="s">
        <v>2758</v>
      </c>
    </row>
    <row r="31">
      <c r="A31" s="181">
        <v>12839.0</v>
      </c>
      <c r="B31" s="176" t="s">
        <v>2824</v>
      </c>
      <c r="C31" s="174">
        <v>2015.0</v>
      </c>
      <c r="D31" s="176" t="s">
        <v>14</v>
      </c>
      <c r="E31" s="176" t="s">
        <v>855</v>
      </c>
      <c r="F31" s="177" t="s">
        <v>2825</v>
      </c>
      <c r="G31" s="178">
        <v>45439.0</v>
      </c>
      <c r="H31" s="179">
        <f t="shared" si="1"/>
        <v>81</v>
      </c>
      <c r="I31" s="182" t="s">
        <v>2826</v>
      </c>
      <c r="J31" s="178">
        <v>45520.0</v>
      </c>
      <c r="K31" s="175" t="s">
        <v>31</v>
      </c>
    </row>
    <row r="32">
      <c r="A32" s="172">
        <v>12849.0</v>
      </c>
      <c r="B32" s="184" t="s">
        <v>276</v>
      </c>
      <c r="C32" s="185">
        <v>2018.0</v>
      </c>
      <c r="D32" s="184" t="s">
        <v>14</v>
      </c>
      <c r="E32" s="184" t="s">
        <v>277</v>
      </c>
      <c r="F32" s="186" t="s">
        <v>278</v>
      </c>
      <c r="G32" s="187">
        <v>45440.0</v>
      </c>
      <c r="H32" s="172">
        <f t="shared" si="1"/>
        <v>71</v>
      </c>
      <c r="I32" s="188" t="s">
        <v>2827</v>
      </c>
      <c r="J32" s="187">
        <v>45511.0</v>
      </c>
      <c r="K32" s="184" t="s">
        <v>31</v>
      </c>
    </row>
    <row r="33">
      <c r="A33" s="193">
        <v>12850.0</v>
      </c>
      <c r="B33" s="194" t="s">
        <v>2828</v>
      </c>
      <c r="C33" s="193">
        <v>2010.0</v>
      </c>
      <c r="D33" s="194" t="s">
        <v>367</v>
      </c>
      <c r="E33" s="194" t="s">
        <v>277</v>
      </c>
      <c r="F33" s="195" t="s">
        <v>2829</v>
      </c>
      <c r="G33" s="196">
        <v>45440.0</v>
      </c>
      <c r="H33" s="179">
        <f t="shared" si="1"/>
        <v>13</v>
      </c>
      <c r="I33" s="197" t="s">
        <v>2830</v>
      </c>
      <c r="J33" s="196">
        <v>45453.0</v>
      </c>
      <c r="K33" s="194" t="s">
        <v>84</v>
      </c>
    </row>
    <row r="34">
      <c r="A34" s="172">
        <v>12855.0</v>
      </c>
      <c r="B34" s="184" t="s">
        <v>786</v>
      </c>
      <c r="C34" s="185">
        <v>2019.0</v>
      </c>
      <c r="D34" s="184" t="s">
        <v>75</v>
      </c>
      <c r="E34" s="184" t="s">
        <v>183</v>
      </c>
      <c r="F34" s="186" t="s">
        <v>787</v>
      </c>
      <c r="G34" s="187">
        <v>45440.0</v>
      </c>
      <c r="H34" s="172">
        <f t="shared" si="1"/>
        <v>36</v>
      </c>
      <c r="I34" s="188" t="s">
        <v>2831</v>
      </c>
      <c r="J34" s="187">
        <v>45476.0</v>
      </c>
      <c r="K34" s="184" t="s">
        <v>2758</v>
      </c>
    </row>
    <row r="35">
      <c r="A35" s="193">
        <v>12856.0</v>
      </c>
      <c r="B35" s="194" t="s">
        <v>2832</v>
      </c>
      <c r="C35" s="193">
        <v>2013.0</v>
      </c>
      <c r="D35" s="194" t="s">
        <v>105</v>
      </c>
      <c r="E35" s="194" t="s">
        <v>2333</v>
      </c>
      <c r="F35" s="195" t="s">
        <v>2833</v>
      </c>
      <c r="G35" s="196">
        <v>45440.0</v>
      </c>
      <c r="H35" s="179">
        <f t="shared" si="1"/>
        <v>20</v>
      </c>
      <c r="I35" s="197" t="s">
        <v>2834</v>
      </c>
      <c r="J35" s="196">
        <v>45460.0</v>
      </c>
      <c r="K35" s="194" t="s">
        <v>2758</v>
      </c>
    </row>
    <row r="36">
      <c r="A36" s="172">
        <v>12873.0</v>
      </c>
      <c r="B36" s="184" t="s">
        <v>2835</v>
      </c>
      <c r="C36" s="185">
        <v>2017.0</v>
      </c>
      <c r="D36" s="184" t="s">
        <v>14</v>
      </c>
      <c r="E36" s="184" t="s">
        <v>725</v>
      </c>
      <c r="F36" s="186" t="s">
        <v>2836</v>
      </c>
      <c r="G36" s="187">
        <v>45441.0</v>
      </c>
      <c r="H36" s="172">
        <f t="shared" si="1"/>
        <v>71</v>
      </c>
      <c r="I36" s="188" t="s">
        <v>2837</v>
      </c>
      <c r="J36" s="187">
        <v>45512.0</v>
      </c>
      <c r="K36" s="184" t="s">
        <v>31</v>
      </c>
    </row>
    <row r="37">
      <c r="A37" s="181">
        <v>12873.0</v>
      </c>
      <c r="B37" s="175" t="s">
        <v>2835</v>
      </c>
      <c r="C37" s="174">
        <v>2017.0</v>
      </c>
      <c r="D37" s="176" t="s">
        <v>14</v>
      </c>
      <c r="E37" s="176" t="s">
        <v>725</v>
      </c>
      <c r="F37" s="177" t="s">
        <v>2836</v>
      </c>
      <c r="G37" s="178">
        <v>45616.0</v>
      </c>
      <c r="H37" s="179">
        <f t="shared" si="1"/>
        <v>5</v>
      </c>
      <c r="I37" s="180" t="s">
        <v>2838</v>
      </c>
      <c r="J37" s="178">
        <v>45621.0</v>
      </c>
      <c r="K37" s="175" t="s">
        <v>2758</v>
      </c>
    </row>
    <row r="38">
      <c r="A38" s="189">
        <v>12967.0</v>
      </c>
      <c r="B38" s="190" t="s">
        <v>2839</v>
      </c>
      <c r="C38" s="189">
        <v>2019.0</v>
      </c>
      <c r="D38" s="190" t="s">
        <v>14</v>
      </c>
      <c r="E38" s="190" t="s">
        <v>160</v>
      </c>
      <c r="F38" s="191" t="s">
        <v>2840</v>
      </c>
      <c r="G38" s="187">
        <v>45449.0</v>
      </c>
      <c r="H38" s="172">
        <f t="shared" si="1"/>
        <v>4</v>
      </c>
      <c r="I38" s="192" t="s">
        <v>2841</v>
      </c>
      <c r="J38" s="187">
        <v>45453.0</v>
      </c>
      <c r="K38" s="190" t="s">
        <v>31</v>
      </c>
    </row>
    <row r="39">
      <c r="A39" s="193">
        <v>12968.0</v>
      </c>
      <c r="B39" s="194" t="s">
        <v>2842</v>
      </c>
      <c r="C39" s="193">
        <v>2019.0</v>
      </c>
      <c r="D39" s="194" t="s">
        <v>52</v>
      </c>
      <c r="E39" s="194" t="s">
        <v>183</v>
      </c>
      <c r="F39" s="195" t="s">
        <v>2843</v>
      </c>
      <c r="G39" s="196">
        <v>45449.0</v>
      </c>
      <c r="H39" s="179">
        <f t="shared" si="1"/>
        <v>4</v>
      </c>
      <c r="I39" s="197" t="s">
        <v>2844</v>
      </c>
      <c r="J39" s="196">
        <v>45453.0</v>
      </c>
      <c r="K39" s="194" t="s">
        <v>31</v>
      </c>
    </row>
    <row r="40">
      <c r="A40" s="189">
        <v>12981.0</v>
      </c>
      <c r="B40" s="190" t="s">
        <v>1437</v>
      </c>
      <c r="C40" s="189">
        <v>2021.0</v>
      </c>
      <c r="D40" s="190" t="s">
        <v>52</v>
      </c>
      <c r="E40" s="190" t="s">
        <v>53</v>
      </c>
      <c r="F40" s="191">
        <v>45308.0</v>
      </c>
      <c r="G40" s="187">
        <v>45453.0</v>
      </c>
      <c r="H40" s="172">
        <f t="shared" si="1"/>
        <v>0</v>
      </c>
      <c r="I40" s="192" t="s">
        <v>2845</v>
      </c>
      <c r="J40" s="187">
        <v>45453.0</v>
      </c>
      <c r="K40" s="190" t="s">
        <v>17</v>
      </c>
    </row>
    <row r="41">
      <c r="A41" s="193">
        <v>12982.0</v>
      </c>
      <c r="B41" s="194" t="s">
        <v>2846</v>
      </c>
      <c r="C41" s="193">
        <v>2020.0</v>
      </c>
      <c r="D41" s="194" t="s">
        <v>14</v>
      </c>
      <c r="E41" s="194" t="s">
        <v>53</v>
      </c>
      <c r="F41" s="195" t="s">
        <v>2847</v>
      </c>
      <c r="G41" s="196">
        <v>45450.0</v>
      </c>
      <c r="H41" s="179">
        <f t="shared" si="1"/>
        <v>3</v>
      </c>
      <c r="I41" s="197" t="s">
        <v>2848</v>
      </c>
      <c r="J41" s="196">
        <v>45453.0</v>
      </c>
      <c r="K41" s="194" t="s">
        <v>31</v>
      </c>
    </row>
    <row r="42">
      <c r="A42" s="203">
        <v>12985.0</v>
      </c>
      <c r="B42" s="204" t="s">
        <v>2849</v>
      </c>
      <c r="C42" s="168">
        <v>2018.0</v>
      </c>
      <c r="D42" s="205" t="s">
        <v>14</v>
      </c>
      <c r="E42" s="205" t="s">
        <v>855</v>
      </c>
      <c r="F42" s="206" t="s">
        <v>2850</v>
      </c>
      <c r="G42" s="207">
        <v>45525.0</v>
      </c>
      <c r="H42" s="172">
        <f t="shared" si="1"/>
        <v>2</v>
      </c>
      <c r="I42" s="208" t="s">
        <v>2851</v>
      </c>
      <c r="J42" s="209" t="s">
        <v>2852</v>
      </c>
      <c r="K42" s="169" t="s">
        <v>17</v>
      </c>
    </row>
    <row r="43">
      <c r="A43" s="193">
        <v>12986.0</v>
      </c>
      <c r="B43" s="194" t="s">
        <v>2727</v>
      </c>
      <c r="C43" s="193">
        <v>2011.0</v>
      </c>
      <c r="D43" s="194" t="s">
        <v>2647</v>
      </c>
      <c r="E43" s="194" t="s">
        <v>277</v>
      </c>
      <c r="F43" s="195" t="s">
        <v>2728</v>
      </c>
      <c r="G43" s="196">
        <v>45450.0</v>
      </c>
      <c r="H43" s="179">
        <f t="shared" si="1"/>
        <v>5</v>
      </c>
      <c r="I43" s="197" t="s">
        <v>2853</v>
      </c>
      <c r="J43" s="196">
        <v>45455.0</v>
      </c>
      <c r="K43" s="194" t="s">
        <v>2758</v>
      </c>
    </row>
    <row r="44">
      <c r="A44" s="189">
        <v>12994.0</v>
      </c>
      <c r="B44" s="190" t="s">
        <v>1192</v>
      </c>
      <c r="C44" s="189">
        <v>2020.0</v>
      </c>
      <c r="D44" s="190" t="s">
        <v>2854</v>
      </c>
      <c r="E44" s="190" t="s">
        <v>1194</v>
      </c>
      <c r="F44" s="191">
        <v>45427.0</v>
      </c>
      <c r="G44" s="187">
        <v>45453.0</v>
      </c>
      <c r="H44" s="172">
        <f t="shared" si="1"/>
        <v>0</v>
      </c>
      <c r="I44" s="192" t="s">
        <v>2855</v>
      </c>
      <c r="J44" s="187">
        <v>45453.0</v>
      </c>
      <c r="K44" s="190" t="s">
        <v>2758</v>
      </c>
    </row>
    <row r="45">
      <c r="A45" s="181">
        <v>12996.0</v>
      </c>
      <c r="B45" s="176" t="s">
        <v>2856</v>
      </c>
      <c r="C45" s="174">
        <v>2014.0</v>
      </c>
      <c r="D45" s="176" t="s">
        <v>2857</v>
      </c>
      <c r="E45" s="176" t="s">
        <v>855</v>
      </c>
      <c r="F45" s="177" t="s">
        <v>2858</v>
      </c>
      <c r="G45" s="178">
        <v>45453.0</v>
      </c>
      <c r="H45" s="179">
        <f t="shared" si="1"/>
        <v>66</v>
      </c>
      <c r="I45" s="182" t="s">
        <v>2859</v>
      </c>
      <c r="J45" s="178">
        <v>45519.0</v>
      </c>
      <c r="K45" s="175" t="s">
        <v>31</v>
      </c>
    </row>
    <row r="46">
      <c r="A46" s="189">
        <v>12997.0</v>
      </c>
      <c r="B46" s="190" t="s">
        <v>2458</v>
      </c>
      <c r="C46" s="189">
        <v>2021.0</v>
      </c>
      <c r="D46" s="190" t="s">
        <v>197</v>
      </c>
      <c r="E46" s="190" t="s">
        <v>459</v>
      </c>
      <c r="F46" s="191" t="s">
        <v>2459</v>
      </c>
      <c r="G46" s="187">
        <v>45456.0</v>
      </c>
      <c r="H46" s="172">
        <f t="shared" si="1"/>
        <v>0</v>
      </c>
      <c r="I46" s="192" t="s">
        <v>2860</v>
      </c>
      <c r="J46" s="187">
        <v>45456.0</v>
      </c>
      <c r="K46" s="210" t="s">
        <v>2758</v>
      </c>
    </row>
    <row r="47">
      <c r="A47" s="193">
        <v>13000.0</v>
      </c>
      <c r="B47" s="194" t="s">
        <v>2861</v>
      </c>
      <c r="C47" s="193">
        <v>2015.0</v>
      </c>
      <c r="D47" s="194" t="s">
        <v>14</v>
      </c>
      <c r="E47" s="194" t="s">
        <v>725</v>
      </c>
      <c r="F47" s="195" t="s">
        <v>2862</v>
      </c>
      <c r="G47" s="196">
        <v>45454.0</v>
      </c>
      <c r="H47" s="179">
        <f t="shared" si="1"/>
        <v>10</v>
      </c>
      <c r="I47" s="197" t="s">
        <v>2863</v>
      </c>
      <c r="J47" s="196">
        <v>45464.0</v>
      </c>
      <c r="K47" s="194" t="s">
        <v>2758</v>
      </c>
    </row>
    <row r="48">
      <c r="A48" s="189">
        <v>13004.0</v>
      </c>
      <c r="B48" s="190" t="s">
        <v>2864</v>
      </c>
      <c r="C48" s="189">
        <v>2015.0</v>
      </c>
      <c r="D48" s="190" t="s">
        <v>2865</v>
      </c>
      <c r="E48" s="190" t="s">
        <v>82</v>
      </c>
      <c r="F48" s="191" t="s">
        <v>2866</v>
      </c>
      <c r="G48" s="187">
        <v>45454.0</v>
      </c>
      <c r="H48" s="172">
        <f t="shared" si="1"/>
        <v>0</v>
      </c>
      <c r="I48" s="192" t="s">
        <v>2867</v>
      </c>
      <c r="J48" s="187">
        <v>45454.0</v>
      </c>
      <c r="K48" s="190" t="s">
        <v>31</v>
      </c>
    </row>
    <row r="49">
      <c r="A49" s="193">
        <v>13005.0</v>
      </c>
      <c r="B49" s="194" t="s">
        <v>2868</v>
      </c>
      <c r="C49" s="193">
        <v>2015.0</v>
      </c>
      <c r="D49" s="194" t="s">
        <v>136</v>
      </c>
      <c r="E49" s="194" t="s">
        <v>82</v>
      </c>
      <c r="F49" s="195" t="s">
        <v>2869</v>
      </c>
      <c r="G49" s="196">
        <v>45454.0</v>
      </c>
      <c r="H49" s="179">
        <f t="shared" si="1"/>
        <v>2</v>
      </c>
      <c r="I49" s="197" t="s">
        <v>2870</v>
      </c>
      <c r="J49" s="196">
        <v>45456.0</v>
      </c>
      <c r="K49" s="194" t="s">
        <v>31</v>
      </c>
    </row>
    <row r="50">
      <c r="A50" s="172">
        <v>13006.0</v>
      </c>
      <c r="B50" s="184" t="s">
        <v>2212</v>
      </c>
      <c r="C50" s="185">
        <v>2016.0</v>
      </c>
      <c r="D50" s="184" t="s">
        <v>14</v>
      </c>
      <c r="E50" s="184" t="s">
        <v>2871</v>
      </c>
      <c r="F50" s="186" t="s">
        <v>83</v>
      </c>
      <c r="G50" s="187">
        <v>45455.0</v>
      </c>
      <c r="H50" s="172">
        <f t="shared" si="1"/>
        <v>40</v>
      </c>
      <c r="I50" s="188" t="s">
        <v>668</v>
      </c>
      <c r="J50" s="187">
        <v>45495.0</v>
      </c>
      <c r="K50" s="184" t="s">
        <v>2758</v>
      </c>
    </row>
    <row r="51">
      <c r="A51" s="193">
        <v>13009.0</v>
      </c>
      <c r="B51" s="194" t="s">
        <v>1573</v>
      </c>
      <c r="C51" s="193">
        <v>2015.0</v>
      </c>
      <c r="D51" s="194" t="s">
        <v>2872</v>
      </c>
      <c r="E51" s="194" t="s">
        <v>82</v>
      </c>
      <c r="F51" s="195" t="s">
        <v>1575</v>
      </c>
      <c r="G51" s="196">
        <v>45454.0</v>
      </c>
      <c r="H51" s="179">
        <f t="shared" si="1"/>
        <v>0</v>
      </c>
      <c r="I51" s="197" t="s">
        <v>857</v>
      </c>
      <c r="J51" s="196">
        <v>45454.0</v>
      </c>
      <c r="K51" s="194" t="s">
        <v>31</v>
      </c>
    </row>
    <row r="52">
      <c r="A52" s="189">
        <v>13011.0</v>
      </c>
      <c r="B52" s="190" t="s">
        <v>1702</v>
      </c>
      <c r="C52" s="189">
        <v>2015.0</v>
      </c>
      <c r="D52" s="190" t="s">
        <v>52</v>
      </c>
      <c r="E52" s="190" t="s">
        <v>70</v>
      </c>
      <c r="F52" s="191" t="s">
        <v>1703</v>
      </c>
      <c r="G52" s="187">
        <v>45454.0</v>
      </c>
      <c r="H52" s="172">
        <f t="shared" si="1"/>
        <v>0</v>
      </c>
      <c r="I52" s="192" t="s">
        <v>2873</v>
      </c>
      <c r="J52" s="187">
        <v>45454.0</v>
      </c>
      <c r="K52" s="190" t="s">
        <v>84</v>
      </c>
    </row>
    <row r="53">
      <c r="A53" s="193">
        <v>13017.0</v>
      </c>
      <c r="B53" s="194" t="s">
        <v>2874</v>
      </c>
      <c r="C53" s="193">
        <v>2014.0</v>
      </c>
      <c r="D53" s="194" t="s">
        <v>2875</v>
      </c>
      <c r="E53" s="194" t="s">
        <v>277</v>
      </c>
      <c r="F53" s="195" t="s">
        <v>2876</v>
      </c>
      <c r="G53" s="196">
        <v>45455.0</v>
      </c>
      <c r="H53" s="179">
        <f t="shared" si="1"/>
        <v>1</v>
      </c>
      <c r="I53" s="197" t="s">
        <v>668</v>
      </c>
      <c r="J53" s="196">
        <v>45456.0</v>
      </c>
      <c r="K53" s="194" t="s">
        <v>84</v>
      </c>
    </row>
    <row r="54">
      <c r="A54" s="189">
        <v>13033.0</v>
      </c>
      <c r="B54" s="190" t="s">
        <v>586</v>
      </c>
      <c r="C54" s="189">
        <v>2015.0</v>
      </c>
      <c r="D54" s="190" t="s">
        <v>130</v>
      </c>
      <c r="E54" s="190" t="s">
        <v>2877</v>
      </c>
      <c r="F54" s="191" t="s">
        <v>2878</v>
      </c>
      <c r="G54" s="187">
        <v>45456.0</v>
      </c>
      <c r="H54" s="172">
        <f t="shared" si="1"/>
        <v>0</v>
      </c>
      <c r="I54" s="192" t="s">
        <v>2879</v>
      </c>
      <c r="J54" s="187">
        <v>45456.0</v>
      </c>
      <c r="K54" s="190" t="s">
        <v>31</v>
      </c>
    </row>
    <row r="55">
      <c r="A55" s="181">
        <v>13035.0</v>
      </c>
      <c r="B55" s="175" t="s">
        <v>46</v>
      </c>
      <c r="C55" s="174">
        <v>2022.0</v>
      </c>
      <c r="D55" s="176" t="s">
        <v>2875</v>
      </c>
      <c r="E55" s="176" t="s">
        <v>47</v>
      </c>
      <c r="F55" s="177" t="s">
        <v>48</v>
      </c>
      <c r="G55" s="178">
        <v>45723.0</v>
      </c>
      <c r="H55" s="179">
        <f t="shared" si="1"/>
        <v>3</v>
      </c>
      <c r="I55" s="180" t="s">
        <v>2880</v>
      </c>
      <c r="J55" s="178">
        <v>45726.0</v>
      </c>
      <c r="K55" s="175" t="s">
        <v>2758</v>
      </c>
    </row>
    <row r="56">
      <c r="A56" s="172">
        <v>13047.0</v>
      </c>
      <c r="B56" s="184" t="s">
        <v>2708</v>
      </c>
      <c r="C56" s="185">
        <v>2011.0</v>
      </c>
      <c r="D56" s="184" t="s">
        <v>367</v>
      </c>
      <c r="E56" s="184" t="s">
        <v>183</v>
      </c>
      <c r="F56" s="186" t="s">
        <v>2709</v>
      </c>
      <c r="G56" s="187">
        <v>45457.0</v>
      </c>
      <c r="H56" s="172">
        <f t="shared" si="1"/>
        <v>17</v>
      </c>
      <c r="I56" s="188" t="s">
        <v>2881</v>
      </c>
      <c r="J56" s="187">
        <v>45474.0</v>
      </c>
      <c r="K56" s="184" t="s">
        <v>2758</v>
      </c>
    </row>
    <row r="57">
      <c r="A57" s="193">
        <v>13055.0</v>
      </c>
      <c r="B57" s="194" t="s">
        <v>2882</v>
      </c>
      <c r="C57" s="193">
        <v>2018.0</v>
      </c>
      <c r="D57" s="194" t="s">
        <v>14</v>
      </c>
      <c r="E57" s="194" t="s">
        <v>2333</v>
      </c>
      <c r="F57" s="195" t="s">
        <v>2883</v>
      </c>
      <c r="G57" s="196">
        <v>45460.0</v>
      </c>
      <c r="H57" s="179">
        <f t="shared" si="1"/>
        <v>0</v>
      </c>
      <c r="I57" s="197" t="s">
        <v>2884</v>
      </c>
      <c r="J57" s="196">
        <v>45460.0</v>
      </c>
      <c r="K57" s="194" t="s">
        <v>2758</v>
      </c>
    </row>
    <row r="58">
      <c r="A58" s="172">
        <v>13060.0</v>
      </c>
      <c r="B58" s="184" t="s">
        <v>2885</v>
      </c>
      <c r="C58" s="185">
        <v>2015.0</v>
      </c>
      <c r="D58" s="184" t="s">
        <v>14</v>
      </c>
      <c r="E58" s="184" t="s">
        <v>277</v>
      </c>
      <c r="F58" s="186" t="s">
        <v>2886</v>
      </c>
      <c r="G58" s="187">
        <v>45461.0</v>
      </c>
      <c r="H58" s="172">
        <f t="shared" si="1"/>
        <v>48</v>
      </c>
      <c r="I58" s="188" t="s">
        <v>2887</v>
      </c>
      <c r="J58" s="187">
        <v>45509.0</v>
      </c>
      <c r="K58" s="184" t="s">
        <v>31</v>
      </c>
    </row>
    <row r="59">
      <c r="A59" s="193">
        <v>13061.0</v>
      </c>
      <c r="B59" s="194" t="s">
        <v>341</v>
      </c>
      <c r="C59" s="193">
        <v>2022.0</v>
      </c>
      <c r="D59" s="194" t="s">
        <v>2888</v>
      </c>
      <c r="E59" s="194" t="s">
        <v>82</v>
      </c>
      <c r="F59" s="195" t="s">
        <v>342</v>
      </c>
      <c r="G59" s="196">
        <v>45460.0</v>
      </c>
      <c r="H59" s="179">
        <f t="shared" si="1"/>
        <v>0</v>
      </c>
      <c r="I59" s="197" t="s">
        <v>2889</v>
      </c>
      <c r="J59" s="196">
        <v>45460.0</v>
      </c>
      <c r="K59" s="194" t="s">
        <v>2758</v>
      </c>
    </row>
    <row r="60">
      <c r="A60" s="183">
        <v>13063.0</v>
      </c>
      <c r="B60" s="169" t="s">
        <v>2890</v>
      </c>
      <c r="C60" s="168">
        <v>2014.0</v>
      </c>
      <c r="D60" s="169" t="s">
        <v>188</v>
      </c>
      <c r="E60" s="169" t="s">
        <v>405</v>
      </c>
      <c r="F60" s="170" t="s">
        <v>2891</v>
      </c>
      <c r="G60" s="171">
        <v>45489.0</v>
      </c>
      <c r="H60" s="172">
        <f t="shared" si="1"/>
        <v>35</v>
      </c>
      <c r="I60" s="211" t="s">
        <v>2892</v>
      </c>
      <c r="J60" s="171">
        <v>45524.0</v>
      </c>
      <c r="K60" s="169" t="s">
        <v>31</v>
      </c>
    </row>
    <row r="61">
      <c r="A61" s="193">
        <v>13065.0</v>
      </c>
      <c r="B61" s="194" t="s">
        <v>985</v>
      </c>
      <c r="C61" s="193">
        <v>2014.0</v>
      </c>
      <c r="D61" s="194" t="s">
        <v>130</v>
      </c>
      <c r="E61" s="194" t="s">
        <v>47</v>
      </c>
      <c r="F61" s="195" t="s">
        <v>1875</v>
      </c>
      <c r="G61" s="196">
        <v>45461.0</v>
      </c>
      <c r="H61" s="179">
        <f t="shared" si="1"/>
        <v>0</v>
      </c>
      <c r="I61" s="197" t="s">
        <v>2893</v>
      </c>
      <c r="J61" s="196">
        <v>45461.0</v>
      </c>
      <c r="K61" s="194" t="s">
        <v>2758</v>
      </c>
    </row>
    <row r="62">
      <c r="A62" s="189">
        <v>13069.0</v>
      </c>
      <c r="B62" s="190" t="s">
        <v>2894</v>
      </c>
      <c r="C62" s="189">
        <v>2022.0</v>
      </c>
      <c r="D62" s="190" t="s">
        <v>52</v>
      </c>
      <c r="E62" s="190" t="s">
        <v>1639</v>
      </c>
      <c r="F62" s="191" t="s">
        <v>2895</v>
      </c>
      <c r="G62" s="187">
        <v>45461.0</v>
      </c>
      <c r="H62" s="172">
        <f t="shared" si="1"/>
        <v>0</v>
      </c>
      <c r="I62" s="192" t="s">
        <v>2896</v>
      </c>
      <c r="J62" s="187">
        <v>45461.0</v>
      </c>
      <c r="K62" s="190" t="s">
        <v>2758</v>
      </c>
    </row>
    <row r="63">
      <c r="A63" s="193">
        <v>13070.0</v>
      </c>
      <c r="B63" s="194" t="s">
        <v>2897</v>
      </c>
      <c r="C63" s="193">
        <v>2022.0</v>
      </c>
      <c r="D63" s="194" t="s">
        <v>52</v>
      </c>
      <c r="E63" s="194" t="s">
        <v>41</v>
      </c>
      <c r="F63" s="195" t="s">
        <v>2898</v>
      </c>
      <c r="G63" s="196">
        <v>45461.0</v>
      </c>
      <c r="H63" s="179">
        <f t="shared" si="1"/>
        <v>0</v>
      </c>
      <c r="I63" s="197" t="s">
        <v>2899</v>
      </c>
      <c r="J63" s="196">
        <v>45461.0</v>
      </c>
      <c r="K63" s="194" t="s">
        <v>2758</v>
      </c>
    </row>
    <row r="64">
      <c r="A64" s="183">
        <v>13071.0</v>
      </c>
      <c r="B64" s="142" t="s">
        <v>2900</v>
      </c>
      <c r="C64" s="168">
        <v>2018.0</v>
      </c>
      <c r="D64" s="142" t="s">
        <v>14</v>
      </c>
      <c r="E64" s="142" t="s">
        <v>2333</v>
      </c>
      <c r="F64" s="170" t="s">
        <v>2901</v>
      </c>
      <c r="G64" s="171">
        <v>45461.0</v>
      </c>
      <c r="H64" s="172">
        <f t="shared" si="1"/>
        <v>80</v>
      </c>
      <c r="I64" s="211" t="s">
        <v>2902</v>
      </c>
      <c r="J64" s="171">
        <v>45541.0</v>
      </c>
      <c r="K64" s="169" t="s">
        <v>31</v>
      </c>
    </row>
    <row r="65">
      <c r="A65" s="193">
        <v>13073.0</v>
      </c>
      <c r="B65" s="194" t="s">
        <v>1206</v>
      </c>
      <c r="C65" s="193">
        <v>2019.0</v>
      </c>
      <c r="D65" s="194" t="s">
        <v>358</v>
      </c>
      <c r="E65" s="194" t="s">
        <v>2903</v>
      </c>
      <c r="F65" s="195" t="s">
        <v>1207</v>
      </c>
      <c r="G65" s="196">
        <v>45461.0</v>
      </c>
      <c r="H65" s="179">
        <f t="shared" si="1"/>
        <v>0</v>
      </c>
      <c r="I65" s="197" t="s">
        <v>2904</v>
      </c>
      <c r="J65" s="196">
        <v>45461.0</v>
      </c>
      <c r="K65" s="194" t="s">
        <v>2758</v>
      </c>
    </row>
    <row r="66">
      <c r="A66" s="189">
        <v>13074.0</v>
      </c>
      <c r="B66" s="190" t="s">
        <v>2200</v>
      </c>
      <c r="C66" s="189">
        <v>2022.0</v>
      </c>
      <c r="D66" s="190" t="s">
        <v>52</v>
      </c>
      <c r="E66" s="190" t="s">
        <v>53</v>
      </c>
      <c r="F66" s="191">
        <v>45368.0</v>
      </c>
      <c r="G66" s="187">
        <v>45461.0</v>
      </c>
      <c r="H66" s="172">
        <f t="shared" si="1"/>
        <v>0</v>
      </c>
      <c r="I66" s="192" t="s">
        <v>133</v>
      </c>
      <c r="J66" s="187">
        <v>45461.0</v>
      </c>
      <c r="K66" s="190" t="s">
        <v>2758</v>
      </c>
    </row>
    <row r="67">
      <c r="A67" s="193">
        <v>13079.0</v>
      </c>
      <c r="B67" s="194" t="s">
        <v>2905</v>
      </c>
      <c r="C67" s="193">
        <v>2014.0</v>
      </c>
      <c r="D67" s="194" t="s">
        <v>130</v>
      </c>
      <c r="E67" s="194" t="s">
        <v>2906</v>
      </c>
      <c r="F67" s="195" t="s">
        <v>2907</v>
      </c>
      <c r="G67" s="196">
        <v>45461.0</v>
      </c>
      <c r="H67" s="179">
        <f t="shared" si="1"/>
        <v>0</v>
      </c>
      <c r="I67" s="197" t="s">
        <v>133</v>
      </c>
      <c r="J67" s="196">
        <v>45461.0</v>
      </c>
      <c r="K67" s="194" t="s">
        <v>2758</v>
      </c>
    </row>
    <row r="68">
      <c r="A68" s="189">
        <v>13093.0</v>
      </c>
      <c r="B68" s="190" t="s">
        <v>286</v>
      </c>
      <c r="C68" s="189">
        <v>2018.0</v>
      </c>
      <c r="D68" s="190" t="s">
        <v>14</v>
      </c>
      <c r="E68" s="190" t="s">
        <v>160</v>
      </c>
      <c r="F68" s="191" t="s">
        <v>287</v>
      </c>
      <c r="G68" s="187">
        <v>45464.0</v>
      </c>
      <c r="H68" s="172">
        <f t="shared" si="1"/>
        <v>0</v>
      </c>
      <c r="I68" s="192" t="s">
        <v>133</v>
      </c>
      <c r="J68" s="187">
        <v>45464.0</v>
      </c>
      <c r="K68" s="190" t="s">
        <v>2758</v>
      </c>
    </row>
    <row r="69">
      <c r="A69" s="179">
        <v>13100.0</v>
      </c>
      <c r="B69" s="198" t="s">
        <v>2908</v>
      </c>
      <c r="C69" s="199">
        <v>2014.0</v>
      </c>
      <c r="D69" s="198" t="s">
        <v>197</v>
      </c>
      <c r="E69" s="198" t="s">
        <v>125</v>
      </c>
      <c r="F69" s="200" t="s">
        <v>2909</v>
      </c>
      <c r="G69" s="196">
        <v>45463.0</v>
      </c>
      <c r="H69" s="179">
        <f t="shared" si="1"/>
        <v>46</v>
      </c>
      <c r="I69" s="201" t="s">
        <v>2910</v>
      </c>
      <c r="J69" s="196">
        <v>45509.0</v>
      </c>
      <c r="K69" s="198" t="s">
        <v>2758</v>
      </c>
    </row>
    <row r="70">
      <c r="A70" s="189">
        <v>13106.0</v>
      </c>
      <c r="B70" s="190" t="s">
        <v>1388</v>
      </c>
      <c r="C70" s="189">
        <v>2019.0</v>
      </c>
      <c r="D70" s="190" t="s">
        <v>52</v>
      </c>
      <c r="E70" s="190" t="s">
        <v>53</v>
      </c>
      <c r="F70" s="191" t="s">
        <v>1389</v>
      </c>
      <c r="G70" s="187">
        <v>45463.0</v>
      </c>
      <c r="H70" s="172">
        <f t="shared" si="1"/>
        <v>1</v>
      </c>
      <c r="I70" s="192" t="s">
        <v>2911</v>
      </c>
      <c r="J70" s="187">
        <v>45464.0</v>
      </c>
      <c r="K70" s="190" t="s">
        <v>2758</v>
      </c>
    </row>
    <row r="71">
      <c r="A71" s="193">
        <v>13114.0</v>
      </c>
      <c r="B71" s="194" t="s">
        <v>2912</v>
      </c>
      <c r="C71" s="193">
        <v>2022.0</v>
      </c>
      <c r="D71" s="194" t="s">
        <v>52</v>
      </c>
      <c r="E71" s="194" t="s">
        <v>630</v>
      </c>
      <c r="F71" s="195" t="s">
        <v>2913</v>
      </c>
      <c r="G71" s="196">
        <v>45464.0</v>
      </c>
      <c r="H71" s="179">
        <f t="shared" si="1"/>
        <v>0</v>
      </c>
      <c r="I71" s="197" t="s">
        <v>2914</v>
      </c>
      <c r="J71" s="196">
        <v>45464.0</v>
      </c>
      <c r="K71" s="194" t="s">
        <v>31</v>
      </c>
    </row>
    <row r="72">
      <c r="A72" s="189">
        <v>13115.0</v>
      </c>
      <c r="B72" s="190" t="s">
        <v>985</v>
      </c>
      <c r="C72" s="189">
        <v>2014.0</v>
      </c>
      <c r="D72" s="190" t="s">
        <v>130</v>
      </c>
      <c r="E72" s="190" t="s">
        <v>47</v>
      </c>
      <c r="F72" s="191" t="s">
        <v>1875</v>
      </c>
      <c r="G72" s="187">
        <v>45464.0</v>
      </c>
      <c r="H72" s="172">
        <f t="shared" si="1"/>
        <v>0</v>
      </c>
      <c r="I72" s="192" t="s">
        <v>2915</v>
      </c>
      <c r="J72" s="187">
        <v>45464.0</v>
      </c>
      <c r="K72" s="190" t="s">
        <v>31</v>
      </c>
    </row>
    <row r="73">
      <c r="A73" s="193">
        <v>13116.0</v>
      </c>
      <c r="B73" s="194" t="s">
        <v>2916</v>
      </c>
      <c r="C73" s="193">
        <v>2022.0</v>
      </c>
      <c r="D73" s="194" t="s">
        <v>197</v>
      </c>
      <c r="E73" s="194" t="s">
        <v>855</v>
      </c>
      <c r="F73" s="195" t="s">
        <v>2917</v>
      </c>
      <c r="G73" s="196">
        <v>45464.0</v>
      </c>
      <c r="H73" s="179">
        <f t="shared" si="1"/>
        <v>0</v>
      </c>
      <c r="I73" s="197" t="s">
        <v>2918</v>
      </c>
      <c r="J73" s="196">
        <v>45464.0</v>
      </c>
      <c r="K73" s="194" t="s">
        <v>31</v>
      </c>
    </row>
    <row r="74">
      <c r="A74" s="183">
        <v>13117.0</v>
      </c>
      <c r="B74" s="142" t="s">
        <v>2882</v>
      </c>
      <c r="C74" s="168">
        <v>2018.0</v>
      </c>
      <c r="D74" s="142" t="s">
        <v>14</v>
      </c>
      <c r="E74" s="142" t="s">
        <v>2333</v>
      </c>
      <c r="F74" s="170" t="s">
        <v>2883</v>
      </c>
      <c r="G74" s="171">
        <v>45464.0</v>
      </c>
      <c r="H74" s="172">
        <f t="shared" si="1"/>
        <v>74</v>
      </c>
      <c r="I74" s="211" t="s">
        <v>2919</v>
      </c>
      <c r="J74" s="171">
        <v>45538.0</v>
      </c>
      <c r="K74" s="169" t="s">
        <v>31</v>
      </c>
    </row>
    <row r="75">
      <c r="A75" s="179">
        <v>13121.0</v>
      </c>
      <c r="B75" s="198" t="s">
        <v>2920</v>
      </c>
      <c r="C75" s="199">
        <v>2015.0</v>
      </c>
      <c r="D75" s="198" t="s">
        <v>14</v>
      </c>
      <c r="E75" s="198" t="s">
        <v>1447</v>
      </c>
      <c r="F75" s="200" t="s">
        <v>2921</v>
      </c>
      <c r="G75" s="196">
        <v>45467.0</v>
      </c>
      <c r="H75" s="179">
        <f t="shared" si="1"/>
        <v>3</v>
      </c>
      <c r="I75" s="201" t="s">
        <v>2922</v>
      </c>
      <c r="J75" s="196">
        <v>45470.0</v>
      </c>
      <c r="K75" s="198" t="s">
        <v>2758</v>
      </c>
    </row>
    <row r="76">
      <c r="A76" s="172">
        <v>13126.0</v>
      </c>
      <c r="B76" s="184" t="s">
        <v>2923</v>
      </c>
      <c r="C76" s="185">
        <v>2022.0</v>
      </c>
      <c r="D76" s="184" t="s">
        <v>52</v>
      </c>
      <c r="E76" s="184" t="s">
        <v>235</v>
      </c>
      <c r="F76" s="186" t="s">
        <v>2924</v>
      </c>
      <c r="G76" s="187">
        <v>45467.0</v>
      </c>
      <c r="H76" s="172">
        <f t="shared" si="1"/>
        <v>0</v>
      </c>
      <c r="I76" s="188" t="s">
        <v>2925</v>
      </c>
      <c r="J76" s="187">
        <v>45467.0</v>
      </c>
      <c r="K76" s="184" t="s">
        <v>31</v>
      </c>
    </row>
    <row r="77">
      <c r="A77" s="179">
        <v>13129.0</v>
      </c>
      <c r="B77" s="198" t="s">
        <v>825</v>
      </c>
      <c r="C77" s="199">
        <v>2022.0</v>
      </c>
      <c r="D77" s="198" t="s">
        <v>136</v>
      </c>
      <c r="E77" s="198" t="s">
        <v>2788</v>
      </c>
      <c r="F77" s="200" t="s">
        <v>827</v>
      </c>
      <c r="G77" s="196">
        <v>45467.0</v>
      </c>
      <c r="H77" s="179">
        <f t="shared" si="1"/>
        <v>0</v>
      </c>
      <c r="I77" s="201" t="s">
        <v>2926</v>
      </c>
      <c r="J77" s="196">
        <v>45467.0</v>
      </c>
      <c r="K77" s="198" t="s">
        <v>2758</v>
      </c>
    </row>
    <row r="78">
      <c r="A78" s="172">
        <v>13134.0</v>
      </c>
      <c r="B78" s="184" t="s">
        <v>2927</v>
      </c>
      <c r="C78" s="185">
        <v>2022.0</v>
      </c>
      <c r="D78" s="184" t="s">
        <v>52</v>
      </c>
      <c r="E78" s="184" t="s">
        <v>610</v>
      </c>
      <c r="F78" s="186" t="s">
        <v>2928</v>
      </c>
      <c r="G78" s="187">
        <v>45467.0</v>
      </c>
      <c r="H78" s="172">
        <f t="shared" si="1"/>
        <v>0</v>
      </c>
      <c r="I78" s="188" t="s">
        <v>2929</v>
      </c>
      <c r="J78" s="187">
        <v>45467.0</v>
      </c>
      <c r="K78" s="184" t="s">
        <v>2758</v>
      </c>
    </row>
    <row r="79">
      <c r="A79" s="179">
        <v>13142.0</v>
      </c>
      <c r="B79" s="198" t="s">
        <v>2930</v>
      </c>
      <c r="C79" s="199">
        <v>2018.0</v>
      </c>
      <c r="D79" s="198" t="s">
        <v>14</v>
      </c>
      <c r="E79" s="198" t="s">
        <v>418</v>
      </c>
      <c r="F79" s="200" t="s">
        <v>2931</v>
      </c>
      <c r="G79" s="196">
        <v>45468.0</v>
      </c>
      <c r="H79" s="179">
        <f t="shared" si="1"/>
        <v>2</v>
      </c>
      <c r="I79" s="201" t="s">
        <v>2932</v>
      </c>
      <c r="J79" s="196">
        <v>45470.0</v>
      </c>
      <c r="K79" s="198" t="s">
        <v>2758</v>
      </c>
    </row>
    <row r="80">
      <c r="A80" s="183">
        <v>13143.0</v>
      </c>
      <c r="B80" s="169" t="s">
        <v>1784</v>
      </c>
      <c r="C80" s="168">
        <v>2016.0</v>
      </c>
      <c r="D80" s="142" t="s">
        <v>2933</v>
      </c>
      <c r="E80" s="142" t="s">
        <v>82</v>
      </c>
      <c r="F80" s="170" t="s">
        <v>1786</v>
      </c>
      <c r="G80" s="171">
        <v>45468.0</v>
      </c>
      <c r="H80" s="172">
        <f t="shared" si="1"/>
        <v>58</v>
      </c>
      <c r="I80" s="173" t="s">
        <v>2934</v>
      </c>
      <c r="J80" s="171">
        <v>45526.0</v>
      </c>
      <c r="K80" s="169" t="s">
        <v>2758</v>
      </c>
    </row>
    <row r="81">
      <c r="A81" s="179">
        <v>13144.0</v>
      </c>
      <c r="B81" s="198" t="s">
        <v>854</v>
      </c>
      <c r="C81" s="199">
        <v>2022.0</v>
      </c>
      <c r="D81" s="198" t="s">
        <v>52</v>
      </c>
      <c r="E81" s="198" t="s">
        <v>855</v>
      </c>
      <c r="F81" s="200" t="s">
        <v>856</v>
      </c>
      <c r="G81" s="196">
        <v>45468.0</v>
      </c>
      <c r="H81" s="179">
        <f t="shared" si="1"/>
        <v>0</v>
      </c>
      <c r="I81" s="201" t="s">
        <v>2935</v>
      </c>
      <c r="J81" s="196">
        <v>45468.0</v>
      </c>
      <c r="K81" s="198" t="s">
        <v>2758</v>
      </c>
    </row>
    <row r="82">
      <c r="A82" s="172">
        <v>13151.0</v>
      </c>
      <c r="B82" s="184" t="s">
        <v>2356</v>
      </c>
      <c r="C82" s="185">
        <v>2022.0</v>
      </c>
      <c r="D82" s="184" t="s">
        <v>52</v>
      </c>
      <c r="E82" s="184" t="s">
        <v>125</v>
      </c>
      <c r="F82" s="186" t="s">
        <v>2936</v>
      </c>
      <c r="G82" s="187">
        <v>45469.0</v>
      </c>
      <c r="H82" s="172">
        <f t="shared" si="1"/>
        <v>1</v>
      </c>
      <c r="I82" s="188" t="s">
        <v>2937</v>
      </c>
      <c r="J82" s="187">
        <v>45470.0</v>
      </c>
      <c r="K82" s="184" t="s">
        <v>2758</v>
      </c>
    </row>
    <row r="83">
      <c r="A83" s="179">
        <v>13152.0</v>
      </c>
      <c r="B83" s="198" t="s">
        <v>1465</v>
      </c>
      <c r="C83" s="199">
        <v>2022.0</v>
      </c>
      <c r="D83" s="198" t="s">
        <v>52</v>
      </c>
      <c r="E83" s="198" t="s">
        <v>53</v>
      </c>
      <c r="F83" s="212">
        <v>45339.0</v>
      </c>
      <c r="G83" s="196">
        <v>45468.0</v>
      </c>
      <c r="H83" s="179">
        <f t="shared" si="1"/>
        <v>38</v>
      </c>
      <c r="I83" s="201" t="s">
        <v>2938</v>
      </c>
      <c r="J83" s="196">
        <v>45506.0</v>
      </c>
      <c r="K83" s="198" t="s">
        <v>37</v>
      </c>
    </row>
    <row r="84">
      <c r="A84" s="172">
        <v>13160.0</v>
      </c>
      <c r="B84" s="184" t="s">
        <v>2458</v>
      </c>
      <c r="C84" s="185">
        <v>2022.0</v>
      </c>
      <c r="D84" s="184" t="s">
        <v>197</v>
      </c>
      <c r="E84" s="184" t="s">
        <v>792</v>
      </c>
      <c r="F84" s="186" t="s">
        <v>2459</v>
      </c>
      <c r="G84" s="187">
        <v>45469.0</v>
      </c>
      <c r="H84" s="172">
        <f t="shared" si="1"/>
        <v>16</v>
      </c>
      <c r="I84" s="188" t="s">
        <v>2939</v>
      </c>
      <c r="J84" s="187">
        <v>45485.0</v>
      </c>
      <c r="K84" s="184" t="s">
        <v>2758</v>
      </c>
    </row>
    <row r="85">
      <c r="A85" s="179">
        <v>13161.0</v>
      </c>
      <c r="B85" s="198" t="s">
        <v>2940</v>
      </c>
      <c r="C85" s="199">
        <v>2022.0</v>
      </c>
      <c r="D85" s="198" t="s">
        <v>52</v>
      </c>
      <c r="E85" s="198" t="s">
        <v>2941</v>
      </c>
      <c r="F85" s="200" t="s">
        <v>2942</v>
      </c>
      <c r="G85" s="196">
        <v>45469.0</v>
      </c>
      <c r="H85" s="179">
        <f t="shared" si="1"/>
        <v>0</v>
      </c>
      <c r="I85" s="201" t="s">
        <v>2943</v>
      </c>
      <c r="J85" s="196">
        <v>45469.0</v>
      </c>
      <c r="K85" s="198" t="s">
        <v>2758</v>
      </c>
    </row>
    <row r="86">
      <c r="A86" s="172">
        <v>13168.0</v>
      </c>
      <c r="B86" s="184" t="s">
        <v>1540</v>
      </c>
      <c r="C86" s="185">
        <v>2022.0</v>
      </c>
      <c r="D86" s="184" t="s">
        <v>52</v>
      </c>
      <c r="E86" s="184" t="s">
        <v>82</v>
      </c>
      <c r="F86" s="213" t="s">
        <v>2944</v>
      </c>
      <c r="G86" s="187">
        <v>45470.0</v>
      </c>
      <c r="H86" s="172">
        <f t="shared" si="1"/>
        <v>0</v>
      </c>
      <c r="I86" s="188" t="s">
        <v>2945</v>
      </c>
      <c r="J86" s="214">
        <v>45470.0</v>
      </c>
      <c r="K86" s="184" t="s">
        <v>2758</v>
      </c>
    </row>
    <row r="87">
      <c r="A87" s="179">
        <v>13173.0</v>
      </c>
      <c r="B87" s="198" t="s">
        <v>462</v>
      </c>
      <c r="C87" s="199">
        <v>2022.0</v>
      </c>
      <c r="D87" s="198" t="s">
        <v>136</v>
      </c>
      <c r="E87" s="198" t="s">
        <v>82</v>
      </c>
      <c r="F87" s="200" t="s">
        <v>463</v>
      </c>
      <c r="G87" s="196">
        <v>45470.0</v>
      </c>
      <c r="H87" s="179">
        <f t="shared" si="1"/>
        <v>0</v>
      </c>
      <c r="I87" s="201" t="s">
        <v>2946</v>
      </c>
      <c r="J87" s="196">
        <v>45470.0</v>
      </c>
      <c r="K87" s="198" t="s">
        <v>2758</v>
      </c>
    </row>
    <row r="88">
      <c r="A88" s="183">
        <v>13184.0</v>
      </c>
      <c r="B88" s="142" t="s">
        <v>2947</v>
      </c>
      <c r="C88" s="168">
        <v>2013.0</v>
      </c>
      <c r="D88" s="142" t="s">
        <v>105</v>
      </c>
      <c r="E88" s="142" t="s">
        <v>70</v>
      </c>
      <c r="F88" s="170" t="s">
        <v>2948</v>
      </c>
      <c r="G88" s="171">
        <v>45471.0</v>
      </c>
      <c r="H88" s="172">
        <f t="shared" si="1"/>
        <v>74</v>
      </c>
      <c r="I88" s="211" t="s">
        <v>2949</v>
      </c>
      <c r="J88" s="171">
        <v>45545.0</v>
      </c>
      <c r="K88" s="169" t="s">
        <v>31</v>
      </c>
    </row>
    <row r="89">
      <c r="A89" s="179">
        <v>13186.0</v>
      </c>
      <c r="B89" s="198" t="s">
        <v>2950</v>
      </c>
      <c r="C89" s="199">
        <v>2018.0</v>
      </c>
      <c r="D89" s="198" t="s">
        <v>14</v>
      </c>
      <c r="E89" s="198" t="s">
        <v>2951</v>
      </c>
      <c r="F89" s="200" t="s">
        <v>2952</v>
      </c>
      <c r="G89" s="196">
        <v>45471.0</v>
      </c>
      <c r="H89" s="179">
        <f t="shared" si="1"/>
        <v>0</v>
      </c>
      <c r="I89" s="201" t="s">
        <v>2953</v>
      </c>
      <c r="J89" s="196">
        <v>45471.0</v>
      </c>
      <c r="K89" s="198" t="s">
        <v>2758</v>
      </c>
    </row>
    <row r="90">
      <c r="A90" s="172">
        <v>13192.0</v>
      </c>
      <c r="B90" s="184" t="s">
        <v>19</v>
      </c>
      <c r="C90" s="185">
        <v>2022.0</v>
      </c>
      <c r="D90" s="184" t="s">
        <v>2875</v>
      </c>
      <c r="E90" s="184" t="s">
        <v>21</v>
      </c>
      <c r="F90" s="186" t="s">
        <v>22</v>
      </c>
      <c r="G90" s="187">
        <v>45474.0</v>
      </c>
      <c r="H90" s="172">
        <f t="shared" si="1"/>
        <v>0</v>
      </c>
      <c r="I90" s="188" t="s">
        <v>2954</v>
      </c>
      <c r="J90" s="187">
        <v>45474.0</v>
      </c>
      <c r="K90" s="184" t="s">
        <v>2758</v>
      </c>
    </row>
    <row r="91">
      <c r="A91" s="179">
        <v>13196.0</v>
      </c>
      <c r="B91" s="198" t="s">
        <v>2955</v>
      </c>
      <c r="C91" s="199">
        <v>2022.0</v>
      </c>
      <c r="D91" s="198" t="s">
        <v>467</v>
      </c>
      <c r="E91" s="198" t="s">
        <v>912</v>
      </c>
      <c r="F91" s="215" t="s">
        <v>2956</v>
      </c>
      <c r="G91" s="196">
        <v>45474.0</v>
      </c>
      <c r="H91" s="179">
        <f t="shared" si="1"/>
        <v>0</v>
      </c>
      <c r="I91" s="201" t="s">
        <v>2265</v>
      </c>
      <c r="J91" s="196">
        <v>45474.0</v>
      </c>
      <c r="K91" s="198" t="s">
        <v>2758</v>
      </c>
    </row>
    <row r="92">
      <c r="A92" s="183">
        <v>13199.0</v>
      </c>
      <c r="B92" s="142" t="s">
        <v>2957</v>
      </c>
      <c r="C92" s="168">
        <v>2015.0</v>
      </c>
      <c r="D92" s="142" t="s">
        <v>14</v>
      </c>
      <c r="E92" s="142" t="s">
        <v>725</v>
      </c>
      <c r="F92" s="170" t="s">
        <v>2958</v>
      </c>
      <c r="G92" s="171">
        <v>45474.0</v>
      </c>
      <c r="H92" s="172">
        <f t="shared" si="1"/>
        <v>57</v>
      </c>
      <c r="I92" s="211" t="s">
        <v>2959</v>
      </c>
      <c r="J92" s="171">
        <v>45531.0</v>
      </c>
      <c r="K92" s="169" t="s">
        <v>31</v>
      </c>
    </row>
    <row r="93">
      <c r="A93" s="179">
        <v>13201.0</v>
      </c>
      <c r="B93" s="198" t="s">
        <v>2725</v>
      </c>
      <c r="C93" s="199">
        <v>2015.0</v>
      </c>
      <c r="D93" s="198" t="s">
        <v>14</v>
      </c>
      <c r="E93" s="198" t="s">
        <v>47</v>
      </c>
      <c r="F93" s="200" t="s">
        <v>2726</v>
      </c>
      <c r="G93" s="196">
        <v>45477.0</v>
      </c>
      <c r="H93" s="179">
        <f t="shared" si="1"/>
        <v>0</v>
      </c>
      <c r="I93" s="201" t="s">
        <v>2960</v>
      </c>
      <c r="J93" s="196">
        <v>45477.0</v>
      </c>
      <c r="K93" s="198" t="s">
        <v>17</v>
      </c>
    </row>
    <row r="94">
      <c r="A94" s="183">
        <v>13208.0</v>
      </c>
      <c r="B94" s="142" t="s">
        <v>1682</v>
      </c>
      <c r="C94" s="168">
        <v>2020.0</v>
      </c>
      <c r="D94" s="142" t="s">
        <v>14</v>
      </c>
      <c r="E94" s="142" t="s">
        <v>70</v>
      </c>
      <c r="F94" s="170">
        <v>0.0</v>
      </c>
      <c r="G94" s="171">
        <v>45495.0</v>
      </c>
      <c r="H94" s="172">
        <f t="shared" si="1"/>
        <v>28</v>
      </c>
      <c r="I94" s="211" t="s">
        <v>2961</v>
      </c>
      <c r="J94" s="171">
        <v>45523.0</v>
      </c>
      <c r="K94" s="169" t="s">
        <v>31</v>
      </c>
    </row>
    <row r="95">
      <c r="A95" s="181">
        <v>13208.0</v>
      </c>
      <c r="B95" s="175" t="s">
        <v>1682</v>
      </c>
      <c r="C95" s="174">
        <v>2019.0</v>
      </c>
      <c r="D95" s="176" t="s">
        <v>14</v>
      </c>
      <c r="E95" s="176" t="s">
        <v>125</v>
      </c>
      <c r="F95" s="177" t="s">
        <v>2962</v>
      </c>
      <c r="G95" s="178">
        <v>45590.0</v>
      </c>
      <c r="H95" s="179">
        <f t="shared" si="1"/>
        <v>0</v>
      </c>
      <c r="I95" s="180" t="s">
        <v>2963</v>
      </c>
      <c r="J95" s="178">
        <v>45590.0</v>
      </c>
      <c r="K95" s="175" t="s">
        <v>2758</v>
      </c>
    </row>
    <row r="96">
      <c r="A96" s="183">
        <v>13209.0</v>
      </c>
      <c r="B96" s="142" t="s">
        <v>2964</v>
      </c>
      <c r="C96" s="168">
        <v>2018.0</v>
      </c>
      <c r="D96" s="142" t="s">
        <v>14</v>
      </c>
      <c r="E96" s="142" t="s">
        <v>70</v>
      </c>
      <c r="F96" s="170">
        <v>0.0</v>
      </c>
      <c r="G96" s="171">
        <v>45495.0</v>
      </c>
      <c r="H96" s="172">
        <f t="shared" si="1"/>
        <v>28</v>
      </c>
      <c r="I96" s="211" t="s">
        <v>2961</v>
      </c>
      <c r="J96" s="171">
        <v>45523.0</v>
      </c>
      <c r="K96" s="169" t="s">
        <v>31</v>
      </c>
    </row>
    <row r="97">
      <c r="A97" s="181">
        <v>13209.0</v>
      </c>
      <c r="B97" s="176" t="s">
        <v>2964</v>
      </c>
      <c r="C97" s="174">
        <v>2018.0</v>
      </c>
      <c r="D97" s="176" t="s">
        <v>14</v>
      </c>
      <c r="E97" s="176" t="s">
        <v>70</v>
      </c>
      <c r="F97" s="177">
        <v>0.0</v>
      </c>
      <c r="G97" s="178">
        <v>45495.0</v>
      </c>
      <c r="H97" s="179">
        <f t="shared" si="1"/>
        <v>32</v>
      </c>
      <c r="I97" s="182" t="s">
        <v>2961</v>
      </c>
      <c r="J97" s="178">
        <v>45527.0</v>
      </c>
      <c r="K97" s="175" t="s">
        <v>31</v>
      </c>
    </row>
    <row r="98">
      <c r="A98" s="183">
        <v>13210.0</v>
      </c>
      <c r="B98" s="142" t="s">
        <v>1292</v>
      </c>
      <c r="C98" s="168">
        <v>2020.0</v>
      </c>
      <c r="D98" s="142" t="s">
        <v>197</v>
      </c>
      <c r="E98" s="142" t="s">
        <v>70</v>
      </c>
      <c r="F98" s="170">
        <v>0.0</v>
      </c>
      <c r="G98" s="171">
        <v>45495.0</v>
      </c>
      <c r="H98" s="172">
        <f t="shared" si="1"/>
        <v>32</v>
      </c>
      <c r="I98" s="211" t="s">
        <v>2961</v>
      </c>
      <c r="J98" s="171">
        <v>45527.0</v>
      </c>
      <c r="K98" s="169" t="s">
        <v>31</v>
      </c>
    </row>
    <row r="99">
      <c r="A99" s="181">
        <v>13211.0</v>
      </c>
      <c r="B99" s="175" t="s">
        <v>2965</v>
      </c>
      <c r="C99" s="174">
        <v>2019.0</v>
      </c>
      <c r="D99" s="176" t="s">
        <v>197</v>
      </c>
      <c r="E99" s="176" t="s">
        <v>125</v>
      </c>
      <c r="F99" s="177">
        <v>0.0</v>
      </c>
      <c r="G99" s="178">
        <v>45475.0</v>
      </c>
      <c r="H99" s="179">
        <f t="shared" si="1"/>
        <v>59</v>
      </c>
      <c r="I99" s="180" t="s">
        <v>2337</v>
      </c>
      <c r="J99" s="178">
        <v>45534.0</v>
      </c>
      <c r="K99" s="175" t="s">
        <v>31</v>
      </c>
    </row>
    <row r="100">
      <c r="A100" s="183">
        <v>13211.0</v>
      </c>
      <c r="B100" s="142" t="s">
        <v>2965</v>
      </c>
      <c r="C100" s="168">
        <v>2020.0</v>
      </c>
      <c r="D100" s="142" t="s">
        <v>197</v>
      </c>
      <c r="E100" s="142" t="s">
        <v>70</v>
      </c>
      <c r="F100" s="170">
        <v>0.0</v>
      </c>
      <c r="G100" s="171">
        <v>45495.0</v>
      </c>
      <c r="H100" s="172">
        <f t="shared" si="1"/>
        <v>32</v>
      </c>
      <c r="I100" s="211" t="s">
        <v>2961</v>
      </c>
      <c r="J100" s="171">
        <v>45527.0</v>
      </c>
      <c r="K100" s="169" t="s">
        <v>31</v>
      </c>
    </row>
    <row r="101">
      <c r="A101" s="181">
        <v>13212.0</v>
      </c>
      <c r="B101" s="176" t="s">
        <v>1759</v>
      </c>
      <c r="C101" s="174">
        <v>2018.0</v>
      </c>
      <c r="D101" s="176" t="s">
        <v>14</v>
      </c>
      <c r="E101" s="176" t="s">
        <v>70</v>
      </c>
      <c r="F101" s="177">
        <v>0.0</v>
      </c>
      <c r="G101" s="178">
        <v>45495.0</v>
      </c>
      <c r="H101" s="179">
        <f t="shared" si="1"/>
        <v>32</v>
      </c>
      <c r="I101" s="182" t="s">
        <v>2961</v>
      </c>
      <c r="J101" s="178">
        <v>45527.0</v>
      </c>
      <c r="K101" s="175" t="s">
        <v>31</v>
      </c>
    </row>
    <row r="102">
      <c r="A102" s="172">
        <v>13214.0</v>
      </c>
      <c r="B102" s="184" t="s">
        <v>859</v>
      </c>
      <c r="C102" s="185">
        <v>2022.0</v>
      </c>
      <c r="D102" s="184" t="s">
        <v>52</v>
      </c>
      <c r="E102" s="184" t="s">
        <v>207</v>
      </c>
      <c r="F102" s="186" t="s">
        <v>861</v>
      </c>
      <c r="G102" s="187">
        <v>45474.0</v>
      </c>
      <c r="H102" s="172">
        <f t="shared" si="1"/>
        <v>0</v>
      </c>
      <c r="I102" s="188" t="s">
        <v>2966</v>
      </c>
      <c r="J102" s="187">
        <v>45474.0</v>
      </c>
      <c r="K102" s="184" t="s">
        <v>2758</v>
      </c>
    </row>
    <row r="103">
      <c r="A103" s="179">
        <v>13217.0</v>
      </c>
      <c r="B103" s="198" t="s">
        <v>2923</v>
      </c>
      <c r="C103" s="199">
        <v>2022.0</v>
      </c>
      <c r="D103" s="198" t="s">
        <v>52</v>
      </c>
      <c r="E103" s="198" t="s">
        <v>442</v>
      </c>
      <c r="F103" s="200" t="s">
        <v>2924</v>
      </c>
      <c r="G103" s="196">
        <v>45475.0</v>
      </c>
      <c r="H103" s="179">
        <f t="shared" si="1"/>
        <v>1</v>
      </c>
      <c r="I103" s="201" t="s">
        <v>2967</v>
      </c>
      <c r="J103" s="202">
        <v>45476.0</v>
      </c>
      <c r="K103" s="198" t="s">
        <v>31</v>
      </c>
    </row>
    <row r="104">
      <c r="A104" s="172">
        <v>13222.0</v>
      </c>
      <c r="B104" s="184" t="s">
        <v>2714</v>
      </c>
      <c r="C104" s="185">
        <v>2018.0</v>
      </c>
      <c r="D104" s="184" t="s">
        <v>14</v>
      </c>
      <c r="E104" s="184" t="s">
        <v>235</v>
      </c>
      <c r="F104" s="186" t="s">
        <v>2968</v>
      </c>
      <c r="G104" s="187">
        <v>45475.0</v>
      </c>
      <c r="H104" s="172">
        <f t="shared" si="1"/>
        <v>0</v>
      </c>
      <c r="I104" s="188" t="s">
        <v>2969</v>
      </c>
      <c r="J104" s="187">
        <v>45475.0</v>
      </c>
      <c r="K104" s="184" t="s">
        <v>2758</v>
      </c>
    </row>
    <row r="105">
      <c r="A105" s="179">
        <v>13224.0</v>
      </c>
      <c r="B105" s="198" t="s">
        <v>2499</v>
      </c>
      <c r="C105" s="199">
        <v>2014.0</v>
      </c>
      <c r="D105" s="198" t="s">
        <v>188</v>
      </c>
      <c r="E105" s="198" t="s">
        <v>207</v>
      </c>
      <c r="F105" s="212">
        <v>45495.0</v>
      </c>
      <c r="G105" s="196">
        <v>45475.0</v>
      </c>
      <c r="H105" s="179">
        <f t="shared" si="1"/>
        <v>0</v>
      </c>
      <c r="I105" s="201" t="s">
        <v>2265</v>
      </c>
      <c r="J105" s="196">
        <v>45475.0</v>
      </c>
      <c r="K105" s="198" t="s">
        <v>2758</v>
      </c>
    </row>
    <row r="106">
      <c r="A106" s="172">
        <v>13233.0</v>
      </c>
      <c r="B106" s="184" t="s">
        <v>2970</v>
      </c>
      <c r="C106" s="185">
        <v>2014.0</v>
      </c>
      <c r="D106" s="184" t="s">
        <v>105</v>
      </c>
      <c r="E106" s="184" t="s">
        <v>21</v>
      </c>
      <c r="F106" s="186" t="s">
        <v>2971</v>
      </c>
      <c r="G106" s="187">
        <v>45476.0</v>
      </c>
      <c r="H106" s="172">
        <f t="shared" si="1"/>
        <v>0</v>
      </c>
      <c r="I106" s="188" t="s">
        <v>2896</v>
      </c>
      <c r="J106" s="187">
        <v>45476.0</v>
      </c>
      <c r="K106" s="184" t="s">
        <v>2758</v>
      </c>
    </row>
    <row r="107">
      <c r="A107" s="181">
        <v>13235.0</v>
      </c>
      <c r="B107" s="176" t="s">
        <v>181</v>
      </c>
      <c r="C107" s="174">
        <v>2018.0</v>
      </c>
      <c r="D107" s="176" t="s">
        <v>14</v>
      </c>
      <c r="E107" s="176" t="s">
        <v>183</v>
      </c>
      <c r="F107" s="177" t="s">
        <v>184</v>
      </c>
      <c r="G107" s="178">
        <v>45476.0</v>
      </c>
      <c r="H107" s="179">
        <f t="shared" si="1"/>
        <v>64</v>
      </c>
      <c r="I107" s="182" t="s">
        <v>2972</v>
      </c>
      <c r="J107" s="178">
        <v>45540.0</v>
      </c>
      <c r="K107" s="175" t="s">
        <v>31</v>
      </c>
    </row>
    <row r="108" ht="14.25" customHeight="1">
      <c r="A108" s="172">
        <v>13237.0</v>
      </c>
      <c r="B108" s="184" t="s">
        <v>2905</v>
      </c>
      <c r="C108" s="185">
        <v>2015.0</v>
      </c>
      <c r="D108" s="184" t="s">
        <v>130</v>
      </c>
      <c r="E108" s="184" t="s">
        <v>47</v>
      </c>
      <c r="F108" s="186" t="s">
        <v>2907</v>
      </c>
      <c r="G108" s="187">
        <v>45476.0</v>
      </c>
      <c r="H108" s="172">
        <f t="shared" si="1"/>
        <v>0</v>
      </c>
      <c r="I108" s="188" t="s">
        <v>2973</v>
      </c>
      <c r="J108" s="187">
        <v>45476.0</v>
      </c>
      <c r="K108" s="184" t="s">
        <v>2758</v>
      </c>
    </row>
    <row r="109">
      <c r="A109" s="179">
        <v>13243.0</v>
      </c>
      <c r="B109" s="198" t="s">
        <v>2974</v>
      </c>
      <c r="C109" s="199">
        <v>2018.0</v>
      </c>
      <c r="D109" s="198" t="s">
        <v>52</v>
      </c>
      <c r="E109" s="198" t="s">
        <v>160</v>
      </c>
      <c r="F109" s="200" t="s">
        <v>2975</v>
      </c>
      <c r="G109" s="196">
        <v>45477.0</v>
      </c>
      <c r="H109" s="179">
        <f t="shared" si="1"/>
        <v>6</v>
      </c>
      <c r="I109" s="201" t="s">
        <v>2976</v>
      </c>
      <c r="J109" s="196">
        <v>45483.0</v>
      </c>
      <c r="K109" s="198" t="s">
        <v>2758</v>
      </c>
    </row>
    <row r="110">
      <c r="A110" s="172">
        <v>13272.0</v>
      </c>
      <c r="B110" s="184" t="s">
        <v>2096</v>
      </c>
      <c r="C110" s="185">
        <v>2022.0</v>
      </c>
      <c r="D110" s="184" t="s">
        <v>52</v>
      </c>
      <c r="E110" s="184" t="s">
        <v>235</v>
      </c>
      <c r="F110" s="186" t="s">
        <v>2097</v>
      </c>
      <c r="G110" s="187">
        <v>45483.0</v>
      </c>
      <c r="H110" s="172">
        <f t="shared" si="1"/>
        <v>0</v>
      </c>
      <c r="I110" s="188" t="s">
        <v>2896</v>
      </c>
      <c r="J110" s="187">
        <v>45483.0</v>
      </c>
      <c r="K110" s="184" t="s">
        <v>2758</v>
      </c>
    </row>
    <row r="111">
      <c r="A111" s="179">
        <v>13273.0</v>
      </c>
      <c r="B111" s="198" t="s">
        <v>709</v>
      </c>
      <c r="C111" s="199">
        <v>2022.0</v>
      </c>
      <c r="D111" s="198" t="s">
        <v>52</v>
      </c>
      <c r="E111" s="198" t="s">
        <v>235</v>
      </c>
      <c r="F111" s="200" t="s">
        <v>710</v>
      </c>
      <c r="G111" s="196">
        <v>45483.0</v>
      </c>
      <c r="H111" s="179">
        <f t="shared" si="1"/>
        <v>0</v>
      </c>
      <c r="I111" s="201" t="s">
        <v>2977</v>
      </c>
      <c r="J111" s="196">
        <v>45483.0</v>
      </c>
      <c r="K111" s="198" t="s">
        <v>2758</v>
      </c>
    </row>
    <row r="112" ht="15.0" customHeight="1">
      <c r="A112" s="172">
        <v>13278.0</v>
      </c>
      <c r="B112" s="184" t="s">
        <v>2978</v>
      </c>
      <c r="C112" s="185">
        <v>2014.0</v>
      </c>
      <c r="D112" s="184" t="s">
        <v>2875</v>
      </c>
      <c r="E112" s="184" t="s">
        <v>21</v>
      </c>
      <c r="F112" s="186" t="s">
        <v>2979</v>
      </c>
      <c r="G112" s="187">
        <v>45483.0</v>
      </c>
      <c r="H112" s="172">
        <f t="shared" si="1"/>
        <v>0</v>
      </c>
      <c r="I112" s="188" t="s">
        <v>2896</v>
      </c>
      <c r="J112" s="187">
        <v>45483.0</v>
      </c>
      <c r="K112" s="184" t="s">
        <v>2758</v>
      </c>
    </row>
    <row r="113" ht="13.5" customHeight="1">
      <c r="A113" s="181">
        <v>13279.0</v>
      </c>
      <c r="B113" s="176" t="s">
        <v>2980</v>
      </c>
      <c r="C113" s="174">
        <v>2022.0</v>
      </c>
      <c r="D113" s="176" t="s">
        <v>14</v>
      </c>
      <c r="E113" s="176" t="s">
        <v>855</v>
      </c>
      <c r="F113" s="177" t="s">
        <v>2981</v>
      </c>
      <c r="G113" s="178">
        <v>45483.0</v>
      </c>
      <c r="H113" s="179">
        <f t="shared" si="1"/>
        <v>54</v>
      </c>
      <c r="I113" s="182" t="s">
        <v>1016</v>
      </c>
      <c r="J113" s="178">
        <v>45537.0</v>
      </c>
      <c r="K113" s="175" t="s">
        <v>31</v>
      </c>
    </row>
    <row r="114">
      <c r="A114" s="183">
        <v>13281.0</v>
      </c>
      <c r="B114" s="142" t="s">
        <v>2779</v>
      </c>
      <c r="C114" s="168">
        <v>2014.0</v>
      </c>
      <c r="D114" s="142" t="s">
        <v>188</v>
      </c>
      <c r="E114" s="142" t="s">
        <v>855</v>
      </c>
      <c r="F114" s="170" t="s">
        <v>2780</v>
      </c>
      <c r="G114" s="171">
        <v>45483.0</v>
      </c>
      <c r="H114" s="172">
        <f t="shared" si="1"/>
        <v>63</v>
      </c>
      <c r="I114" s="211" t="s">
        <v>2982</v>
      </c>
      <c r="J114" s="171">
        <v>45546.0</v>
      </c>
      <c r="K114" s="169" t="s">
        <v>31</v>
      </c>
    </row>
    <row r="115">
      <c r="A115" s="179">
        <v>13283.0</v>
      </c>
      <c r="B115" s="198" t="s">
        <v>586</v>
      </c>
      <c r="C115" s="199">
        <v>2014.0</v>
      </c>
      <c r="D115" s="198" t="s">
        <v>130</v>
      </c>
      <c r="E115" s="198" t="s">
        <v>2983</v>
      </c>
      <c r="F115" s="200" t="s">
        <v>2878</v>
      </c>
      <c r="G115" s="196">
        <v>45483.0</v>
      </c>
      <c r="H115" s="179">
        <f t="shared" si="1"/>
        <v>0</v>
      </c>
      <c r="I115" s="201" t="s">
        <v>579</v>
      </c>
      <c r="J115" s="196">
        <v>45483.0</v>
      </c>
      <c r="K115" s="198" t="s">
        <v>2758</v>
      </c>
    </row>
    <row r="116">
      <c r="A116" s="172">
        <v>13284.0</v>
      </c>
      <c r="B116" s="184" t="s">
        <v>2984</v>
      </c>
      <c r="C116" s="185">
        <v>2015.0</v>
      </c>
      <c r="D116" s="184" t="s">
        <v>130</v>
      </c>
      <c r="E116" s="184" t="s">
        <v>70</v>
      </c>
      <c r="F116" s="186" t="s">
        <v>2985</v>
      </c>
      <c r="G116" s="187">
        <v>45483.0</v>
      </c>
      <c r="H116" s="172">
        <f t="shared" si="1"/>
        <v>0</v>
      </c>
      <c r="I116" s="188" t="s">
        <v>668</v>
      </c>
      <c r="J116" s="187">
        <v>45483.0</v>
      </c>
      <c r="K116" s="184" t="s">
        <v>2758</v>
      </c>
    </row>
    <row r="117" ht="15.75" customHeight="1">
      <c r="A117" s="179">
        <v>13288.0</v>
      </c>
      <c r="B117" s="198" t="s">
        <v>2986</v>
      </c>
      <c r="C117" s="199">
        <v>2022.0</v>
      </c>
      <c r="D117" s="198" t="s">
        <v>197</v>
      </c>
      <c r="E117" s="198" t="s">
        <v>2788</v>
      </c>
      <c r="F117" s="200" t="s">
        <v>2987</v>
      </c>
      <c r="G117" s="196">
        <v>45483.0</v>
      </c>
      <c r="H117" s="179">
        <f t="shared" si="1"/>
        <v>1</v>
      </c>
      <c r="I117" s="201" t="s">
        <v>707</v>
      </c>
      <c r="J117" s="196">
        <v>45484.0</v>
      </c>
      <c r="K117" s="198" t="s">
        <v>37</v>
      </c>
    </row>
    <row r="118" ht="13.5" customHeight="1">
      <c r="A118" s="172">
        <v>13289.0</v>
      </c>
      <c r="B118" s="184" t="s">
        <v>2988</v>
      </c>
      <c r="C118" s="185">
        <v>2020.0</v>
      </c>
      <c r="D118" s="184" t="s">
        <v>14</v>
      </c>
      <c r="E118" s="184" t="s">
        <v>2788</v>
      </c>
      <c r="F118" s="186" t="s">
        <v>2989</v>
      </c>
      <c r="G118" s="187">
        <v>45483.0</v>
      </c>
      <c r="H118" s="172">
        <f t="shared" si="1"/>
        <v>2</v>
      </c>
      <c r="I118" s="188" t="s">
        <v>2990</v>
      </c>
      <c r="J118" s="187">
        <v>45485.0</v>
      </c>
      <c r="K118" s="184" t="s">
        <v>2758</v>
      </c>
    </row>
    <row r="119">
      <c r="A119" s="179">
        <v>13290.0</v>
      </c>
      <c r="B119" s="198" t="s">
        <v>2991</v>
      </c>
      <c r="C119" s="199">
        <v>2019.0</v>
      </c>
      <c r="D119" s="198" t="s">
        <v>451</v>
      </c>
      <c r="E119" s="198" t="s">
        <v>405</v>
      </c>
      <c r="F119" s="200" t="s">
        <v>2992</v>
      </c>
      <c r="G119" s="196">
        <v>45483.0</v>
      </c>
      <c r="H119" s="179">
        <f t="shared" si="1"/>
        <v>0</v>
      </c>
      <c r="I119" s="201" t="s">
        <v>133</v>
      </c>
      <c r="J119" s="196">
        <v>45483.0</v>
      </c>
      <c r="K119" s="198" t="s">
        <v>2758</v>
      </c>
    </row>
    <row r="120">
      <c r="A120" s="183">
        <v>13299.0</v>
      </c>
      <c r="B120" s="142" t="s">
        <v>879</v>
      </c>
      <c r="C120" s="168">
        <v>2018.0</v>
      </c>
      <c r="D120" s="142" t="s">
        <v>14</v>
      </c>
      <c r="E120" s="142" t="s">
        <v>2993</v>
      </c>
      <c r="F120" s="170" t="s">
        <v>880</v>
      </c>
      <c r="G120" s="171">
        <v>45484.0</v>
      </c>
      <c r="H120" s="172">
        <f t="shared" si="1"/>
        <v>63</v>
      </c>
      <c r="I120" s="211" t="s">
        <v>2994</v>
      </c>
      <c r="J120" s="171">
        <v>45547.0</v>
      </c>
      <c r="K120" s="169" t="s">
        <v>31</v>
      </c>
    </row>
    <row r="121">
      <c r="A121" s="181">
        <v>13303.0</v>
      </c>
      <c r="B121" s="176" t="s">
        <v>2995</v>
      </c>
      <c r="C121" s="174">
        <v>2018.0</v>
      </c>
      <c r="D121" s="176" t="s">
        <v>14</v>
      </c>
      <c r="E121" s="176" t="s">
        <v>962</v>
      </c>
      <c r="F121" s="177" t="s">
        <v>2996</v>
      </c>
      <c r="G121" s="178">
        <v>45484.0</v>
      </c>
      <c r="H121" s="179">
        <f t="shared" si="1"/>
        <v>61</v>
      </c>
      <c r="I121" s="182" t="s">
        <v>2997</v>
      </c>
      <c r="J121" s="178">
        <v>45545.0</v>
      </c>
      <c r="K121" s="175" t="s">
        <v>31</v>
      </c>
    </row>
    <row r="122" ht="17.25" customHeight="1">
      <c r="A122" s="183">
        <v>13303.0</v>
      </c>
      <c r="B122" s="169" t="s">
        <v>2995</v>
      </c>
      <c r="C122" s="168">
        <v>2018.0</v>
      </c>
      <c r="D122" s="142" t="s">
        <v>14</v>
      </c>
      <c r="E122" s="142" t="s">
        <v>962</v>
      </c>
      <c r="F122" s="170" t="s">
        <v>2996</v>
      </c>
      <c r="G122" s="171">
        <v>45755.0</v>
      </c>
      <c r="H122" s="172">
        <f t="shared" si="1"/>
        <v>0</v>
      </c>
      <c r="I122" s="173" t="s">
        <v>2998</v>
      </c>
      <c r="J122" s="171">
        <v>45755.0</v>
      </c>
      <c r="K122" s="169" t="s">
        <v>2758</v>
      </c>
    </row>
    <row r="123">
      <c r="A123" s="179">
        <v>13310.0</v>
      </c>
      <c r="B123" s="198" t="s">
        <v>1622</v>
      </c>
      <c r="C123" s="199">
        <v>2022.0</v>
      </c>
      <c r="D123" s="198" t="s">
        <v>52</v>
      </c>
      <c r="E123" s="198" t="s">
        <v>866</v>
      </c>
      <c r="F123" s="200" t="s">
        <v>1623</v>
      </c>
      <c r="G123" s="196">
        <v>45485.0</v>
      </c>
      <c r="H123" s="179">
        <f t="shared" si="1"/>
        <v>0</v>
      </c>
      <c r="I123" s="201" t="s">
        <v>2999</v>
      </c>
      <c r="J123" s="196">
        <v>45485.0</v>
      </c>
      <c r="K123" s="198" t="s">
        <v>2758</v>
      </c>
    </row>
    <row r="124">
      <c r="A124" s="172">
        <v>13317.0</v>
      </c>
      <c r="B124" s="184" t="s">
        <v>1017</v>
      </c>
      <c r="C124" s="185">
        <v>2015.0</v>
      </c>
      <c r="D124" s="184" t="s">
        <v>52</v>
      </c>
      <c r="E124" s="184" t="s">
        <v>1021</v>
      </c>
      <c r="F124" s="186" t="s">
        <v>1033</v>
      </c>
      <c r="G124" s="187">
        <v>45485.0</v>
      </c>
      <c r="H124" s="172">
        <f t="shared" si="1"/>
        <v>11</v>
      </c>
      <c r="I124" s="188" t="s">
        <v>3000</v>
      </c>
      <c r="J124" s="187">
        <v>45496.0</v>
      </c>
      <c r="K124" s="184" t="s">
        <v>2758</v>
      </c>
    </row>
    <row r="125">
      <c r="A125" s="179">
        <v>13318.0</v>
      </c>
      <c r="B125" s="198" t="s">
        <v>3001</v>
      </c>
      <c r="C125" s="199">
        <v>2022.0</v>
      </c>
      <c r="D125" s="198" t="s">
        <v>197</v>
      </c>
      <c r="E125" s="198" t="s">
        <v>855</v>
      </c>
      <c r="F125" s="200" t="s">
        <v>3002</v>
      </c>
      <c r="G125" s="196">
        <v>45488.0</v>
      </c>
      <c r="H125" s="179">
        <f t="shared" si="1"/>
        <v>8</v>
      </c>
      <c r="I125" s="201" t="s">
        <v>3003</v>
      </c>
      <c r="J125" s="196">
        <v>45496.0</v>
      </c>
      <c r="K125" s="198" t="s">
        <v>2758</v>
      </c>
    </row>
    <row r="126">
      <c r="A126" s="172">
        <v>13319.0</v>
      </c>
      <c r="B126" s="184" t="s">
        <v>2916</v>
      </c>
      <c r="C126" s="185">
        <v>2022.0</v>
      </c>
      <c r="D126" s="184" t="s">
        <v>197</v>
      </c>
      <c r="E126" s="184" t="s">
        <v>855</v>
      </c>
      <c r="F126" s="186" t="s">
        <v>2917</v>
      </c>
      <c r="G126" s="187">
        <v>45488.0</v>
      </c>
      <c r="H126" s="172">
        <f t="shared" si="1"/>
        <v>8</v>
      </c>
      <c r="I126" s="188" t="s">
        <v>3003</v>
      </c>
      <c r="J126" s="187">
        <v>45496.0</v>
      </c>
      <c r="K126" s="184" t="s">
        <v>2758</v>
      </c>
    </row>
    <row r="127">
      <c r="A127" s="179">
        <v>13324.0</v>
      </c>
      <c r="B127" s="198" t="s">
        <v>2737</v>
      </c>
      <c r="C127" s="199">
        <v>2011.0</v>
      </c>
      <c r="D127" s="198" t="s">
        <v>2647</v>
      </c>
      <c r="E127" s="198" t="s">
        <v>47</v>
      </c>
      <c r="F127" s="200" t="s">
        <v>2738</v>
      </c>
      <c r="G127" s="196">
        <v>45489.0</v>
      </c>
      <c r="H127" s="179">
        <f t="shared" si="1"/>
        <v>0</v>
      </c>
      <c r="I127" s="201" t="s">
        <v>3004</v>
      </c>
      <c r="J127" s="196">
        <v>45489.0</v>
      </c>
      <c r="K127" s="198" t="s">
        <v>2758</v>
      </c>
    </row>
    <row r="128">
      <c r="A128" s="172">
        <v>13325.0</v>
      </c>
      <c r="B128" s="184" t="s">
        <v>2696</v>
      </c>
      <c r="C128" s="185">
        <v>2002.0</v>
      </c>
      <c r="D128" s="184" t="s">
        <v>1122</v>
      </c>
      <c r="E128" s="184" t="s">
        <v>1110</v>
      </c>
      <c r="F128" s="213" t="s">
        <v>2697</v>
      </c>
      <c r="G128" s="187">
        <v>45489.0</v>
      </c>
      <c r="H128" s="172">
        <f t="shared" si="1"/>
        <v>9</v>
      </c>
      <c r="I128" s="188" t="s">
        <v>3005</v>
      </c>
      <c r="J128" s="187">
        <v>45498.0</v>
      </c>
      <c r="K128" s="184" t="s">
        <v>31</v>
      </c>
    </row>
    <row r="129">
      <c r="A129" s="179">
        <v>13326.0</v>
      </c>
      <c r="B129" s="198" t="s">
        <v>3006</v>
      </c>
      <c r="C129" s="199">
        <v>2015.0</v>
      </c>
      <c r="D129" s="198" t="s">
        <v>52</v>
      </c>
      <c r="E129" s="198" t="s">
        <v>3007</v>
      </c>
      <c r="F129" s="200" t="s">
        <v>3008</v>
      </c>
      <c r="G129" s="196">
        <v>45489.0</v>
      </c>
      <c r="H129" s="179">
        <f t="shared" si="1"/>
        <v>0</v>
      </c>
      <c r="I129" s="201" t="s">
        <v>3009</v>
      </c>
      <c r="J129" s="196">
        <v>45489.0</v>
      </c>
      <c r="K129" s="198" t="s">
        <v>2758</v>
      </c>
    </row>
    <row r="130">
      <c r="A130" s="172">
        <v>13327.0</v>
      </c>
      <c r="B130" s="184" t="s">
        <v>1090</v>
      </c>
      <c r="C130" s="185">
        <v>2014.0</v>
      </c>
      <c r="D130" s="184" t="s">
        <v>136</v>
      </c>
      <c r="E130" s="184" t="s">
        <v>1110</v>
      </c>
      <c r="F130" s="186" t="s">
        <v>1093</v>
      </c>
      <c r="G130" s="187">
        <v>45489.0</v>
      </c>
      <c r="H130" s="172">
        <f t="shared" si="1"/>
        <v>9</v>
      </c>
      <c r="I130" s="188" t="s">
        <v>3010</v>
      </c>
      <c r="J130" s="187">
        <v>45498.0</v>
      </c>
      <c r="K130" s="184" t="s">
        <v>31</v>
      </c>
    </row>
    <row r="131">
      <c r="A131" s="179">
        <v>13331.0</v>
      </c>
      <c r="B131" s="198" t="s">
        <v>392</v>
      </c>
      <c r="C131" s="199">
        <v>2011.0</v>
      </c>
      <c r="D131" s="198" t="s">
        <v>367</v>
      </c>
      <c r="E131" s="198" t="s">
        <v>240</v>
      </c>
      <c r="F131" s="200" t="s">
        <v>393</v>
      </c>
      <c r="G131" s="196">
        <v>45489.0</v>
      </c>
      <c r="H131" s="179">
        <f t="shared" si="1"/>
        <v>0</v>
      </c>
      <c r="I131" s="201" t="s">
        <v>3011</v>
      </c>
      <c r="J131" s="196">
        <v>45489.0</v>
      </c>
      <c r="K131" s="198" t="s">
        <v>2758</v>
      </c>
    </row>
    <row r="132">
      <c r="A132" s="172">
        <v>13332.0</v>
      </c>
      <c r="B132" s="184" t="s">
        <v>3012</v>
      </c>
      <c r="C132" s="185">
        <v>2013.0</v>
      </c>
      <c r="D132" s="184" t="s">
        <v>105</v>
      </c>
      <c r="E132" s="184" t="s">
        <v>2788</v>
      </c>
      <c r="F132" s="186">
        <v>1.0</v>
      </c>
      <c r="G132" s="187">
        <v>45489.0</v>
      </c>
      <c r="H132" s="172">
        <f t="shared" si="1"/>
        <v>1</v>
      </c>
      <c r="I132" s="188" t="s">
        <v>3013</v>
      </c>
      <c r="J132" s="187">
        <v>45490.0</v>
      </c>
      <c r="K132" s="184" t="s">
        <v>17</v>
      </c>
    </row>
    <row r="133">
      <c r="A133" s="179">
        <v>13333.0</v>
      </c>
      <c r="B133" s="198" t="s">
        <v>3014</v>
      </c>
      <c r="C133" s="199">
        <v>2019.0</v>
      </c>
      <c r="D133" s="198" t="s">
        <v>14</v>
      </c>
      <c r="E133" s="198" t="s">
        <v>2788</v>
      </c>
      <c r="F133" s="200" t="s">
        <v>3015</v>
      </c>
      <c r="G133" s="196">
        <v>45490.0</v>
      </c>
      <c r="H133" s="179">
        <f t="shared" si="1"/>
        <v>5</v>
      </c>
      <c r="I133" s="201" t="s">
        <v>3016</v>
      </c>
      <c r="J133" s="196">
        <v>45495.0</v>
      </c>
      <c r="K133" s="198" t="s">
        <v>2758</v>
      </c>
    </row>
    <row r="134">
      <c r="A134" s="172">
        <v>13336.0</v>
      </c>
      <c r="B134" s="184" t="s">
        <v>2711</v>
      </c>
      <c r="C134" s="185">
        <v>2009.0</v>
      </c>
      <c r="D134" s="184" t="s">
        <v>2629</v>
      </c>
      <c r="E134" s="184" t="s">
        <v>319</v>
      </c>
      <c r="F134" s="186" t="s">
        <v>2712</v>
      </c>
      <c r="G134" s="187">
        <v>45490.0</v>
      </c>
      <c r="H134" s="172">
        <f t="shared" si="1"/>
        <v>27</v>
      </c>
      <c r="I134" s="188" t="s">
        <v>3017</v>
      </c>
      <c r="J134" s="187">
        <v>45517.0</v>
      </c>
      <c r="K134" s="184" t="s">
        <v>2758</v>
      </c>
    </row>
    <row r="135">
      <c r="A135" s="179">
        <v>13337.0</v>
      </c>
      <c r="B135" s="198" t="s">
        <v>3018</v>
      </c>
      <c r="C135" s="199">
        <v>2022.0</v>
      </c>
      <c r="D135" s="198" t="s">
        <v>52</v>
      </c>
      <c r="E135" s="198" t="s">
        <v>82</v>
      </c>
      <c r="F135" s="200" t="s">
        <v>342</v>
      </c>
      <c r="G135" s="196">
        <v>45490.0</v>
      </c>
      <c r="H135" s="179">
        <f t="shared" si="1"/>
        <v>1</v>
      </c>
      <c r="I135" s="201" t="s">
        <v>668</v>
      </c>
      <c r="J135" s="196">
        <v>45491.0</v>
      </c>
      <c r="K135" s="198" t="s">
        <v>84</v>
      </c>
    </row>
    <row r="136" ht="15.0" customHeight="1">
      <c r="A136" s="172">
        <v>13341.0</v>
      </c>
      <c r="B136" s="184" t="s">
        <v>2717</v>
      </c>
      <c r="C136" s="185">
        <v>2018.0</v>
      </c>
      <c r="D136" s="184" t="s">
        <v>14</v>
      </c>
      <c r="E136" s="184" t="s">
        <v>28</v>
      </c>
      <c r="F136" s="216">
        <v>45582.0</v>
      </c>
      <c r="G136" s="187">
        <v>45490.0</v>
      </c>
      <c r="H136" s="172">
        <f t="shared" si="1"/>
        <v>0</v>
      </c>
      <c r="I136" s="188" t="s">
        <v>3019</v>
      </c>
      <c r="J136" s="187">
        <v>45490.0</v>
      </c>
      <c r="K136" s="184" t="s">
        <v>2758</v>
      </c>
    </row>
    <row r="137">
      <c r="A137" s="179">
        <v>13342.0</v>
      </c>
      <c r="B137" s="198" t="s">
        <v>3020</v>
      </c>
      <c r="C137" s="199">
        <v>2018.0</v>
      </c>
      <c r="D137" s="198" t="s">
        <v>52</v>
      </c>
      <c r="E137" s="198" t="s">
        <v>912</v>
      </c>
      <c r="F137" s="200" t="s">
        <v>2785</v>
      </c>
      <c r="G137" s="196">
        <v>45490.0</v>
      </c>
      <c r="H137" s="179">
        <f t="shared" si="1"/>
        <v>0</v>
      </c>
      <c r="I137" s="201" t="s">
        <v>133</v>
      </c>
      <c r="J137" s="196">
        <v>45490.0</v>
      </c>
      <c r="K137" s="198" t="s">
        <v>2758</v>
      </c>
    </row>
    <row r="138">
      <c r="A138" s="172">
        <v>13345.0</v>
      </c>
      <c r="B138" s="184" t="s">
        <v>705</v>
      </c>
      <c r="C138" s="185">
        <v>2022.0</v>
      </c>
      <c r="D138" s="184" t="s">
        <v>52</v>
      </c>
      <c r="E138" s="184" t="s">
        <v>169</v>
      </c>
      <c r="F138" s="186" t="s">
        <v>706</v>
      </c>
      <c r="G138" s="187">
        <v>45490.0</v>
      </c>
      <c r="H138" s="172">
        <f t="shared" si="1"/>
        <v>0</v>
      </c>
      <c r="I138" s="188" t="s">
        <v>3021</v>
      </c>
      <c r="J138" s="187">
        <v>45490.0</v>
      </c>
      <c r="K138" s="184" t="s">
        <v>2758</v>
      </c>
    </row>
    <row r="139">
      <c r="A139" s="179">
        <v>13346.0</v>
      </c>
      <c r="B139" s="198" t="s">
        <v>3022</v>
      </c>
      <c r="C139" s="199">
        <v>2020.0</v>
      </c>
      <c r="D139" s="198" t="s">
        <v>14</v>
      </c>
      <c r="E139" s="198" t="s">
        <v>2788</v>
      </c>
      <c r="F139" s="200" t="s">
        <v>3023</v>
      </c>
      <c r="G139" s="196">
        <v>45495.0</v>
      </c>
      <c r="H139" s="179">
        <f t="shared" si="1"/>
        <v>0</v>
      </c>
      <c r="I139" s="201" t="s">
        <v>3024</v>
      </c>
      <c r="J139" s="196">
        <v>45495.0</v>
      </c>
      <c r="K139" s="198" t="s">
        <v>2758</v>
      </c>
    </row>
    <row r="140">
      <c r="A140" s="172">
        <v>13350.0</v>
      </c>
      <c r="B140" s="184" t="s">
        <v>791</v>
      </c>
      <c r="C140" s="185">
        <v>2022.0</v>
      </c>
      <c r="D140" s="184" t="s">
        <v>52</v>
      </c>
      <c r="E140" s="184" t="s">
        <v>459</v>
      </c>
      <c r="F140" s="186" t="s">
        <v>793</v>
      </c>
      <c r="G140" s="187">
        <v>45490.0</v>
      </c>
      <c r="H140" s="172">
        <f t="shared" si="1"/>
        <v>1</v>
      </c>
      <c r="I140" s="188" t="s">
        <v>3025</v>
      </c>
      <c r="J140" s="187">
        <v>45491.0</v>
      </c>
      <c r="K140" s="184" t="s">
        <v>2758</v>
      </c>
    </row>
    <row r="141">
      <c r="A141" s="181">
        <v>13353.0</v>
      </c>
      <c r="B141" s="176" t="s">
        <v>323</v>
      </c>
      <c r="C141" s="174">
        <v>2014.0</v>
      </c>
      <c r="D141" s="176" t="s">
        <v>324</v>
      </c>
      <c r="E141" s="176" t="s">
        <v>82</v>
      </c>
      <c r="F141" s="177" t="s">
        <v>325</v>
      </c>
      <c r="G141" s="178">
        <v>45491.0</v>
      </c>
      <c r="H141" s="179">
        <f t="shared" si="1"/>
        <v>56</v>
      </c>
      <c r="I141" s="182" t="s">
        <v>3026</v>
      </c>
      <c r="J141" s="217">
        <v>45547.0</v>
      </c>
      <c r="K141" s="175" t="s">
        <v>31</v>
      </c>
    </row>
    <row r="142">
      <c r="A142" s="172">
        <v>13356.0</v>
      </c>
      <c r="B142" s="184" t="s">
        <v>2356</v>
      </c>
      <c r="C142" s="185">
        <v>2022.0</v>
      </c>
      <c r="D142" s="184" t="s">
        <v>52</v>
      </c>
      <c r="E142" s="184" t="s">
        <v>41</v>
      </c>
      <c r="F142" s="186" t="s">
        <v>2936</v>
      </c>
      <c r="G142" s="187">
        <v>45491.0</v>
      </c>
      <c r="H142" s="172">
        <f t="shared" si="1"/>
        <v>0</v>
      </c>
      <c r="I142" s="188" t="s">
        <v>3027</v>
      </c>
      <c r="J142" s="187">
        <v>45491.0</v>
      </c>
      <c r="K142" s="184" t="s">
        <v>2758</v>
      </c>
    </row>
    <row r="143">
      <c r="A143" s="179">
        <v>13363.0</v>
      </c>
      <c r="B143" s="198" t="s">
        <v>1046</v>
      </c>
      <c r="C143" s="199">
        <v>2022.0</v>
      </c>
      <c r="D143" s="198" t="s">
        <v>52</v>
      </c>
      <c r="E143" s="198" t="s">
        <v>912</v>
      </c>
      <c r="F143" s="200" t="s">
        <v>1047</v>
      </c>
      <c r="G143" s="196">
        <v>45492.0</v>
      </c>
      <c r="H143" s="179">
        <f t="shared" si="1"/>
        <v>0</v>
      </c>
      <c r="I143" s="201" t="s">
        <v>3028</v>
      </c>
      <c r="J143" s="196">
        <v>45492.0</v>
      </c>
      <c r="K143" s="198" t="s">
        <v>2758</v>
      </c>
    </row>
    <row r="144">
      <c r="A144" s="172">
        <v>13364.0</v>
      </c>
      <c r="B144" s="184" t="s">
        <v>3029</v>
      </c>
      <c r="C144" s="185">
        <v>2018.0</v>
      </c>
      <c r="D144" s="184" t="s">
        <v>52</v>
      </c>
      <c r="E144" s="184" t="s">
        <v>912</v>
      </c>
      <c r="F144" s="186" t="s">
        <v>3030</v>
      </c>
      <c r="G144" s="187">
        <v>45492.0</v>
      </c>
      <c r="H144" s="172">
        <f t="shared" si="1"/>
        <v>0</v>
      </c>
      <c r="I144" s="188" t="s">
        <v>3031</v>
      </c>
      <c r="J144" s="187">
        <v>45492.0</v>
      </c>
      <c r="K144" s="184" t="s">
        <v>2758</v>
      </c>
    </row>
    <row r="145">
      <c r="A145" s="179">
        <v>13369.0</v>
      </c>
      <c r="B145" s="198" t="s">
        <v>3032</v>
      </c>
      <c r="C145" s="199">
        <v>2018.0</v>
      </c>
      <c r="D145" s="198" t="s">
        <v>14</v>
      </c>
      <c r="E145" s="198" t="s">
        <v>3033</v>
      </c>
      <c r="F145" s="200" t="s">
        <v>3034</v>
      </c>
      <c r="G145" s="196">
        <v>45492.0</v>
      </c>
      <c r="H145" s="179">
        <f t="shared" si="1"/>
        <v>0</v>
      </c>
      <c r="I145" s="201" t="s">
        <v>3035</v>
      </c>
      <c r="J145" s="196">
        <v>45492.0</v>
      </c>
      <c r="K145" s="198" t="s">
        <v>2758</v>
      </c>
    </row>
    <row r="146">
      <c r="A146" s="172">
        <v>13370.0</v>
      </c>
      <c r="B146" s="184" t="s">
        <v>3036</v>
      </c>
      <c r="C146" s="185">
        <v>2015.0</v>
      </c>
      <c r="D146" s="184" t="s">
        <v>52</v>
      </c>
      <c r="E146" s="184" t="s">
        <v>3033</v>
      </c>
      <c r="F146" s="186" t="s">
        <v>3037</v>
      </c>
      <c r="G146" s="187">
        <v>45492.0</v>
      </c>
      <c r="H146" s="172">
        <f t="shared" si="1"/>
        <v>0</v>
      </c>
      <c r="I146" s="188" t="s">
        <v>3038</v>
      </c>
      <c r="J146" s="187">
        <v>45492.0</v>
      </c>
      <c r="K146" s="184" t="s">
        <v>2758</v>
      </c>
    </row>
    <row r="147">
      <c r="A147" s="181">
        <v>13373.0</v>
      </c>
      <c r="B147" s="176" t="s">
        <v>1215</v>
      </c>
      <c r="C147" s="174">
        <v>2015.0</v>
      </c>
      <c r="D147" s="176" t="s">
        <v>14</v>
      </c>
      <c r="E147" s="176" t="s">
        <v>805</v>
      </c>
      <c r="F147" s="177" t="s">
        <v>2731</v>
      </c>
      <c r="G147" s="178">
        <v>45492.0</v>
      </c>
      <c r="H147" s="179">
        <f t="shared" si="1"/>
        <v>55</v>
      </c>
      <c r="I147" s="182" t="s">
        <v>3039</v>
      </c>
      <c r="J147" s="178">
        <v>45547.0</v>
      </c>
      <c r="K147" s="175" t="s">
        <v>2758</v>
      </c>
    </row>
    <row r="148">
      <c r="A148" s="172">
        <v>13380.0</v>
      </c>
      <c r="B148" s="184" t="s">
        <v>3040</v>
      </c>
      <c r="C148" s="185">
        <v>2021.0</v>
      </c>
      <c r="D148" s="184" t="s">
        <v>197</v>
      </c>
      <c r="E148" s="184" t="s">
        <v>855</v>
      </c>
      <c r="F148" s="186" t="s">
        <v>3041</v>
      </c>
      <c r="G148" s="187">
        <v>45495.0</v>
      </c>
      <c r="H148" s="172">
        <f t="shared" si="1"/>
        <v>9</v>
      </c>
      <c r="I148" s="188" t="s">
        <v>3003</v>
      </c>
      <c r="J148" s="187">
        <v>45504.0</v>
      </c>
      <c r="K148" s="184" t="s">
        <v>2758</v>
      </c>
    </row>
    <row r="149">
      <c r="A149" s="179">
        <v>13381.0</v>
      </c>
      <c r="B149" s="198" t="s">
        <v>3042</v>
      </c>
      <c r="C149" s="199">
        <v>2022.0</v>
      </c>
      <c r="D149" s="198" t="s">
        <v>197</v>
      </c>
      <c r="E149" s="198" t="s">
        <v>855</v>
      </c>
      <c r="F149" s="200" t="s">
        <v>3043</v>
      </c>
      <c r="G149" s="196">
        <v>45495.0</v>
      </c>
      <c r="H149" s="179">
        <f t="shared" si="1"/>
        <v>10</v>
      </c>
      <c r="I149" s="201" t="s">
        <v>3003</v>
      </c>
      <c r="J149" s="196">
        <v>45505.0</v>
      </c>
      <c r="K149" s="198" t="s">
        <v>2758</v>
      </c>
    </row>
    <row r="150">
      <c r="A150" s="172">
        <v>13383.0</v>
      </c>
      <c r="B150" s="184" t="s">
        <v>3044</v>
      </c>
      <c r="C150" s="185">
        <v>2022.0</v>
      </c>
      <c r="D150" s="184" t="s">
        <v>197</v>
      </c>
      <c r="E150" s="184" t="s">
        <v>855</v>
      </c>
      <c r="F150" s="186" t="s">
        <v>3045</v>
      </c>
      <c r="G150" s="187">
        <v>45495.0</v>
      </c>
      <c r="H150" s="172">
        <f t="shared" si="1"/>
        <v>2</v>
      </c>
      <c r="I150" s="188" t="s">
        <v>3003</v>
      </c>
      <c r="J150" s="187">
        <v>45497.0</v>
      </c>
      <c r="K150" s="184" t="s">
        <v>2758</v>
      </c>
    </row>
    <row r="151">
      <c r="A151" s="179">
        <v>13385.0</v>
      </c>
      <c r="B151" s="198" t="s">
        <v>3046</v>
      </c>
      <c r="C151" s="199">
        <v>2022.0</v>
      </c>
      <c r="D151" s="198" t="s">
        <v>197</v>
      </c>
      <c r="E151" s="198" t="s">
        <v>855</v>
      </c>
      <c r="F151" s="200" t="s">
        <v>3047</v>
      </c>
      <c r="G151" s="196">
        <v>45495.0</v>
      </c>
      <c r="H151" s="179">
        <f t="shared" si="1"/>
        <v>2</v>
      </c>
      <c r="I151" s="201" t="s">
        <v>3003</v>
      </c>
      <c r="J151" s="196">
        <v>45497.0</v>
      </c>
      <c r="K151" s="198" t="s">
        <v>2758</v>
      </c>
    </row>
    <row r="152">
      <c r="A152" s="172">
        <v>13386.0</v>
      </c>
      <c r="B152" s="184" t="s">
        <v>3048</v>
      </c>
      <c r="C152" s="185">
        <v>2015.0</v>
      </c>
      <c r="D152" s="184" t="s">
        <v>130</v>
      </c>
      <c r="E152" s="184" t="s">
        <v>805</v>
      </c>
      <c r="F152" s="186" t="s">
        <v>3049</v>
      </c>
      <c r="G152" s="187">
        <v>45503.0</v>
      </c>
      <c r="H152" s="172">
        <f t="shared" si="1"/>
        <v>0</v>
      </c>
      <c r="I152" s="188" t="s">
        <v>3050</v>
      </c>
      <c r="J152" s="187">
        <v>45503.0</v>
      </c>
      <c r="K152" s="184" t="s">
        <v>84</v>
      </c>
    </row>
    <row r="153">
      <c r="A153" s="179">
        <v>13387.0</v>
      </c>
      <c r="B153" s="198" t="s">
        <v>1322</v>
      </c>
      <c r="C153" s="199">
        <v>2022.0</v>
      </c>
      <c r="D153" s="198" t="s">
        <v>197</v>
      </c>
      <c r="E153" s="198" t="s">
        <v>855</v>
      </c>
      <c r="F153" s="200" t="s">
        <v>1323</v>
      </c>
      <c r="G153" s="196">
        <v>45495.0</v>
      </c>
      <c r="H153" s="179">
        <f t="shared" si="1"/>
        <v>3</v>
      </c>
      <c r="I153" s="201" t="s">
        <v>3051</v>
      </c>
      <c r="J153" s="196">
        <v>45498.0</v>
      </c>
      <c r="K153" s="198" t="s">
        <v>2758</v>
      </c>
    </row>
    <row r="154">
      <c r="A154" s="172">
        <v>13390.0</v>
      </c>
      <c r="B154" s="184" t="s">
        <v>2440</v>
      </c>
      <c r="C154" s="185">
        <v>2022.0</v>
      </c>
      <c r="D154" s="184" t="s">
        <v>197</v>
      </c>
      <c r="E154" s="184" t="s">
        <v>855</v>
      </c>
      <c r="F154" s="186" t="s">
        <v>2441</v>
      </c>
      <c r="G154" s="187">
        <v>45495.0</v>
      </c>
      <c r="H154" s="172">
        <f t="shared" si="1"/>
        <v>3</v>
      </c>
      <c r="I154" s="188" t="s">
        <v>3051</v>
      </c>
      <c r="J154" s="187">
        <v>45498.0</v>
      </c>
      <c r="K154" s="184" t="s">
        <v>2758</v>
      </c>
    </row>
    <row r="155">
      <c r="A155" s="179">
        <v>13393.0</v>
      </c>
      <c r="B155" s="198" t="s">
        <v>3052</v>
      </c>
      <c r="C155" s="199">
        <v>2022.0</v>
      </c>
      <c r="D155" s="198" t="s">
        <v>52</v>
      </c>
      <c r="E155" s="198" t="s">
        <v>2788</v>
      </c>
      <c r="F155" s="200" t="s">
        <v>3053</v>
      </c>
      <c r="G155" s="196">
        <v>45496.0</v>
      </c>
      <c r="H155" s="179">
        <f t="shared" si="1"/>
        <v>0</v>
      </c>
      <c r="I155" s="201" t="s">
        <v>30</v>
      </c>
      <c r="J155" s="196">
        <v>45496.0</v>
      </c>
      <c r="K155" s="198" t="s">
        <v>31</v>
      </c>
    </row>
    <row r="156">
      <c r="A156" s="172">
        <v>13397.0</v>
      </c>
      <c r="B156" s="184" t="s">
        <v>250</v>
      </c>
      <c r="C156" s="185">
        <v>2014.0</v>
      </c>
      <c r="D156" s="184" t="s">
        <v>130</v>
      </c>
      <c r="E156" s="184" t="s">
        <v>3054</v>
      </c>
      <c r="F156" s="186" t="s">
        <v>3055</v>
      </c>
      <c r="G156" s="187">
        <v>45496.0</v>
      </c>
      <c r="H156" s="172">
        <f t="shared" si="1"/>
        <v>9</v>
      </c>
      <c r="I156" s="188" t="s">
        <v>3056</v>
      </c>
      <c r="J156" s="214">
        <v>45505.0</v>
      </c>
      <c r="K156" s="184" t="s">
        <v>31</v>
      </c>
    </row>
    <row r="157">
      <c r="A157" s="179">
        <v>13403.0</v>
      </c>
      <c r="B157" s="198" t="s">
        <v>1116</v>
      </c>
      <c r="C157" s="199">
        <v>2020.0</v>
      </c>
      <c r="D157" s="198" t="s">
        <v>197</v>
      </c>
      <c r="E157" s="198" t="s">
        <v>47</v>
      </c>
      <c r="F157" s="200" t="s">
        <v>3057</v>
      </c>
      <c r="G157" s="196">
        <v>45497.0</v>
      </c>
      <c r="H157" s="179">
        <f t="shared" si="1"/>
        <v>0</v>
      </c>
      <c r="I157" s="201" t="s">
        <v>3058</v>
      </c>
      <c r="J157" s="196">
        <v>45497.0</v>
      </c>
      <c r="K157" s="198" t="s">
        <v>2758</v>
      </c>
    </row>
    <row r="158">
      <c r="A158" s="172">
        <v>13408.0</v>
      </c>
      <c r="B158" s="184" t="s">
        <v>883</v>
      </c>
      <c r="C158" s="185">
        <v>2015.0</v>
      </c>
      <c r="D158" s="184" t="s">
        <v>130</v>
      </c>
      <c r="E158" s="184" t="s">
        <v>2415</v>
      </c>
      <c r="F158" s="186" t="s">
        <v>885</v>
      </c>
      <c r="G158" s="187">
        <v>45498.0</v>
      </c>
      <c r="H158" s="172">
        <f t="shared" si="1"/>
        <v>1</v>
      </c>
      <c r="I158" s="188" t="s">
        <v>3059</v>
      </c>
      <c r="J158" s="187">
        <v>45499.0</v>
      </c>
      <c r="K158" s="184" t="s">
        <v>2758</v>
      </c>
    </row>
    <row r="159">
      <c r="A159" s="179">
        <v>13415.0</v>
      </c>
      <c r="B159" s="198" t="s">
        <v>3060</v>
      </c>
      <c r="C159" s="199">
        <v>2019.0</v>
      </c>
      <c r="D159" s="198" t="s">
        <v>3061</v>
      </c>
      <c r="E159" s="198" t="s">
        <v>82</v>
      </c>
      <c r="F159" s="200" t="s">
        <v>2264</v>
      </c>
      <c r="G159" s="196">
        <v>45498.0</v>
      </c>
      <c r="H159" s="179">
        <f t="shared" si="1"/>
        <v>0</v>
      </c>
      <c r="I159" s="201" t="s">
        <v>3062</v>
      </c>
      <c r="J159" s="196">
        <v>45498.0</v>
      </c>
      <c r="K159" s="198" t="s">
        <v>2758</v>
      </c>
    </row>
    <row r="160">
      <c r="A160" s="183">
        <v>13416.0</v>
      </c>
      <c r="B160" s="169" t="s">
        <v>3063</v>
      </c>
      <c r="C160" s="168">
        <v>2014.0</v>
      </c>
      <c r="D160" s="142" t="s">
        <v>197</v>
      </c>
      <c r="E160" s="142" t="s">
        <v>866</v>
      </c>
      <c r="F160" s="170" t="s">
        <v>3064</v>
      </c>
      <c r="G160" s="171">
        <v>45498.0</v>
      </c>
      <c r="H160" s="172">
        <f t="shared" si="1"/>
        <v>41</v>
      </c>
      <c r="I160" s="173" t="s">
        <v>3065</v>
      </c>
      <c r="J160" s="171">
        <v>45539.0</v>
      </c>
      <c r="K160" s="169" t="s">
        <v>2758</v>
      </c>
    </row>
    <row r="161">
      <c r="A161" s="179">
        <v>13420.0</v>
      </c>
      <c r="B161" s="198" t="s">
        <v>1909</v>
      </c>
      <c r="C161" s="199">
        <v>2022.0</v>
      </c>
      <c r="D161" s="198" t="s">
        <v>52</v>
      </c>
      <c r="E161" s="198" t="s">
        <v>95</v>
      </c>
      <c r="F161" s="200" t="s">
        <v>1910</v>
      </c>
      <c r="G161" s="196">
        <v>45499.0</v>
      </c>
      <c r="H161" s="179">
        <f t="shared" si="1"/>
        <v>0</v>
      </c>
      <c r="I161" s="201" t="s">
        <v>3066</v>
      </c>
      <c r="J161" s="196">
        <v>45499.0</v>
      </c>
      <c r="K161" s="198" t="s">
        <v>2758</v>
      </c>
    </row>
    <row r="162">
      <c r="A162" s="203">
        <v>13426.0</v>
      </c>
      <c r="B162" s="205" t="s">
        <v>3067</v>
      </c>
      <c r="C162" s="218">
        <v>2014.0</v>
      </c>
      <c r="D162" s="205" t="s">
        <v>188</v>
      </c>
      <c r="E162" s="205" t="s">
        <v>47</v>
      </c>
      <c r="F162" s="206" t="s">
        <v>3068</v>
      </c>
      <c r="G162" s="207">
        <v>45499.0</v>
      </c>
      <c r="H162" s="172">
        <f t="shared" si="1"/>
        <v>53</v>
      </c>
      <c r="I162" s="219" t="s">
        <v>668</v>
      </c>
      <c r="J162" s="171">
        <v>45552.0</v>
      </c>
      <c r="K162" s="169" t="s">
        <v>31</v>
      </c>
    </row>
    <row r="163">
      <c r="A163" s="179">
        <v>13432.0</v>
      </c>
      <c r="B163" s="198" t="s">
        <v>2356</v>
      </c>
      <c r="C163" s="199">
        <v>2022.0</v>
      </c>
      <c r="D163" s="198" t="s">
        <v>52</v>
      </c>
      <c r="E163" s="198" t="s">
        <v>41</v>
      </c>
      <c r="F163" s="200" t="s">
        <v>2936</v>
      </c>
      <c r="G163" s="196">
        <v>45502.0</v>
      </c>
      <c r="H163" s="179">
        <f t="shared" si="1"/>
        <v>0</v>
      </c>
      <c r="I163" s="201" t="s">
        <v>3069</v>
      </c>
      <c r="J163" s="196">
        <v>45502.0</v>
      </c>
      <c r="K163" s="198" t="s">
        <v>31</v>
      </c>
    </row>
    <row r="164">
      <c r="A164" s="203">
        <v>13438.0</v>
      </c>
      <c r="B164" s="205" t="s">
        <v>3070</v>
      </c>
      <c r="C164" s="218">
        <v>2017.0</v>
      </c>
      <c r="D164" s="205" t="s">
        <v>14</v>
      </c>
      <c r="E164" s="205" t="s">
        <v>28</v>
      </c>
      <c r="F164" s="206" t="s">
        <v>3071</v>
      </c>
      <c r="G164" s="207">
        <v>45502.0</v>
      </c>
      <c r="H164" s="172">
        <f t="shared" si="1"/>
        <v>45</v>
      </c>
      <c r="I164" s="219" t="s">
        <v>3072</v>
      </c>
      <c r="J164" s="171">
        <v>45547.0</v>
      </c>
      <c r="K164" s="169" t="s">
        <v>31</v>
      </c>
    </row>
    <row r="165">
      <c r="A165" s="220">
        <v>13441.0</v>
      </c>
      <c r="B165" s="221" t="s">
        <v>3073</v>
      </c>
      <c r="C165" s="222">
        <v>2015.0</v>
      </c>
      <c r="D165" s="221" t="s">
        <v>14</v>
      </c>
      <c r="E165" s="221" t="s">
        <v>855</v>
      </c>
      <c r="F165" s="223" t="s">
        <v>3074</v>
      </c>
      <c r="G165" s="224">
        <v>45502.0</v>
      </c>
      <c r="H165" s="179">
        <f t="shared" si="1"/>
        <v>49</v>
      </c>
      <c r="I165" s="225" t="s">
        <v>3075</v>
      </c>
      <c r="J165" s="178">
        <v>45551.0</v>
      </c>
      <c r="K165" s="175" t="s">
        <v>31</v>
      </c>
    </row>
    <row r="166">
      <c r="A166" s="172">
        <v>13442.0</v>
      </c>
      <c r="B166" s="184" t="s">
        <v>3076</v>
      </c>
      <c r="C166" s="185">
        <v>2018.0</v>
      </c>
      <c r="D166" s="184" t="s">
        <v>14</v>
      </c>
      <c r="E166" s="184" t="s">
        <v>855</v>
      </c>
      <c r="F166" s="186" t="s">
        <v>3077</v>
      </c>
      <c r="G166" s="187">
        <v>45502.0</v>
      </c>
      <c r="H166" s="172">
        <f t="shared" si="1"/>
        <v>1</v>
      </c>
      <c r="I166" s="188" t="s">
        <v>3078</v>
      </c>
      <c r="J166" s="187">
        <v>45503.0</v>
      </c>
      <c r="K166" s="184" t="s">
        <v>31</v>
      </c>
    </row>
    <row r="167">
      <c r="A167" s="220">
        <v>13443.0</v>
      </c>
      <c r="B167" s="221" t="s">
        <v>3079</v>
      </c>
      <c r="C167" s="222">
        <v>2018.0</v>
      </c>
      <c r="D167" s="221" t="s">
        <v>14</v>
      </c>
      <c r="E167" s="221" t="s">
        <v>912</v>
      </c>
      <c r="F167" s="223" t="s">
        <v>3080</v>
      </c>
      <c r="G167" s="224">
        <v>45502.0</v>
      </c>
      <c r="H167" s="179">
        <f t="shared" si="1"/>
        <v>49</v>
      </c>
      <c r="I167" s="225" t="s">
        <v>3081</v>
      </c>
      <c r="J167" s="178">
        <v>45551.0</v>
      </c>
      <c r="K167" s="175" t="s">
        <v>31</v>
      </c>
    </row>
    <row r="168">
      <c r="A168" s="172">
        <v>13446.0</v>
      </c>
      <c r="B168" s="184" t="s">
        <v>3082</v>
      </c>
      <c r="C168" s="185">
        <v>2022.0</v>
      </c>
      <c r="D168" s="184" t="s">
        <v>52</v>
      </c>
      <c r="E168" s="184" t="s">
        <v>125</v>
      </c>
      <c r="F168" s="186" t="s">
        <v>3083</v>
      </c>
      <c r="G168" s="187">
        <v>45503.0</v>
      </c>
      <c r="H168" s="172">
        <f t="shared" si="1"/>
        <v>1</v>
      </c>
      <c r="I168" s="188" t="s">
        <v>3084</v>
      </c>
      <c r="J168" s="187">
        <v>45504.0</v>
      </c>
      <c r="K168" s="184" t="s">
        <v>2758</v>
      </c>
    </row>
    <row r="169">
      <c r="A169" s="179">
        <v>13448.0</v>
      </c>
      <c r="B169" s="198" t="s">
        <v>478</v>
      </c>
      <c r="C169" s="199">
        <v>2015.0</v>
      </c>
      <c r="D169" s="198" t="s">
        <v>130</v>
      </c>
      <c r="E169" s="198" t="s">
        <v>3085</v>
      </c>
      <c r="F169" s="200" t="s">
        <v>479</v>
      </c>
      <c r="G169" s="196">
        <v>45503.0</v>
      </c>
      <c r="H169" s="179">
        <f t="shared" si="1"/>
        <v>0</v>
      </c>
      <c r="I169" s="201" t="s">
        <v>3086</v>
      </c>
      <c r="J169" s="196">
        <v>45503.0</v>
      </c>
      <c r="K169" s="198" t="s">
        <v>2758</v>
      </c>
    </row>
    <row r="170">
      <c r="A170" s="172">
        <v>13450.0</v>
      </c>
      <c r="B170" s="184" t="s">
        <v>3087</v>
      </c>
      <c r="C170" s="185">
        <v>2022.0</v>
      </c>
      <c r="D170" s="184" t="s">
        <v>52</v>
      </c>
      <c r="E170" s="184" t="s">
        <v>855</v>
      </c>
      <c r="F170" s="186" t="s">
        <v>3088</v>
      </c>
      <c r="G170" s="187">
        <v>45503.0</v>
      </c>
      <c r="H170" s="172">
        <f t="shared" si="1"/>
        <v>1</v>
      </c>
      <c r="I170" s="188" t="s">
        <v>3089</v>
      </c>
      <c r="J170" s="187">
        <v>45504.0</v>
      </c>
      <c r="K170" s="184" t="s">
        <v>2758</v>
      </c>
    </row>
    <row r="171">
      <c r="A171" s="179">
        <v>13453.0</v>
      </c>
      <c r="B171" s="198" t="s">
        <v>3090</v>
      </c>
      <c r="C171" s="199">
        <v>2022.0</v>
      </c>
      <c r="D171" s="198" t="s">
        <v>14</v>
      </c>
      <c r="E171" s="198" t="s">
        <v>3091</v>
      </c>
      <c r="F171" s="200" t="s">
        <v>3092</v>
      </c>
      <c r="G171" s="196">
        <v>45503.0</v>
      </c>
      <c r="H171" s="179">
        <f t="shared" si="1"/>
        <v>0</v>
      </c>
      <c r="I171" s="201" t="s">
        <v>3093</v>
      </c>
      <c r="J171" s="196">
        <v>45503.0</v>
      </c>
      <c r="K171" s="198" t="s">
        <v>2758</v>
      </c>
    </row>
    <row r="172">
      <c r="A172" s="172">
        <v>13454.0</v>
      </c>
      <c r="B172" s="184" t="s">
        <v>1919</v>
      </c>
      <c r="C172" s="185">
        <v>2015.0</v>
      </c>
      <c r="D172" s="184" t="s">
        <v>14</v>
      </c>
      <c r="E172" s="184" t="s">
        <v>725</v>
      </c>
      <c r="F172" s="186" t="s">
        <v>1920</v>
      </c>
      <c r="G172" s="187">
        <v>45503.0</v>
      </c>
      <c r="H172" s="172">
        <f t="shared" si="1"/>
        <v>0</v>
      </c>
      <c r="I172" s="188" t="s">
        <v>3094</v>
      </c>
      <c r="J172" s="187">
        <v>45503.0</v>
      </c>
      <c r="K172" s="184" t="s">
        <v>2758</v>
      </c>
    </row>
    <row r="173">
      <c r="A173" s="179">
        <v>13468.0</v>
      </c>
      <c r="B173" s="198" t="s">
        <v>3095</v>
      </c>
      <c r="C173" s="199">
        <v>2020.0</v>
      </c>
      <c r="D173" s="198" t="s">
        <v>14</v>
      </c>
      <c r="E173" s="198" t="s">
        <v>855</v>
      </c>
      <c r="F173" s="200" t="s">
        <v>3096</v>
      </c>
      <c r="G173" s="196">
        <v>45504.0</v>
      </c>
      <c r="H173" s="179">
        <f t="shared" si="1"/>
        <v>2</v>
      </c>
      <c r="I173" s="201" t="s">
        <v>3097</v>
      </c>
      <c r="J173" s="196">
        <v>45506.0</v>
      </c>
      <c r="K173" s="198" t="s">
        <v>84</v>
      </c>
    </row>
    <row r="174">
      <c r="A174" s="203">
        <v>13469.0</v>
      </c>
      <c r="B174" s="205" t="s">
        <v>3098</v>
      </c>
      <c r="C174" s="218">
        <v>2008.0</v>
      </c>
      <c r="D174" s="205" t="s">
        <v>1122</v>
      </c>
      <c r="E174" s="205" t="s">
        <v>337</v>
      </c>
      <c r="F174" s="206" t="s">
        <v>3099</v>
      </c>
      <c r="G174" s="226">
        <v>45504.0</v>
      </c>
      <c r="H174" s="172">
        <f t="shared" si="1"/>
        <v>51</v>
      </c>
      <c r="I174" s="208" t="s">
        <v>3100</v>
      </c>
      <c r="J174" s="171">
        <v>45555.0</v>
      </c>
      <c r="K174" s="169" t="s">
        <v>31</v>
      </c>
    </row>
    <row r="175">
      <c r="A175" s="220">
        <v>13470.0</v>
      </c>
      <c r="B175" s="221" t="s">
        <v>3101</v>
      </c>
      <c r="C175" s="222">
        <v>2009.0</v>
      </c>
      <c r="D175" s="221" t="s">
        <v>451</v>
      </c>
      <c r="E175" s="221" t="s">
        <v>337</v>
      </c>
      <c r="F175" s="223" t="s">
        <v>3102</v>
      </c>
      <c r="G175" s="224">
        <v>45504.0</v>
      </c>
      <c r="H175" s="179">
        <f t="shared" si="1"/>
        <v>47</v>
      </c>
      <c r="I175" s="225" t="s">
        <v>668</v>
      </c>
      <c r="J175" s="178">
        <v>45551.0</v>
      </c>
      <c r="K175" s="175" t="s">
        <v>31</v>
      </c>
    </row>
    <row r="176">
      <c r="A176" s="183">
        <v>13473.0</v>
      </c>
      <c r="B176" s="142" t="s">
        <v>366</v>
      </c>
      <c r="C176" s="168">
        <v>2011.0</v>
      </c>
      <c r="D176" s="142" t="s">
        <v>367</v>
      </c>
      <c r="E176" s="142" t="s">
        <v>399</v>
      </c>
      <c r="F176" s="170" t="s">
        <v>369</v>
      </c>
      <c r="G176" s="171">
        <v>45504.0</v>
      </c>
      <c r="H176" s="172">
        <f t="shared" si="1"/>
        <v>29</v>
      </c>
      <c r="I176" s="211" t="s">
        <v>3103</v>
      </c>
      <c r="J176" s="171">
        <v>45533.0</v>
      </c>
      <c r="K176" s="169" t="s">
        <v>37</v>
      </c>
    </row>
    <row r="177">
      <c r="A177" s="179">
        <v>13475.0</v>
      </c>
      <c r="B177" s="198" t="s">
        <v>3104</v>
      </c>
      <c r="C177" s="199">
        <v>2022.0</v>
      </c>
      <c r="D177" s="198" t="s">
        <v>197</v>
      </c>
      <c r="E177" s="198" t="s">
        <v>2788</v>
      </c>
      <c r="F177" s="200" t="s">
        <v>3105</v>
      </c>
      <c r="G177" s="196">
        <v>45504.0</v>
      </c>
      <c r="H177" s="179">
        <f t="shared" si="1"/>
        <v>1</v>
      </c>
      <c r="I177" s="201" t="s">
        <v>3003</v>
      </c>
      <c r="J177" s="196">
        <v>45505.0</v>
      </c>
      <c r="K177" s="198" t="s">
        <v>2758</v>
      </c>
    </row>
    <row r="178">
      <c r="A178" s="203">
        <v>13476.0</v>
      </c>
      <c r="B178" s="205" t="s">
        <v>3106</v>
      </c>
      <c r="C178" s="218">
        <v>2018.0</v>
      </c>
      <c r="D178" s="205" t="s">
        <v>14</v>
      </c>
      <c r="E178" s="227" t="s">
        <v>2788</v>
      </c>
      <c r="F178" s="206" t="s">
        <v>3107</v>
      </c>
      <c r="G178" s="207">
        <v>45504.0</v>
      </c>
      <c r="H178" s="172">
        <f t="shared" si="1"/>
        <v>48</v>
      </c>
      <c r="I178" s="208" t="s">
        <v>3108</v>
      </c>
      <c r="J178" s="228">
        <v>45552.0</v>
      </c>
      <c r="K178" s="169" t="s">
        <v>2758</v>
      </c>
    </row>
    <row r="179">
      <c r="A179" s="179">
        <v>13478.0</v>
      </c>
      <c r="B179" s="198" t="s">
        <v>3109</v>
      </c>
      <c r="C179" s="199">
        <v>2022.0</v>
      </c>
      <c r="D179" s="198" t="s">
        <v>52</v>
      </c>
      <c r="E179" s="198" t="s">
        <v>459</v>
      </c>
      <c r="F179" s="200" t="s">
        <v>3110</v>
      </c>
      <c r="G179" s="196">
        <v>45505.0</v>
      </c>
      <c r="H179" s="179">
        <f t="shared" si="1"/>
        <v>4</v>
      </c>
      <c r="I179" s="201" t="s">
        <v>3111</v>
      </c>
      <c r="J179" s="196">
        <v>45509.0</v>
      </c>
      <c r="K179" s="198" t="s">
        <v>31</v>
      </c>
    </row>
    <row r="180">
      <c r="A180" s="172">
        <v>13480.0</v>
      </c>
      <c r="B180" s="184" t="s">
        <v>3112</v>
      </c>
      <c r="C180" s="185">
        <v>2021.0</v>
      </c>
      <c r="D180" s="184" t="s">
        <v>52</v>
      </c>
      <c r="E180" s="184" t="s">
        <v>855</v>
      </c>
      <c r="F180" s="186" t="s">
        <v>3113</v>
      </c>
      <c r="G180" s="187">
        <v>45505.0</v>
      </c>
      <c r="H180" s="172">
        <f t="shared" si="1"/>
        <v>0</v>
      </c>
      <c r="I180" s="188" t="s">
        <v>3114</v>
      </c>
      <c r="J180" s="187">
        <v>45505.0</v>
      </c>
      <c r="K180" s="184" t="s">
        <v>17</v>
      </c>
    </row>
    <row r="181">
      <c r="A181" s="179">
        <v>13484.0</v>
      </c>
      <c r="B181" s="198" t="s">
        <v>3115</v>
      </c>
      <c r="C181" s="199">
        <v>2022.0</v>
      </c>
      <c r="D181" s="198" t="s">
        <v>52</v>
      </c>
      <c r="E181" s="198" t="s">
        <v>855</v>
      </c>
      <c r="F181" s="200" t="s">
        <v>3116</v>
      </c>
      <c r="G181" s="196">
        <v>45505.0</v>
      </c>
      <c r="H181" s="179">
        <f t="shared" si="1"/>
        <v>0</v>
      </c>
      <c r="I181" s="201" t="s">
        <v>3117</v>
      </c>
      <c r="J181" s="196">
        <v>45505.0</v>
      </c>
      <c r="K181" s="198" t="s">
        <v>17</v>
      </c>
    </row>
    <row r="182">
      <c r="A182" s="183">
        <v>13489.0</v>
      </c>
      <c r="B182" s="142" t="s">
        <v>3118</v>
      </c>
      <c r="C182" s="168">
        <v>2018.0</v>
      </c>
      <c r="D182" s="142" t="s">
        <v>188</v>
      </c>
      <c r="E182" s="142" t="s">
        <v>82</v>
      </c>
      <c r="F182" s="170" t="s">
        <v>3119</v>
      </c>
      <c r="G182" s="171">
        <v>45505.0</v>
      </c>
      <c r="H182" s="172">
        <f t="shared" si="1"/>
        <v>22</v>
      </c>
      <c r="I182" s="211" t="s">
        <v>1016</v>
      </c>
      <c r="J182" s="171">
        <v>45527.0</v>
      </c>
      <c r="K182" s="169" t="s">
        <v>31</v>
      </c>
    </row>
    <row r="183">
      <c r="A183" s="220">
        <v>13491.0</v>
      </c>
      <c r="B183" s="221" t="s">
        <v>2905</v>
      </c>
      <c r="C183" s="222">
        <v>2014.0</v>
      </c>
      <c r="D183" s="221" t="s">
        <v>130</v>
      </c>
      <c r="E183" s="229" t="s">
        <v>2672</v>
      </c>
      <c r="F183" s="223" t="s">
        <v>2907</v>
      </c>
      <c r="G183" s="224">
        <v>45506.0</v>
      </c>
      <c r="H183" s="179">
        <f t="shared" si="1"/>
        <v>48</v>
      </c>
      <c r="I183" s="225" t="s">
        <v>3120</v>
      </c>
      <c r="J183" s="178">
        <v>45554.0</v>
      </c>
      <c r="K183" s="175" t="s">
        <v>2758</v>
      </c>
    </row>
    <row r="184">
      <c r="A184" s="172">
        <v>13493.0</v>
      </c>
      <c r="B184" s="184" t="s">
        <v>478</v>
      </c>
      <c r="C184" s="185">
        <v>2015.0</v>
      </c>
      <c r="D184" s="184" t="s">
        <v>130</v>
      </c>
      <c r="E184" s="184" t="s">
        <v>805</v>
      </c>
      <c r="F184" s="186" t="s">
        <v>479</v>
      </c>
      <c r="G184" s="187">
        <v>45506.0</v>
      </c>
      <c r="H184" s="172">
        <f t="shared" si="1"/>
        <v>0</v>
      </c>
      <c r="I184" s="188" t="s">
        <v>3121</v>
      </c>
      <c r="J184" s="187">
        <v>45506.0</v>
      </c>
      <c r="K184" s="184" t="s">
        <v>37</v>
      </c>
    </row>
    <row r="185">
      <c r="A185" s="179">
        <v>13497.0</v>
      </c>
      <c r="B185" s="198" t="s">
        <v>2294</v>
      </c>
      <c r="C185" s="199">
        <v>2022.0</v>
      </c>
      <c r="D185" s="198" t="s">
        <v>52</v>
      </c>
      <c r="E185" s="198" t="s">
        <v>805</v>
      </c>
      <c r="F185" s="200" t="s">
        <v>3122</v>
      </c>
      <c r="G185" s="196">
        <v>45506.0</v>
      </c>
      <c r="H185" s="179">
        <f t="shared" si="1"/>
        <v>3</v>
      </c>
      <c r="I185" s="201" t="s">
        <v>3123</v>
      </c>
      <c r="J185" s="196">
        <v>45509.0</v>
      </c>
      <c r="K185" s="198" t="s">
        <v>2758</v>
      </c>
    </row>
    <row r="186">
      <c r="A186" s="172">
        <v>13498.0</v>
      </c>
      <c r="B186" s="184" t="s">
        <v>2894</v>
      </c>
      <c r="C186" s="185">
        <v>2022.0</v>
      </c>
      <c r="D186" s="184" t="s">
        <v>52</v>
      </c>
      <c r="E186" s="184" t="s">
        <v>805</v>
      </c>
      <c r="F186" s="186" t="s">
        <v>2895</v>
      </c>
      <c r="G186" s="187">
        <v>45506.0</v>
      </c>
      <c r="H186" s="172">
        <f t="shared" si="1"/>
        <v>4</v>
      </c>
      <c r="I186" s="188" t="s">
        <v>3124</v>
      </c>
      <c r="J186" s="187">
        <v>45510.0</v>
      </c>
      <c r="K186" s="184" t="s">
        <v>2758</v>
      </c>
    </row>
    <row r="187">
      <c r="A187" s="179">
        <v>13503.0</v>
      </c>
      <c r="B187" s="198" t="s">
        <v>1126</v>
      </c>
      <c r="C187" s="199">
        <v>2022.0</v>
      </c>
      <c r="D187" s="198" t="s">
        <v>52</v>
      </c>
      <c r="E187" s="198" t="s">
        <v>173</v>
      </c>
      <c r="F187" s="200" t="s">
        <v>1127</v>
      </c>
      <c r="G187" s="196">
        <v>45509.0</v>
      </c>
      <c r="H187" s="179">
        <f t="shared" si="1"/>
        <v>0</v>
      </c>
      <c r="I187" s="201" t="s">
        <v>3125</v>
      </c>
      <c r="J187" s="196">
        <v>45509.0</v>
      </c>
      <c r="K187" s="198" t="s">
        <v>2758</v>
      </c>
    </row>
    <row r="188">
      <c r="A188" s="172">
        <v>13506.0</v>
      </c>
      <c r="B188" s="184" t="s">
        <v>3126</v>
      </c>
      <c r="C188" s="185">
        <v>2018.0</v>
      </c>
      <c r="D188" s="184" t="s">
        <v>14</v>
      </c>
      <c r="E188" s="184" t="s">
        <v>855</v>
      </c>
      <c r="F188" s="186" t="s">
        <v>3127</v>
      </c>
      <c r="G188" s="187">
        <v>45509.0</v>
      </c>
      <c r="H188" s="172">
        <f t="shared" si="1"/>
        <v>2</v>
      </c>
      <c r="I188" s="188" t="s">
        <v>3128</v>
      </c>
      <c r="J188" s="187">
        <v>45511.0</v>
      </c>
      <c r="K188" s="184" t="s">
        <v>31</v>
      </c>
    </row>
    <row r="189">
      <c r="A189" s="179">
        <v>13511.0</v>
      </c>
      <c r="B189" s="198" t="s">
        <v>3129</v>
      </c>
      <c r="C189" s="199">
        <v>2015.0</v>
      </c>
      <c r="D189" s="198" t="s">
        <v>3130</v>
      </c>
      <c r="E189" s="198" t="s">
        <v>240</v>
      </c>
      <c r="F189" s="200" t="s">
        <v>3131</v>
      </c>
      <c r="G189" s="196">
        <v>45509.0</v>
      </c>
      <c r="H189" s="179">
        <f t="shared" si="1"/>
        <v>1</v>
      </c>
      <c r="I189" s="201" t="s">
        <v>3132</v>
      </c>
      <c r="J189" s="196">
        <v>45510.0</v>
      </c>
      <c r="K189" s="198" t="s">
        <v>2758</v>
      </c>
    </row>
    <row r="190">
      <c r="A190" s="172">
        <v>13514.0</v>
      </c>
      <c r="B190" s="184" t="s">
        <v>965</v>
      </c>
      <c r="C190" s="185">
        <v>2022.0</v>
      </c>
      <c r="D190" s="184" t="s">
        <v>52</v>
      </c>
      <c r="E190" s="184" t="s">
        <v>183</v>
      </c>
      <c r="F190" s="186" t="s">
        <v>966</v>
      </c>
      <c r="G190" s="187">
        <v>45510.0</v>
      </c>
      <c r="H190" s="172">
        <f t="shared" si="1"/>
        <v>0</v>
      </c>
      <c r="I190" s="188" t="s">
        <v>857</v>
      </c>
      <c r="J190" s="187">
        <v>45510.0</v>
      </c>
      <c r="K190" s="184" t="s">
        <v>2758</v>
      </c>
    </row>
    <row r="191">
      <c r="A191" s="179">
        <v>13519.0</v>
      </c>
      <c r="B191" s="198" t="s">
        <v>1126</v>
      </c>
      <c r="C191" s="199">
        <v>2022.0</v>
      </c>
      <c r="D191" s="198" t="s">
        <v>52</v>
      </c>
      <c r="E191" s="198" t="s">
        <v>173</v>
      </c>
      <c r="F191" s="200" t="s">
        <v>1127</v>
      </c>
      <c r="G191" s="196">
        <v>45510.0</v>
      </c>
      <c r="H191" s="179">
        <f t="shared" si="1"/>
        <v>0</v>
      </c>
      <c r="I191" s="201" t="s">
        <v>857</v>
      </c>
      <c r="J191" s="196">
        <v>45510.0</v>
      </c>
      <c r="K191" s="198" t="s">
        <v>2758</v>
      </c>
    </row>
    <row r="192">
      <c r="A192" s="172">
        <v>13524.0</v>
      </c>
      <c r="B192" s="184" t="s">
        <v>417</v>
      </c>
      <c r="C192" s="185">
        <v>2022.0</v>
      </c>
      <c r="D192" s="184" t="s">
        <v>52</v>
      </c>
      <c r="E192" s="184" t="s">
        <v>418</v>
      </c>
      <c r="F192" s="186" t="s">
        <v>419</v>
      </c>
      <c r="G192" s="187">
        <v>45510.0</v>
      </c>
      <c r="H192" s="172">
        <f t="shared" si="1"/>
        <v>0</v>
      </c>
      <c r="I192" s="188" t="s">
        <v>3094</v>
      </c>
      <c r="J192" s="187">
        <v>45510.0</v>
      </c>
      <c r="K192" s="184" t="s">
        <v>2758</v>
      </c>
    </row>
    <row r="193">
      <c r="A193" s="179">
        <v>13526.0</v>
      </c>
      <c r="B193" s="198" t="s">
        <v>3133</v>
      </c>
      <c r="C193" s="199">
        <v>2015.0</v>
      </c>
      <c r="D193" s="198" t="s">
        <v>130</v>
      </c>
      <c r="E193" s="198" t="s">
        <v>70</v>
      </c>
      <c r="F193" s="200" t="s">
        <v>3134</v>
      </c>
      <c r="G193" s="196">
        <v>45510.0</v>
      </c>
      <c r="H193" s="179">
        <f t="shared" si="1"/>
        <v>1</v>
      </c>
      <c r="I193" s="201" t="s">
        <v>668</v>
      </c>
      <c r="J193" s="196">
        <v>45511.0</v>
      </c>
      <c r="K193" s="198" t="s">
        <v>2758</v>
      </c>
    </row>
    <row r="194">
      <c r="A194" s="172">
        <v>13526.0</v>
      </c>
      <c r="B194" s="184" t="s">
        <v>3133</v>
      </c>
      <c r="C194" s="185">
        <v>2015.0</v>
      </c>
      <c r="D194" s="184" t="s">
        <v>130</v>
      </c>
      <c r="E194" s="184" t="s">
        <v>805</v>
      </c>
      <c r="F194" s="186" t="s">
        <v>3134</v>
      </c>
      <c r="G194" s="187">
        <v>45510.0</v>
      </c>
      <c r="H194" s="172">
        <f t="shared" si="1"/>
        <v>1</v>
      </c>
      <c r="I194" s="188" t="s">
        <v>2896</v>
      </c>
      <c r="J194" s="187">
        <v>45511.0</v>
      </c>
      <c r="K194" s="184" t="s">
        <v>2758</v>
      </c>
    </row>
    <row r="195">
      <c r="A195" s="181">
        <v>13533.0</v>
      </c>
      <c r="B195" s="175" t="s">
        <v>1922</v>
      </c>
      <c r="C195" s="174">
        <v>2022.0</v>
      </c>
      <c r="D195" s="176" t="s">
        <v>52</v>
      </c>
      <c r="E195" s="176" t="s">
        <v>805</v>
      </c>
      <c r="F195" s="177" t="s">
        <v>3135</v>
      </c>
      <c r="G195" s="178">
        <v>45645.0</v>
      </c>
      <c r="H195" s="179">
        <f t="shared" si="1"/>
        <v>4</v>
      </c>
      <c r="I195" s="180" t="s">
        <v>3136</v>
      </c>
      <c r="J195" s="178">
        <v>45649.0</v>
      </c>
      <c r="K195" s="175" t="s">
        <v>2758</v>
      </c>
    </row>
    <row r="196">
      <c r="A196" s="172">
        <v>13534.0</v>
      </c>
      <c r="B196" s="184" t="s">
        <v>3137</v>
      </c>
      <c r="C196" s="185">
        <v>2009.0</v>
      </c>
      <c r="D196" s="184" t="s">
        <v>2629</v>
      </c>
      <c r="E196" s="184" t="s">
        <v>2664</v>
      </c>
      <c r="F196" s="186" t="s">
        <v>3138</v>
      </c>
      <c r="G196" s="187">
        <v>45510.0</v>
      </c>
      <c r="H196" s="172">
        <f t="shared" si="1"/>
        <v>3</v>
      </c>
      <c r="I196" s="188" t="s">
        <v>3139</v>
      </c>
      <c r="J196" s="187">
        <v>45513.0</v>
      </c>
      <c r="K196" s="184" t="s">
        <v>31</v>
      </c>
    </row>
    <row r="197">
      <c r="A197" s="181">
        <v>13535.0</v>
      </c>
      <c r="B197" s="176" t="s">
        <v>3140</v>
      </c>
      <c r="C197" s="174">
        <v>2017.0</v>
      </c>
      <c r="D197" s="176" t="s">
        <v>14</v>
      </c>
      <c r="E197" s="176" t="s">
        <v>2664</v>
      </c>
      <c r="F197" s="177" t="s">
        <v>3141</v>
      </c>
      <c r="G197" s="178">
        <v>45510.0</v>
      </c>
      <c r="H197" s="179">
        <f t="shared" si="1"/>
        <v>36</v>
      </c>
      <c r="I197" s="182" t="s">
        <v>3142</v>
      </c>
      <c r="J197" s="178">
        <v>45546.0</v>
      </c>
      <c r="K197" s="175" t="s">
        <v>2758</v>
      </c>
    </row>
    <row r="198">
      <c r="A198" s="172">
        <v>13537.0</v>
      </c>
      <c r="B198" s="184" t="s">
        <v>705</v>
      </c>
      <c r="C198" s="185">
        <v>2022.0</v>
      </c>
      <c r="D198" s="184" t="s">
        <v>52</v>
      </c>
      <c r="E198" s="184" t="s">
        <v>169</v>
      </c>
      <c r="F198" s="186" t="s">
        <v>706</v>
      </c>
      <c r="G198" s="187">
        <v>45511.0</v>
      </c>
      <c r="H198" s="172">
        <f t="shared" si="1"/>
        <v>0</v>
      </c>
      <c r="I198" s="188" t="s">
        <v>857</v>
      </c>
      <c r="J198" s="187">
        <v>45511.0</v>
      </c>
      <c r="K198" s="184" t="s">
        <v>2758</v>
      </c>
    </row>
    <row r="199">
      <c r="A199" s="179">
        <v>13538.0</v>
      </c>
      <c r="B199" s="198" t="s">
        <v>3143</v>
      </c>
      <c r="C199" s="199">
        <v>2011.0</v>
      </c>
      <c r="D199" s="198" t="s">
        <v>367</v>
      </c>
      <c r="E199" s="198" t="s">
        <v>866</v>
      </c>
      <c r="F199" s="200" t="s">
        <v>3144</v>
      </c>
      <c r="G199" s="196">
        <v>45511.0</v>
      </c>
      <c r="H199" s="179">
        <f t="shared" si="1"/>
        <v>0</v>
      </c>
      <c r="I199" s="201" t="s">
        <v>857</v>
      </c>
      <c r="J199" s="196">
        <v>45511.0</v>
      </c>
      <c r="K199" s="198" t="s">
        <v>2758</v>
      </c>
    </row>
    <row r="200">
      <c r="A200" s="172">
        <v>13540.0</v>
      </c>
      <c r="B200" s="184" t="s">
        <v>2974</v>
      </c>
      <c r="C200" s="185">
        <v>2017.0</v>
      </c>
      <c r="D200" s="184" t="s">
        <v>52</v>
      </c>
      <c r="E200" s="184" t="s">
        <v>160</v>
      </c>
      <c r="F200" s="186" t="s">
        <v>2975</v>
      </c>
      <c r="G200" s="187">
        <v>45511.0</v>
      </c>
      <c r="H200" s="172">
        <f t="shared" si="1"/>
        <v>1</v>
      </c>
      <c r="I200" s="188" t="s">
        <v>3145</v>
      </c>
      <c r="J200" s="187">
        <v>45512.0</v>
      </c>
      <c r="K200" s="184" t="s">
        <v>2758</v>
      </c>
    </row>
    <row r="201">
      <c r="A201" s="179">
        <v>13542.0</v>
      </c>
      <c r="B201" s="198" t="s">
        <v>413</v>
      </c>
      <c r="C201" s="199">
        <v>2018.0</v>
      </c>
      <c r="D201" s="198" t="s">
        <v>14</v>
      </c>
      <c r="E201" s="198" t="s">
        <v>368</v>
      </c>
      <c r="F201" s="200" t="s">
        <v>414</v>
      </c>
      <c r="G201" s="196">
        <v>45511.0</v>
      </c>
      <c r="H201" s="179">
        <f t="shared" si="1"/>
        <v>0</v>
      </c>
      <c r="I201" s="201" t="s">
        <v>133</v>
      </c>
      <c r="J201" s="196">
        <v>45511.0</v>
      </c>
      <c r="K201" s="198" t="s">
        <v>2758</v>
      </c>
    </row>
    <row r="202">
      <c r="A202" s="172">
        <v>13550.0</v>
      </c>
      <c r="B202" s="184" t="s">
        <v>609</v>
      </c>
      <c r="C202" s="185">
        <v>2022.0</v>
      </c>
      <c r="D202" s="184" t="s">
        <v>3146</v>
      </c>
      <c r="E202" s="184" t="s">
        <v>610</v>
      </c>
      <c r="F202" s="186" t="s">
        <v>611</v>
      </c>
      <c r="G202" s="187">
        <v>45512.0</v>
      </c>
      <c r="H202" s="172">
        <f t="shared" si="1"/>
        <v>0</v>
      </c>
      <c r="I202" s="188" t="s">
        <v>3147</v>
      </c>
      <c r="J202" s="187">
        <v>45512.0</v>
      </c>
      <c r="K202" s="184" t="s">
        <v>2758</v>
      </c>
    </row>
    <row r="203">
      <c r="A203" s="179">
        <v>13568.0</v>
      </c>
      <c r="B203" s="198" t="s">
        <v>1056</v>
      </c>
      <c r="C203" s="199">
        <v>2022.0</v>
      </c>
      <c r="D203" s="198" t="s">
        <v>136</v>
      </c>
      <c r="E203" s="198" t="s">
        <v>3148</v>
      </c>
      <c r="F203" s="200" t="s">
        <v>1058</v>
      </c>
      <c r="G203" s="196">
        <v>45513.0</v>
      </c>
      <c r="H203" s="179">
        <f t="shared" si="1"/>
        <v>0</v>
      </c>
      <c r="I203" s="201" t="s">
        <v>3149</v>
      </c>
      <c r="J203" s="196">
        <v>45513.0</v>
      </c>
      <c r="K203" s="198" t="s">
        <v>2758</v>
      </c>
    </row>
    <row r="204">
      <c r="A204" s="172">
        <v>13569.0</v>
      </c>
      <c r="B204" s="184" t="s">
        <v>3150</v>
      </c>
      <c r="C204" s="185">
        <v>2022.0</v>
      </c>
      <c r="D204" s="184" t="s">
        <v>52</v>
      </c>
      <c r="E204" s="184" t="s">
        <v>3151</v>
      </c>
      <c r="F204" s="186" t="s">
        <v>3152</v>
      </c>
      <c r="G204" s="187">
        <v>45513.0</v>
      </c>
      <c r="H204" s="172">
        <f t="shared" si="1"/>
        <v>0</v>
      </c>
      <c r="I204" s="188" t="s">
        <v>3153</v>
      </c>
      <c r="J204" s="187">
        <v>45513.0</v>
      </c>
      <c r="K204" s="184" t="s">
        <v>2758</v>
      </c>
    </row>
    <row r="205">
      <c r="A205" s="179">
        <v>13570.0</v>
      </c>
      <c r="B205" s="198" t="s">
        <v>3154</v>
      </c>
      <c r="C205" s="199">
        <v>2015.0</v>
      </c>
      <c r="D205" s="198" t="s">
        <v>622</v>
      </c>
      <c r="E205" s="198" t="s">
        <v>3155</v>
      </c>
      <c r="F205" s="200">
        <v>0.0</v>
      </c>
      <c r="G205" s="196">
        <v>45513.0</v>
      </c>
      <c r="H205" s="179">
        <f t="shared" si="1"/>
        <v>0</v>
      </c>
      <c r="I205" s="201" t="s">
        <v>3156</v>
      </c>
      <c r="J205" s="196">
        <v>45513.0</v>
      </c>
      <c r="K205" s="198" t="s">
        <v>2758</v>
      </c>
    </row>
    <row r="206">
      <c r="A206" s="172">
        <v>13575.0</v>
      </c>
      <c r="B206" s="184" t="s">
        <v>3157</v>
      </c>
      <c r="C206" s="185">
        <v>2017.0</v>
      </c>
      <c r="D206" s="184" t="s">
        <v>14</v>
      </c>
      <c r="E206" s="184" t="s">
        <v>459</v>
      </c>
      <c r="F206" s="186" t="s">
        <v>3158</v>
      </c>
      <c r="G206" s="187">
        <v>45513.0</v>
      </c>
      <c r="H206" s="172">
        <f t="shared" si="1"/>
        <v>0</v>
      </c>
      <c r="I206" s="188" t="s">
        <v>3159</v>
      </c>
      <c r="J206" s="187">
        <v>45513.0</v>
      </c>
      <c r="K206" s="184" t="s">
        <v>2758</v>
      </c>
    </row>
    <row r="207">
      <c r="A207" s="179">
        <v>13587.0</v>
      </c>
      <c r="B207" s="198" t="s">
        <v>3160</v>
      </c>
      <c r="C207" s="199">
        <v>2015.0</v>
      </c>
      <c r="D207" s="198" t="s">
        <v>130</v>
      </c>
      <c r="E207" s="198" t="s">
        <v>125</v>
      </c>
      <c r="F207" s="200" t="s">
        <v>3161</v>
      </c>
      <c r="G207" s="196">
        <v>45516.0</v>
      </c>
      <c r="H207" s="179">
        <f t="shared" si="1"/>
        <v>1</v>
      </c>
      <c r="I207" s="201" t="s">
        <v>3162</v>
      </c>
      <c r="J207" s="196">
        <v>45517.0</v>
      </c>
      <c r="K207" s="198" t="s">
        <v>2758</v>
      </c>
    </row>
    <row r="208">
      <c r="A208" s="203">
        <v>13594.0</v>
      </c>
      <c r="B208" s="205" t="s">
        <v>3163</v>
      </c>
      <c r="C208" s="218">
        <v>2019.0</v>
      </c>
      <c r="D208" s="205" t="s">
        <v>14</v>
      </c>
      <c r="E208" s="205" t="s">
        <v>855</v>
      </c>
      <c r="F208" s="206" t="s">
        <v>3164</v>
      </c>
      <c r="G208" s="207">
        <v>45517.0</v>
      </c>
      <c r="H208" s="172">
        <f t="shared" si="1"/>
        <v>35</v>
      </c>
      <c r="I208" s="219" t="s">
        <v>3165</v>
      </c>
      <c r="J208" s="171">
        <v>45552.0</v>
      </c>
      <c r="K208" s="169" t="s">
        <v>31</v>
      </c>
    </row>
    <row r="209">
      <c r="A209" s="179">
        <v>13595.0</v>
      </c>
      <c r="B209" s="198" t="s">
        <v>3166</v>
      </c>
      <c r="C209" s="199">
        <v>2015.0</v>
      </c>
      <c r="D209" s="198" t="s">
        <v>2767</v>
      </c>
      <c r="E209" s="198" t="s">
        <v>855</v>
      </c>
      <c r="F209" s="200" t="s">
        <v>3167</v>
      </c>
      <c r="G209" s="196">
        <v>45517.0</v>
      </c>
      <c r="H209" s="179">
        <f t="shared" si="1"/>
        <v>1</v>
      </c>
      <c r="I209" s="201" t="s">
        <v>3168</v>
      </c>
      <c r="J209" s="196">
        <v>45518.0</v>
      </c>
      <c r="K209" s="198" t="s">
        <v>2758</v>
      </c>
    </row>
    <row r="210">
      <c r="A210" s="172">
        <v>13596.0</v>
      </c>
      <c r="B210" s="184" t="s">
        <v>3169</v>
      </c>
      <c r="C210" s="185">
        <v>2020.0</v>
      </c>
      <c r="D210" s="184" t="s">
        <v>75</v>
      </c>
      <c r="E210" s="184" t="s">
        <v>82</v>
      </c>
      <c r="F210" s="186" t="s">
        <v>3170</v>
      </c>
      <c r="G210" s="187">
        <v>45517.0</v>
      </c>
      <c r="H210" s="172">
        <f t="shared" si="1"/>
        <v>0</v>
      </c>
      <c r="I210" s="188" t="s">
        <v>3171</v>
      </c>
      <c r="J210" s="187">
        <v>45517.0</v>
      </c>
      <c r="K210" s="184" t="s">
        <v>2758</v>
      </c>
    </row>
    <row r="211">
      <c r="A211" s="179">
        <v>13600.0</v>
      </c>
      <c r="B211" s="198" t="s">
        <v>3172</v>
      </c>
      <c r="C211" s="199">
        <v>2017.0</v>
      </c>
      <c r="D211" s="198" t="s">
        <v>14</v>
      </c>
      <c r="E211" s="198" t="s">
        <v>2029</v>
      </c>
      <c r="F211" s="200" t="s">
        <v>3173</v>
      </c>
      <c r="G211" s="196">
        <v>45517.0</v>
      </c>
      <c r="H211" s="179">
        <f t="shared" si="1"/>
        <v>1</v>
      </c>
      <c r="I211" s="201" t="s">
        <v>3174</v>
      </c>
      <c r="J211" s="196">
        <v>45518.0</v>
      </c>
      <c r="K211" s="198" t="s">
        <v>31</v>
      </c>
    </row>
    <row r="212">
      <c r="A212" s="183">
        <v>13607.0</v>
      </c>
      <c r="B212" s="169" t="s">
        <v>1591</v>
      </c>
      <c r="C212" s="168">
        <v>2015.0</v>
      </c>
      <c r="D212" s="169" t="s">
        <v>130</v>
      </c>
      <c r="E212" s="169" t="s">
        <v>125</v>
      </c>
      <c r="F212" s="170" t="s">
        <v>3175</v>
      </c>
      <c r="G212" s="171">
        <v>45518.0</v>
      </c>
      <c r="H212" s="172">
        <f t="shared" si="1"/>
        <v>8</v>
      </c>
      <c r="I212" s="211" t="s">
        <v>668</v>
      </c>
      <c r="J212" s="171">
        <v>45526.0</v>
      </c>
      <c r="K212" s="169" t="s">
        <v>2758</v>
      </c>
    </row>
    <row r="213">
      <c r="A213" s="181">
        <v>13612.0</v>
      </c>
      <c r="B213" s="175" t="s">
        <v>2984</v>
      </c>
      <c r="C213" s="174">
        <v>2015.0</v>
      </c>
      <c r="D213" s="175" t="s">
        <v>130</v>
      </c>
      <c r="E213" s="175" t="s">
        <v>125</v>
      </c>
      <c r="F213" s="177" t="s">
        <v>2985</v>
      </c>
      <c r="G213" s="178">
        <v>45518.0</v>
      </c>
      <c r="H213" s="179">
        <f t="shared" si="1"/>
        <v>8</v>
      </c>
      <c r="I213" s="182" t="s">
        <v>668</v>
      </c>
      <c r="J213" s="178">
        <v>45526.0</v>
      </c>
      <c r="K213" s="175" t="s">
        <v>2758</v>
      </c>
    </row>
    <row r="214">
      <c r="A214" s="203">
        <v>13613.0</v>
      </c>
      <c r="B214" s="205" t="s">
        <v>2737</v>
      </c>
      <c r="C214" s="218">
        <v>2011.0</v>
      </c>
      <c r="D214" s="205" t="s">
        <v>2647</v>
      </c>
      <c r="E214" s="205" t="s">
        <v>47</v>
      </c>
      <c r="F214" s="206" t="s">
        <v>2738</v>
      </c>
      <c r="G214" s="207">
        <v>45518.0</v>
      </c>
      <c r="H214" s="172">
        <f t="shared" si="1"/>
        <v>54</v>
      </c>
      <c r="I214" s="219" t="s">
        <v>3176</v>
      </c>
      <c r="J214" s="171">
        <v>45572.0</v>
      </c>
      <c r="K214" s="169" t="s">
        <v>31</v>
      </c>
    </row>
    <row r="215">
      <c r="A215" s="179">
        <v>13619.0</v>
      </c>
      <c r="B215" s="198" t="s">
        <v>80</v>
      </c>
      <c r="C215" s="199">
        <v>2020.0</v>
      </c>
      <c r="D215" s="198" t="s">
        <v>105</v>
      </c>
      <c r="E215" s="198" t="s">
        <v>82</v>
      </c>
      <c r="F215" s="200" t="s">
        <v>3177</v>
      </c>
      <c r="G215" s="196">
        <v>45519.0</v>
      </c>
      <c r="H215" s="179">
        <f t="shared" si="1"/>
        <v>0</v>
      </c>
      <c r="I215" s="201" t="s">
        <v>3178</v>
      </c>
      <c r="J215" s="196">
        <v>45519.0</v>
      </c>
      <c r="K215" s="198" t="s">
        <v>2758</v>
      </c>
    </row>
    <row r="216">
      <c r="A216" s="183">
        <v>13621.0</v>
      </c>
      <c r="B216" s="169" t="s">
        <v>3115</v>
      </c>
      <c r="C216" s="168">
        <v>2022.0</v>
      </c>
      <c r="D216" s="169" t="s">
        <v>52</v>
      </c>
      <c r="E216" s="169" t="s">
        <v>855</v>
      </c>
      <c r="F216" s="170" t="s">
        <v>3116</v>
      </c>
      <c r="G216" s="171">
        <v>45519.0</v>
      </c>
      <c r="H216" s="172">
        <f t="shared" si="1"/>
        <v>0</v>
      </c>
      <c r="I216" s="211" t="s">
        <v>3179</v>
      </c>
      <c r="J216" s="171">
        <v>45519.0</v>
      </c>
      <c r="K216" s="169" t="s">
        <v>2758</v>
      </c>
    </row>
    <row r="217">
      <c r="A217" s="181">
        <v>13622.0</v>
      </c>
      <c r="B217" s="175" t="s">
        <v>2821</v>
      </c>
      <c r="C217" s="174">
        <v>2011.0</v>
      </c>
      <c r="D217" s="175" t="s">
        <v>367</v>
      </c>
      <c r="E217" s="175" t="s">
        <v>2993</v>
      </c>
      <c r="F217" s="177" t="s">
        <v>2822</v>
      </c>
      <c r="G217" s="178">
        <v>45520.0</v>
      </c>
      <c r="H217" s="179">
        <f t="shared" si="1"/>
        <v>0</v>
      </c>
      <c r="I217" s="182" t="s">
        <v>3180</v>
      </c>
      <c r="J217" s="178">
        <v>45520.0</v>
      </c>
      <c r="K217" s="175" t="s">
        <v>31</v>
      </c>
    </row>
    <row r="218">
      <c r="A218" s="183">
        <v>13630.0</v>
      </c>
      <c r="B218" s="142" t="s">
        <v>3181</v>
      </c>
      <c r="C218" s="168">
        <v>2021.0</v>
      </c>
      <c r="D218" s="142" t="s">
        <v>3182</v>
      </c>
      <c r="E218" s="142" t="s">
        <v>2788</v>
      </c>
      <c r="F218" s="170" t="s">
        <v>3183</v>
      </c>
      <c r="G218" s="171">
        <v>45519.0</v>
      </c>
      <c r="H218" s="172">
        <f t="shared" si="1"/>
        <v>7</v>
      </c>
      <c r="I218" s="211" t="s">
        <v>3184</v>
      </c>
      <c r="J218" s="171">
        <v>45526.0</v>
      </c>
      <c r="K218" s="169" t="s">
        <v>2758</v>
      </c>
    </row>
    <row r="219">
      <c r="A219" s="181">
        <v>13631.0</v>
      </c>
      <c r="B219" s="175" t="s">
        <v>1570</v>
      </c>
      <c r="C219" s="174">
        <v>2022.0</v>
      </c>
      <c r="D219" s="175" t="s">
        <v>52</v>
      </c>
      <c r="E219" s="175" t="s">
        <v>183</v>
      </c>
      <c r="F219" s="177" t="s">
        <v>1571</v>
      </c>
      <c r="G219" s="178">
        <v>45519.0</v>
      </c>
      <c r="H219" s="179">
        <f t="shared" si="1"/>
        <v>0</v>
      </c>
      <c r="I219" s="182" t="s">
        <v>3185</v>
      </c>
      <c r="J219" s="178">
        <v>45519.0</v>
      </c>
      <c r="K219" s="175" t="s">
        <v>2758</v>
      </c>
    </row>
    <row r="220">
      <c r="A220" s="203">
        <v>13632.0</v>
      </c>
      <c r="B220" s="205" t="s">
        <v>3186</v>
      </c>
      <c r="C220" s="218">
        <v>2002.0</v>
      </c>
      <c r="D220" s="205" t="s">
        <v>1122</v>
      </c>
      <c r="E220" s="205" t="s">
        <v>866</v>
      </c>
      <c r="F220" s="230" t="s">
        <v>3187</v>
      </c>
      <c r="G220" s="207">
        <v>45519.0</v>
      </c>
      <c r="H220" s="172">
        <f t="shared" si="1"/>
        <v>60</v>
      </c>
      <c r="I220" s="173" t="s">
        <v>3188</v>
      </c>
      <c r="J220" s="171">
        <v>45579.0</v>
      </c>
      <c r="K220" s="169" t="s">
        <v>31</v>
      </c>
    </row>
    <row r="221">
      <c r="A221" s="181">
        <v>13639.0</v>
      </c>
      <c r="B221" s="175" t="s">
        <v>2378</v>
      </c>
      <c r="C221" s="174">
        <v>2015.0</v>
      </c>
      <c r="D221" s="176" t="s">
        <v>14</v>
      </c>
      <c r="E221" s="176" t="s">
        <v>2684</v>
      </c>
      <c r="F221" s="177" t="s">
        <v>2379</v>
      </c>
      <c r="G221" s="178">
        <v>45520.0</v>
      </c>
      <c r="H221" s="179">
        <f t="shared" si="1"/>
        <v>18</v>
      </c>
      <c r="I221" s="180" t="s">
        <v>3189</v>
      </c>
      <c r="J221" s="217">
        <v>45538.0</v>
      </c>
      <c r="K221" s="175" t="s">
        <v>2758</v>
      </c>
    </row>
    <row r="222">
      <c r="A222" s="183">
        <v>13641.0</v>
      </c>
      <c r="B222" s="169" t="s">
        <v>422</v>
      </c>
      <c r="C222" s="168">
        <v>2013.0</v>
      </c>
      <c r="D222" s="169" t="s">
        <v>105</v>
      </c>
      <c r="E222" s="169" t="s">
        <v>3190</v>
      </c>
      <c r="F222" s="170" t="s">
        <v>423</v>
      </c>
      <c r="G222" s="171">
        <v>45520.0</v>
      </c>
      <c r="H222" s="172">
        <f t="shared" si="1"/>
        <v>3</v>
      </c>
      <c r="I222" s="211" t="s">
        <v>3191</v>
      </c>
      <c r="J222" s="228">
        <v>45523.0</v>
      </c>
      <c r="K222" s="169" t="s">
        <v>2758</v>
      </c>
    </row>
    <row r="223">
      <c r="A223" s="181">
        <v>13647.0</v>
      </c>
      <c r="B223" s="175" t="s">
        <v>705</v>
      </c>
      <c r="C223" s="174">
        <v>2022.0</v>
      </c>
      <c r="D223" s="175" t="s">
        <v>52</v>
      </c>
      <c r="E223" s="175" t="s">
        <v>169</v>
      </c>
      <c r="F223" s="177" t="s">
        <v>706</v>
      </c>
      <c r="G223" s="178">
        <v>45523.0</v>
      </c>
      <c r="H223" s="179">
        <f t="shared" si="1"/>
        <v>0</v>
      </c>
      <c r="I223" s="182" t="s">
        <v>3094</v>
      </c>
      <c r="J223" s="178">
        <v>45523.0</v>
      </c>
      <c r="K223" s="175" t="s">
        <v>2758</v>
      </c>
    </row>
    <row r="224">
      <c r="A224" s="183">
        <v>13648.0</v>
      </c>
      <c r="B224" s="169" t="s">
        <v>3192</v>
      </c>
      <c r="C224" s="168">
        <v>2010.0</v>
      </c>
      <c r="D224" s="169" t="s">
        <v>367</v>
      </c>
      <c r="E224" s="169" t="s">
        <v>21</v>
      </c>
      <c r="F224" s="170" t="s">
        <v>3193</v>
      </c>
      <c r="G224" s="171">
        <v>45523.0</v>
      </c>
      <c r="H224" s="172">
        <f t="shared" si="1"/>
        <v>4</v>
      </c>
      <c r="I224" s="211" t="s">
        <v>3194</v>
      </c>
      <c r="J224" s="171">
        <v>45527.0</v>
      </c>
      <c r="K224" s="169" t="s">
        <v>31</v>
      </c>
    </row>
    <row r="225">
      <c r="A225" s="181">
        <v>13653.0</v>
      </c>
      <c r="B225" s="175" t="s">
        <v>417</v>
      </c>
      <c r="C225" s="174">
        <v>2022.0</v>
      </c>
      <c r="D225" s="175" t="s">
        <v>52</v>
      </c>
      <c r="E225" s="175" t="s">
        <v>418</v>
      </c>
      <c r="F225" s="177" t="s">
        <v>419</v>
      </c>
      <c r="G225" s="178">
        <v>45523.0</v>
      </c>
      <c r="H225" s="179">
        <f t="shared" si="1"/>
        <v>0</v>
      </c>
      <c r="I225" s="182" t="s">
        <v>3094</v>
      </c>
      <c r="J225" s="178">
        <v>45523.0</v>
      </c>
      <c r="K225" s="175" t="s">
        <v>2758</v>
      </c>
    </row>
    <row r="226">
      <c r="A226" s="203">
        <v>13654.0</v>
      </c>
      <c r="B226" s="205" t="s">
        <v>3195</v>
      </c>
      <c r="C226" s="218">
        <v>2014.0</v>
      </c>
      <c r="D226" s="205" t="s">
        <v>2875</v>
      </c>
      <c r="E226" s="205" t="s">
        <v>630</v>
      </c>
      <c r="F226" s="230" t="s">
        <v>3196</v>
      </c>
      <c r="G226" s="207">
        <v>45523.0</v>
      </c>
      <c r="H226" s="172">
        <f t="shared" si="1"/>
        <v>51</v>
      </c>
      <c r="I226" s="219" t="s">
        <v>3197</v>
      </c>
      <c r="J226" s="171">
        <v>45574.0</v>
      </c>
      <c r="K226" s="169" t="s">
        <v>31</v>
      </c>
    </row>
    <row r="227">
      <c r="A227" s="220">
        <v>13662.0</v>
      </c>
      <c r="B227" s="221" t="s">
        <v>3198</v>
      </c>
      <c r="C227" s="222">
        <v>2013.0</v>
      </c>
      <c r="D227" s="221" t="s">
        <v>105</v>
      </c>
      <c r="E227" s="221" t="s">
        <v>337</v>
      </c>
      <c r="F227" s="223" t="s">
        <v>3199</v>
      </c>
      <c r="G227" s="224">
        <v>45524.0</v>
      </c>
      <c r="H227" s="179">
        <f t="shared" si="1"/>
        <v>57</v>
      </c>
      <c r="I227" s="180" t="s">
        <v>3200</v>
      </c>
      <c r="J227" s="178">
        <v>45581.0</v>
      </c>
      <c r="K227" s="175" t="s">
        <v>31</v>
      </c>
    </row>
    <row r="228">
      <c r="A228" s="183">
        <v>13663.0</v>
      </c>
      <c r="B228" s="169" t="s">
        <v>804</v>
      </c>
      <c r="C228" s="168">
        <v>2022.0</v>
      </c>
      <c r="D228" s="169" t="s">
        <v>52</v>
      </c>
      <c r="E228" s="169" t="s">
        <v>160</v>
      </c>
      <c r="F228" s="170" t="s">
        <v>806</v>
      </c>
      <c r="G228" s="171">
        <v>45524.0</v>
      </c>
      <c r="H228" s="172">
        <f t="shared" si="1"/>
        <v>0</v>
      </c>
      <c r="I228" s="211" t="s">
        <v>3201</v>
      </c>
      <c r="J228" s="171">
        <v>45524.0</v>
      </c>
      <c r="K228" s="169" t="s">
        <v>2758</v>
      </c>
    </row>
    <row r="229">
      <c r="A229" s="181">
        <v>13666.0</v>
      </c>
      <c r="B229" s="175" t="s">
        <v>2071</v>
      </c>
      <c r="C229" s="174">
        <v>2022.0</v>
      </c>
      <c r="D229" s="175" t="s">
        <v>256</v>
      </c>
      <c r="E229" s="175" t="s">
        <v>47</v>
      </c>
      <c r="F229" s="177" t="s">
        <v>2073</v>
      </c>
      <c r="G229" s="178">
        <v>45524.0</v>
      </c>
      <c r="H229" s="179">
        <f t="shared" si="1"/>
        <v>2</v>
      </c>
      <c r="I229" s="182" t="s">
        <v>3202</v>
      </c>
      <c r="J229" s="217">
        <v>45526.0</v>
      </c>
      <c r="K229" s="175" t="s">
        <v>84</v>
      </c>
    </row>
    <row r="230">
      <c r="A230" s="183">
        <v>13669.0</v>
      </c>
      <c r="B230" s="169" t="s">
        <v>535</v>
      </c>
      <c r="C230" s="168">
        <v>2020.0</v>
      </c>
      <c r="D230" s="169" t="s">
        <v>105</v>
      </c>
      <c r="E230" s="169" t="s">
        <v>95</v>
      </c>
      <c r="F230" s="170" t="s">
        <v>537</v>
      </c>
      <c r="G230" s="171">
        <v>45524.0</v>
      </c>
      <c r="H230" s="172">
        <f t="shared" si="1"/>
        <v>0</v>
      </c>
      <c r="I230" s="231" t="s">
        <v>3203</v>
      </c>
      <c r="J230" s="171">
        <v>45524.0</v>
      </c>
      <c r="K230" s="169" t="s">
        <v>2758</v>
      </c>
    </row>
    <row r="231">
      <c r="A231" s="181">
        <v>13677.0</v>
      </c>
      <c r="B231" s="176" t="s">
        <v>883</v>
      </c>
      <c r="C231" s="174">
        <v>2014.0</v>
      </c>
      <c r="D231" s="176" t="s">
        <v>130</v>
      </c>
      <c r="E231" s="176" t="s">
        <v>2415</v>
      </c>
      <c r="F231" s="177" t="s">
        <v>3204</v>
      </c>
      <c r="G231" s="178">
        <v>45525.0</v>
      </c>
      <c r="H231" s="179">
        <f t="shared" si="1"/>
        <v>20</v>
      </c>
      <c r="I231" s="182" t="s">
        <v>3205</v>
      </c>
      <c r="J231" s="178">
        <v>45545.0</v>
      </c>
      <c r="K231" s="175" t="s">
        <v>31</v>
      </c>
    </row>
    <row r="232">
      <c r="A232" s="203">
        <v>13679.0</v>
      </c>
      <c r="B232" s="205" t="s">
        <v>3206</v>
      </c>
      <c r="C232" s="218">
        <v>2013.0</v>
      </c>
      <c r="D232" s="205" t="s">
        <v>105</v>
      </c>
      <c r="E232" s="205" t="s">
        <v>106</v>
      </c>
      <c r="F232" s="206" t="s">
        <v>107</v>
      </c>
      <c r="G232" s="207">
        <v>45525.0</v>
      </c>
      <c r="H232" s="172">
        <f t="shared" si="1"/>
        <v>55</v>
      </c>
      <c r="I232" s="173" t="s">
        <v>30</v>
      </c>
      <c r="J232" s="171">
        <v>45580.0</v>
      </c>
      <c r="K232" s="169" t="s">
        <v>31</v>
      </c>
    </row>
    <row r="233">
      <c r="A233" s="220">
        <v>13680.0</v>
      </c>
      <c r="B233" s="221" t="s">
        <v>3207</v>
      </c>
      <c r="C233" s="222">
        <v>2018.0</v>
      </c>
      <c r="D233" s="221" t="s">
        <v>14</v>
      </c>
      <c r="E233" s="221" t="s">
        <v>240</v>
      </c>
      <c r="F233" s="223" t="s">
        <v>3208</v>
      </c>
      <c r="G233" s="224">
        <v>45525.0</v>
      </c>
      <c r="H233" s="179">
        <f t="shared" si="1"/>
        <v>47</v>
      </c>
      <c r="I233" s="232" t="s">
        <v>3209</v>
      </c>
      <c r="J233" s="178">
        <v>45572.0</v>
      </c>
      <c r="K233" s="175" t="s">
        <v>31</v>
      </c>
    </row>
    <row r="234">
      <c r="A234" s="203">
        <v>13686.0</v>
      </c>
      <c r="B234" s="205" t="s">
        <v>3210</v>
      </c>
      <c r="C234" s="218">
        <v>2006.0</v>
      </c>
      <c r="D234" s="205" t="s">
        <v>3211</v>
      </c>
      <c r="E234" s="205" t="s">
        <v>725</v>
      </c>
      <c r="F234" s="206" t="s">
        <v>3212</v>
      </c>
      <c r="G234" s="207">
        <v>45526.0</v>
      </c>
      <c r="H234" s="172">
        <f t="shared" si="1"/>
        <v>22</v>
      </c>
      <c r="I234" s="219" t="s">
        <v>3213</v>
      </c>
      <c r="J234" s="228">
        <v>45548.0</v>
      </c>
      <c r="K234" s="169" t="s">
        <v>31</v>
      </c>
    </row>
    <row r="235">
      <c r="A235" s="181">
        <v>13687.0</v>
      </c>
      <c r="B235" s="175" t="s">
        <v>1274</v>
      </c>
      <c r="C235" s="174">
        <v>2015.0</v>
      </c>
      <c r="D235" s="175" t="s">
        <v>52</v>
      </c>
      <c r="E235" s="175" t="s">
        <v>368</v>
      </c>
      <c r="F235" s="177" t="s">
        <v>1275</v>
      </c>
      <c r="G235" s="178">
        <v>45526.0</v>
      </c>
      <c r="H235" s="179">
        <f t="shared" si="1"/>
        <v>0</v>
      </c>
      <c r="I235" s="182" t="s">
        <v>3214</v>
      </c>
      <c r="J235" s="178">
        <v>45526.0</v>
      </c>
      <c r="K235" s="175" t="s">
        <v>2758</v>
      </c>
    </row>
    <row r="236">
      <c r="A236" s="183">
        <v>13707.0</v>
      </c>
      <c r="B236" s="169" t="s">
        <v>1904</v>
      </c>
      <c r="C236" s="168">
        <v>2022.0</v>
      </c>
      <c r="D236" s="169" t="s">
        <v>52</v>
      </c>
      <c r="E236" s="169" t="s">
        <v>337</v>
      </c>
      <c r="F236" s="170" t="s">
        <v>1905</v>
      </c>
      <c r="G236" s="171">
        <v>45527.0</v>
      </c>
      <c r="H236" s="172">
        <f t="shared" si="1"/>
        <v>0</v>
      </c>
      <c r="I236" s="211" t="s">
        <v>3215</v>
      </c>
      <c r="J236" s="171">
        <v>45527.0</v>
      </c>
      <c r="K236" s="169" t="s">
        <v>2758</v>
      </c>
    </row>
    <row r="237">
      <c r="A237" s="181">
        <v>13712.0</v>
      </c>
      <c r="B237" s="176" t="s">
        <v>1079</v>
      </c>
      <c r="C237" s="174">
        <v>2012.0</v>
      </c>
      <c r="D237" s="176" t="s">
        <v>324</v>
      </c>
      <c r="E237" s="176" t="s">
        <v>277</v>
      </c>
      <c r="F237" s="177" t="s">
        <v>1081</v>
      </c>
      <c r="G237" s="178">
        <v>45527.0</v>
      </c>
      <c r="H237" s="179">
        <f t="shared" si="1"/>
        <v>20</v>
      </c>
      <c r="I237" s="182" t="s">
        <v>3216</v>
      </c>
      <c r="J237" s="217">
        <v>45547.0</v>
      </c>
      <c r="K237" s="175" t="s">
        <v>31</v>
      </c>
    </row>
    <row r="238">
      <c r="A238" s="203">
        <v>13713.0</v>
      </c>
      <c r="B238" s="205" t="s">
        <v>3217</v>
      </c>
      <c r="C238" s="218">
        <v>2011.0</v>
      </c>
      <c r="D238" s="205" t="s">
        <v>367</v>
      </c>
      <c r="E238" s="205" t="s">
        <v>582</v>
      </c>
      <c r="F238" s="206" t="s">
        <v>3218</v>
      </c>
      <c r="G238" s="207">
        <v>45527.0</v>
      </c>
      <c r="H238" s="172">
        <f t="shared" si="1"/>
        <v>48</v>
      </c>
      <c r="I238" s="208" t="s">
        <v>30</v>
      </c>
      <c r="J238" s="171">
        <v>45575.0</v>
      </c>
      <c r="K238" s="169" t="s">
        <v>31</v>
      </c>
    </row>
    <row r="239">
      <c r="A239" s="220">
        <v>13717.0</v>
      </c>
      <c r="B239" s="221" t="s">
        <v>2988</v>
      </c>
      <c r="C239" s="222">
        <v>2020.0</v>
      </c>
      <c r="D239" s="221" t="s">
        <v>14</v>
      </c>
      <c r="E239" s="221" t="s">
        <v>2788</v>
      </c>
      <c r="F239" s="223" t="s">
        <v>2989</v>
      </c>
      <c r="G239" s="224">
        <v>45530.0</v>
      </c>
      <c r="H239" s="179">
        <f t="shared" si="1"/>
        <v>58</v>
      </c>
      <c r="I239" s="180" t="s">
        <v>3219</v>
      </c>
      <c r="J239" s="178">
        <v>45588.0</v>
      </c>
      <c r="K239" s="175" t="s">
        <v>2758</v>
      </c>
    </row>
    <row r="240" ht="15.0" customHeight="1">
      <c r="A240" s="183">
        <v>13718.0</v>
      </c>
      <c r="B240" s="169" t="s">
        <v>3220</v>
      </c>
      <c r="C240" s="168">
        <v>2019.0</v>
      </c>
      <c r="D240" s="142" t="s">
        <v>14</v>
      </c>
      <c r="E240" s="142" t="s">
        <v>2788</v>
      </c>
      <c r="F240" s="170">
        <v>21.0</v>
      </c>
      <c r="G240" s="171">
        <v>45533.0</v>
      </c>
      <c r="H240" s="172">
        <f t="shared" si="1"/>
        <v>0</v>
      </c>
      <c r="I240" s="173" t="s">
        <v>133</v>
      </c>
      <c r="J240" s="171">
        <v>45533.0</v>
      </c>
      <c r="K240" s="169" t="s">
        <v>2758</v>
      </c>
    </row>
    <row r="241">
      <c r="A241" s="181">
        <v>13719.0</v>
      </c>
      <c r="B241" s="176" t="s">
        <v>3221</v>
      </c>
      <c r="C241" s="174">
        <v>2013.0</v>
      </c>
      <c r="D241" s="176" t="s">
        <v>105</v>
      </c>
      <c r="E241" s="176" t="s">
        <v>452</v>
      </c>
      <c r="F241" s="177" t="s">
        <v>2285</v>
      </c>
      <c r="G241" s="178">
        <v>45530.0</v>
      </c>
      <c r="H241" s="179">
        <f t="shared" si="1"/>
        <v>1</v>
      </c>
      <c r="I241" s="182" t="s">
        <v>2867</v>
      </c>
      <c r="J241" s="178">
        <v>45531.0</v>
      </c>
      <c r="K241" s="175" t="s">
        <v>31</v>
      </c>
    </row>
    <row r="242">
      <c r="A242" s="183">
        <v>13722.0</v>
      </c>
      <c r="B242" s="142" t="s">
        <v>3222</v>
      </c>
      <c r="C242" s="168">
        <v>2020.0</v>
      </c>
      <c r="D242" s="142" t="s">
        <v>75</v>
      </c>
      <c r="E242" s="142" t="s">
        <v>1639</v>
      </c>
      <c r="F242" s="170" t="s">
        <v>3223</v>
      </c>
      <c r="G242" s="171">
        <v>45530.0</v>
      </c>
      <c r="H242" s="172">
        <f t="shared" si="1"/>
        <v>3</v>
      </c>
      <c r="I242" s="211" t="s">
        <v>3224</v>
      </c>
      <c r="J242" s="171">
        <v>45533.0</v>
      </c>
      <c r="K242" s="169" t="s">
        <v>2758</v>
      </c>
    </row>
    <row r="243">
      <c r="A243" s="181">
        <v>13723.0</v>
      </c>
      <c r="B243" s="176" t="s">
        <v>1638</v>
      </c>
      <c r="C243" s="174">
        <v>2020.0</v>
      </c>
      <c r="D243" s="176" t="s">
        <v>75</v>
      </c>
      <c r="E243" s="176" t="s">
        <v>1639</v>
      </c>
      <c r="F243" s="177" t="s">
        <v>1640</v>
      </c>
      <c r="G243" s="178">
        <v>45530.0</v>
      </c>
      <c r="H243" s="179">
        <f t="shared" si="1"/>
        <v>16</v>
      </c>
      <c r="I243" s="182" t="s">
        <v>3225</v>
      </c>
      <c r="J243" s="178">
        <v>45546.0</v>
      </c>
      <c r="K243" s="175" t="s">
        <v>2758</v>
      </c>
    </row>
    <row r="244">
      <c r="A244" s="183">
        <v>13726.0</v>
      </c>
      <c r="B244" s="169" t="s">
        <v>111</v>
      </c>
      <c r="C244" s="168">
        <v>2022.0</v>
      </c>
      <c r="D244" s="169" t="s">
        <v>52</v>
      </c>
      <c r="E244" s="169" t="s">
        <v>28</v>
      </c>
      <c r="F244" s="170" t="s">
        <v>112</v>
      </c>
      <c r="G244" s="171">
        <v>45530.0</v>
      </c>
      <c r="H244" s="172">
        <f t="shared" si="1"/>
        <v>0</v>
      </c>
      <c r="I244" s="211" t="s">
        <v>3226</v>
      </c>
      <c r="J244" s="171">
        <v>45530.0</v>
      </c>
      <c r="K244" s="169" t="s">
        <v>2758</v>
      </c>
    </row>
    <row r="245">
      <c r="A245" s="181">
        <v>13727.0</v>
      </c>
      <c r="B245" s="175" t="s">
        <v>494</v>
      </c>
      <c r="C245" s="174">
        <v>2022.0</v>
      </c>
      <c r="D245" s="175" t="s">
        <v>52</v>
      </c>
      <c r="E245" s="175" t="s">
        <v>28</v>
      </c>
      <c r="F245" s="177" t="s">
        <v>3227</v>
      </c>
      <c r="G245" s="178">
        <v>45530.0</v>
      </c>
      <c r="H245" s="179">
        <f t="shared" si="1"/>
        <v>0</v>
      </c>
      <c r="I245" s="182" t="s">
        <v>3228</v>
      </c>
      <c r="J245" s="178">
        <v>45530.0</v>
      </c>
      <c r="K245" s="175" t="s">
        <v>2758</v>
      </c>
    </row>
    <row r="246">
      <c r="A246" s="183">
        <v>13733.0</v>
      </c>
      <c r="B246" s="169" t="s">
        <v>3229</v>
      </c>
      <c r="C246" s="168">
        <v>2021.0</v>
      </c>
      <c r="D246" s="169" t="s">
        <v>52</v>
      </c>
      <c r="E246" s="169" t="s">
        <v>1507</v>
      </c>
      <c r="F246" s="170" t="s">
        <v>3230</v>
      </c>
      <c r="G246" s="171">
        <v>45530.0</v>
      </c>
      <c r="H246" s="172">
        <f t="shared" si="1"/>
        <v>0</v>
      </c>
      <c r="I246" s="211" t="s">
        <v>3231</v>
      </c>
      <c r="J246" s="171">
        <v>45530.0</v>
      </c>
      <c r="K246" s="169" t="s">
        <v>2758</v>
      </c>
    </row>
    <row r="247">
      <c r="A247" s="181">
        <v>13734.0</v>
      </c>
      <c r="B247" s="176" t="s">
        <v>494</v>
      </c>
      <c r="C247" s="174">
        <v>2022.0</v>
      </c>
      <c r="D247" s="176" t="s">
        <v>52</v>
      </c>
      <c r="E247" s="176" t="s">
        <v>28</v>
      </c>
      <c r="F247" s="177" t="s">
        <v>3227</v>
      </c>
      <c r="G247" s="178">
        <v>45530.0</v>
      </c>
      <c r="H247" s="179">
        <f t="shared" si="1"/>
        <v>1</v>
      </c>
      <c r="I247" s="182" t="s">
        <v>668</v>
      </c>
      <c r="J247" s="178">
        <v>45531.0</v>
      </c>
      <c r="K247" s="175" t="s">
        <v>2758</v>
      </c>
    </row>
    <row r="248">
      <c r="A248" s="183">
        <v>13742.0</v>
      </c>
      <c r="B248" s="169" t="s">
        <v>3232</v>
      </c>
      <c r="C248" s="168">
        <v>2018.0</v>
      </c>
      <c r="D248" s="169" t="s">
        <v>14</v>
      </c>
      <c r="E248" s="169" t="s">
        <v>3233</v>
      </c>
      <c r="F248" s="170" t="s">
        <v>3234</v>
      </c>
      <c r="G248" s="171">
        <v>45531.0</v>
      </c>
      <c r="H248" s="172">
        <f t="shared" si="1"/>
        <v>0</v>
      </c>
      <c r="I248" s="211" t="s">
        <v>3235</v>
      </c>
      <c r="J248" s="171">
        <v>45531.0</v>
      </c>
      <c r="K248" s="169" t="s">
        <v>2758</v>
      </c>
    </row>
    <row r="249">
      <c r="A249" s="181">
        <v>13746.0</v>
      </c>
      <c r="B249" s="176" t="s">
        <v>3236</v>
      </c>
      <c r="C249" s="174">
        <v>2020.0</v>
      </c>
      <c r="D249" s="176" t="s">
        <v>14</v>
      </c>
      <c r="E249" s="176" t="s">
        <v>855</v>
      </c>
      <c r="F249" s="177" t="s">
        <v>3237</v>
      </c>
      <c r="G249" s="178">
        <v>45531.0</v>
      </c>
      <c r="H249" s="179">
        <f t="shared" si="1"/>
        <v>2</v>
      </c>
      <c r="I249" s="182" t="s">
        <v>1016</v>
      </c>
      <c r="J249" s="178">
        <v>45533.0</v>
      </c>
      <c r="K249" s="175" t="s">
        <v>31</v>
      </c>
    </row>
    <row r="250">
      <c r="A250" s="183">
        <v>13746.0</v>
      </c>
      <c r="B250" s="169" t="s">
        <v>3236</v>
      </c>
      <c r="C250" s="168">
        <v>2020.0</v>
      </c>
      <c r="D250" s="142" t="s">
        <v>14</v>
      </c>
      <c r="E250" s="142" t="s">
        <v>855</v>
      </c>
      <c r="F250" s="170" t="s">
        <v>3237</v>
      </c>
      <c r="G250" s="171">
        <v>45609.0</v>
      </c>
      <c r="H250" s="172">
        <f t="shared" si="1"/>
        <v>1</v>
      </c>
      <c r="I250" s="173" t="s">
        <v>3238</v>
      </c>
      <c r="J250" s="171">
        <v>45610.0</v>
      </c>
      <c r="K250" s="169" t="s">
        <v>2758</v>
      </c>
    </row>
    <row r="251">
      <c r="A251" s="181">
        <v>13750.0</v>
      </c>
      <c r="B251" s="176" t="s">
        <v>1858</v>
      </c>
      <c r="C251" s="174">
        <v>2020.0</v>
      </c>
      <c r="D251" s="176" t="s">
        <v>105</v>
      </c>
      <c r="E251" s="233" t="s">
        <v>792</v>
      </c>
      <c r="F251" s="234">
        <v>45427.0</v>
      </c>
      <c r="G251" s="178">
        <v>45531.0</v>
      </c>
      <c r="H251" s="179">
        <f t="shared" si="1"/>
        <v>10</v>
      </c>
      <c r="I251" s="182" t="s">
        <v>3239</v>
      </c>
      <c r="J251" s="178">
        <v>45541.0</v>
      </c>
      <c r="K251" s="175" t="s">
        <v>31</v>
      </c>
    </row>
    <row r="252">
      <c r="A252" s="183">
        <v>13757.0</v>
      </c>
      <c r="B252" s="169" t="s">
        <v>2749</v>
      </c>
      <c r="C252" s="168">
        <v>2010.0</v>
      </c>
      <c r="D252" s="142" t="s">
        <v>367</v>
      </c>
      <c r="E252" s="142" t="s">
        <v>47</v>
      </c>
      <c r="F252" s="170" t="s">
        <v>2751</v>
      </c>
      <c r="G252" s="171">
        <v>45532.0</v>
      </c>
      <c r="H252" s="172">
        <f t="shared" si="1"/>
        <v>0</v>
      </c>
      <c r="I252" s="173" t="s">
        <v>3240</v>
      </c>
      <c r="J252" s="171">
        <v>45532.0</v>
      </c>
      <c r="K252" s="169" t="s">
        <v>2758</v>
      </c>
    </row>
    <row r="253">
      <c r="A253" s="181">
        <v>13767.0</v>
      </c>
      <c r="B253" s="175" t="s">
        <v>46</v>
      </c>
      <c r="C253" s="174">
        <v>2022.0</v>
      </c>
      <c r="D253" s="176" t="s">
        <v>148</v>
      </c>
      <c r="E253" s="176" t="s">
        <v>21</v>
      </c>
      <c r="F253" s="177" t="s">
        <v>22</v>
      </c>
      <c r="G253" s="178">
        <v>45533.0</v>
      </c>
      <c r="H253" s="179">
        <f t="shared" si="1"/>
        <v>0</v>
      </c>
      <c r="I253" s="180" t="s">
        <v>3241</v>
      </c>
      <c r="J253" s="178">
        <v>45533.0</v>
      </c>
      <c r="K253" s="175" t="s">
        <v>2758</v>
      </c>
    </row>
    <row r="254">
      <c r="A254" s="183">
        <v>13770.0</v>
      </c>
      <c r="B254" s="169" t="s">
        <v>3242</v>
      </c>
      <c r="C254" s="168">
        <v>2022.0</v>
      </c>
      <c r="D254" s="142" t="s">
        <v>590</v>
      </c>
      <c r="E254" s="142" t="s">
        <v>82</v>
      </c>
      <c r="F254" s="235" t="s">
        <v>3243</v>
      </c>
      <c r="G254" s="171">
        <v>45533.0</v>
      </c>
      <c r="H254" s="172">
        <f t="shared" si="1"/>
        <v>0</v>
      </c>
      <c r="I254" s="173" t="s">
        <v>3051</v>
      </c>
      <c r="J254" s="171">
        <v>45533.0</v>
      </c>
      <c r="K254" s="169" t="s">
        <v>2758</v>
      </c>
    </row>
    <row r="255">
      <c r="A255" s="174">
        <v>13771.0</v>
      </c>
      <c r="B255" s="175" t="s">
        <v>2784</v>
      </c>
      <c r="C255" s="174">
        <v>2019.0</v>
      </c>
      <c r="D255" s="176" t="s">
        <v>52</v>
      </c>
      <c r="E255" s="176" t="s">
        <v>912</v>
      </c>
      <c r="F255" s="177" t="s">
        <v>2785</v>
      </c>
      <c r="G255" s="178">
        <v>45533.0</v>
      </c>
      <c r="H255" s="179">
        <f t="shared" si="1"/>
        <v>0</v>
      </c>
      <c r="I255" s="180" t="s">
        <v>3244</v>
      </c>
      <c r="J255" s="178">
        <v>45533.0</v>
      </c>
      <c r="K255" s="175" t="s">
        <v>2758</v>
      </c>
    </row>
    <row r="256">
      <c r="A256" s="203">
        <v>13778.0</v>
      </c>
      <c r="B256" s="205" t="s">
        <v>1724</v>
      </c>
      <c r="C256" s="218">
        <v>2014.0</v>
      </c>
      <c r="D256" s="205" t="s">
        <v>3245</v>
      </c>
      <c r="E256" s="205" t="s">
        <v>47</v>
      </c>
      <c r="F256" s="206" t="s">
        <v>1726</v>
      </c>
      <c r="G256" s="207">
        <v>45533.0</v>
      </c>
      <c r="H256" s="172">
        <f t="shared" si="1"/>
        <v>47</v>
      </c>
      <c r="I256" s="173" t="s">
        <v>3246</v>
      </c>
      <c r="J256" s="171">
        <v>45580.0</v>
      </c>
      <c r="K256" s="169" t="s">
        <v>31</v>
      </c>
    </row>
    <row r="257">
      <c r="A257" s="181">
        <v>13778.0</v>
      </c>
      <c r="B257" s="175" t="s">
        <v>1724</v>
      </c>
      <c r="C257" s="174">
        <v>2013.0</v>
      </c>
      <c r="D257" s="176" t="s">
        <v>188</v>
      </c>
      <c r="E257" s="176" t="s">
        <v>47</v>
      </c>
      <c r="F257" s="177" t="s">
        <v>1726</v>
      </c>
      <c r="G257" s="178">
        <v>45727.0</v>
      </c>
      <c r="H257" s="179">
        <f t="shared" si="1"/>
        <v>0</v>
      </c>
      <c r="I257" s="180" t="s">
        <v>2265</v>
      </c>
      <c r="J257" s="178">
        <v>45727.0</v>
      </c>
      <c r="K257" s="175" t="s">
        <v>2758</v>
      </c>
    </row>
    <row r="258">
      <c r="A258" s="183">
        <v>13787.0</v>
      </c>
      <c r="B258" s="169" t="s">
        <v>494</v>
      </c>
      <c r="C258" s="168">
        <v>2022.0</v>
      </c>
      <c r="D258" s="142" t="s">
        <v>52</v>
      </c>
      <c r="E258" s="142" t="s">
        <v>41</v>
      </c>
      <c r="F258" s="170" t="s">
        <v>3227</v>
      </c>
      <c r="G258" s="171">
        <v>45534.0</v>
      </c>
      <c r="H258" s="172">
        <f t="shared" si="1"/>
        <v>0</v>
      </c>
      <c r="I258" s="173" t="s">
        <v>3247</v>
      </c>
      <c r="J258" s="171">
        <v>45534.0</v>
      </c>
      <c r="K258" s="169" t="s">
        <v>2758</v>
      </c>
    </row>
    <row r="259">
      <c r="A259" s="181">
        <v>13795.0</v>
      </c>
      <c r="B259" s="175" t="s">
        <v>628</v>
      </c>
      <c r="C259" s="174">
        <v>2022.0</v>
      </c>
      <c r="D259" s="176" t="s">
        <v>52</v>
      </c>
      <c r="E259" s="176" t="s">
        <v>3248</v>
      </c>
      <c r="F259" s="177" t="s">
        <v>631</v>
      </c>
      <c r="G259" s="178">
        <v>45537.0</v>
      </c>
      <c r="H259" s="179">
        <f t="shared" si="1"/>
        <v>0</v>
      </c>
      <c r="I259" s="180" t="s">
        <v>3249</v>
      </c>
      <c r="J259" s="178">
        <v>45537.0</v>
      </c>
      <c r="K259" s="175" t="s">
        <v>2758</v>
      </c>
    </row>
    <row r="260">
      <c r="A260" s="183">
        <v>13804.0</v>
      </c>
      <c r="B260" s="169" t="s">
        <v>664</v>
      </c>
      <c r="C260" s="168">
        <v>2014.0</v>
      </c>
      <c r="D260" s="142" t="s">
        <v>105</v>
      </c>
      <c r="E260" s="142" t="s">
        <v>1639</v>
      </c>
      <c r="F260" s="170" t="s">
        <v>665</v>
      </c>
      <c r="G260" s="171">
        <v>45537.0</v>
      </c>
      <c r="H260" s="172">
        <f t="shared" si="1"/>
        <v>1</v>
      </c>
      <c r="I260" s="173" t="s">
        <v>284</v>
      </c>
      <c r="J260" s="171">
        <v>45538.0</v>
      </c>
      <c r="K260" s="169" t="s">
        <v>2758</v>
      </c>
    </row>
    <row r="261">
      <c r="A261" s="181">
        <v>13811.0</v>
      </c>
      <c r="B261" s="175" t="s">
        <v>1417</v>
      </c>
      <c r="C261" s="174">
        <v>2014.0</v>
      </c>
      <c r="D261" s="176" t="s">
        <v>130</v>
      </c>
      <c r="E261" s="176" t="s">
        <v>3250</v>
      </c>
      <c r="F261" s="177" t="s">
        <v>1419</v>
      </c>
      <c r="G261" s="178">
        <v>45538.0</v>
      </c>
      <c r="H261" s="179">
        <f t="shared" si="1"/>
        <v>27</v>
      </c>
      <c r="I261" s="180" t="s">
        <v>3251</v>
      </c>
      <c r="J261" s="178">
        <v>45565.0</v>
      </c>
      <c r="K261" s="175" t="s">
        <v>2758</v>
      </c>
    </row>
    <row r="262">
      <c r="A262" s="183">
        <v>13828.0</v>
      </c>
      <c r="B262" s="142" t="s">
        <v>135</v>
      </c>
      <c r="C262" s="168">
        <v>2014.0</v>
      </c>
      <c r="D262" s="142" t="s">
        <v>136</v>
      </c>
      <c r="E262" s="142" t="s">
        <v>137</v>
      </c>
      <c r="F262" s="170" t="s">
        <v>138</v>
      </c>
      <c r="G262" s="171">
        <v>45539.0</v>
      </c>
      <c r="H262" s="172">
        <f t="shared" si="1"/>
        <v>6</v>
      </c>
      <c r="I262" s="211" t="s">
        <v>3252</v>
      </c>
      <c r="J262" s="171">
        <v>45545.0</v>
      </c>
      <c r="K262" s="169" t="s">
        <v>31</v>
      </c>
    </row>
    <row r="263" ht="15.0" customHeight="1">
      <c r="A263" s="181">
        <v>13843.0</v>
      </c>
      <c r="B263" s="176" t="s">
        <v>3253</v>
      </c>
      <c r="C263" s="174">
        <v>2009.0</v>
      </c>
      <c r="D263" s="176" t="s">
        <v>2629</v>
      </c>
      <c r="E263" s="176" t="s">
        <v>866</v>
      </c>
      <c r="F263" s="177" t="s">
        <v>3254</v>
      </c>
      <c r="G263" s="178">
        <v>45540.0</v>
      </c>
      <c r="H263" s="179">
        <f t="shared" si="1"/>
        <v>5</v>
      </c>
      <c r="I263" s="182" t="s">
        <v>3255</v>
      </c>
      <c r="J263" s="178">
        <v>45545.0</v>
      </c>
      <c r="K263" s="175" t="s">
        <v>2758</v>
      </c>
    </row>
    <row r="264">
      <c r="A264" s="183">
        <v>13857.0</v>
      </c>
      <c r="B264" s="169" t="s">
        <v>3256</v>
      </c>
      <c r="C264" s="168">
        <v>2014.0</v>
      </c>
      <c r="D264" s="142" t="s">
        <v>188</v>
      </c>
      <c r="E264" s="142" t="s">
        <v>418</v>
      </c>
      <c r="F264" s="170" t="s">
        <v>3257</v>
      </c>
      <c r="G264" s="171">
        <v>45541.0</v>
      </c>
      <c r="H264" s="172">
        <f t="shared" si="1"/>
        <v>0</v>
      </c>
      <c r="I264" s="173" t="s">
        <v>133</v>
      </c>
      <c r="J264" s="171">
        <v>45541.0</v>
      </c>
      <c r="K264" s="169" t="s">
        <v>2758</v>
      </c>
    </row>
    <row r="265">
      <c r="A265" s="220">
        <v>13858.0</v>
      </c>
      <c r="B265" s="221" t="s">
        <v>2711</v>
      </c>
      <c r="C265" s="222">
        <v>2009.0</v>
      </c>
      <c r="D265" s="221" t="s">
        <v>2629</v>
      </c>
      <c r="E265" s="221" t="s">
        <v>319</v>
      </c>
      <c r="F265" s="223" t="s">
        <v>2712</v>
      </c>
      <c r="G265" s="224">
        <v>45541.0</v>
      </c>
      <c r="H265" s="179">
        <f t="shared" si="1"/>
        <v>48</v>
      </c>
      <c r="I265" s="225" t="s">
        <v>3258</v>
      </c>
      <c r="J265" s="178">
        <v>45589.0</v>
      </c>
      <c r="K265" s="175" t="s">
        <v>37</v>
      </c>
    </row>
    <row r="266">
      <c r="A266" s="203">
        <v>13862.0</v>
      </c>
      <c r="B266" s="205" t="s">
        <v>2974</v>
      </c>
      <c r="C266" s="218">
        <v>2018.0</v>
      </c>
      <c r="D266" s="205" t="s">
        <v>52</v>
      </c>
      <c r="E266" s="205" t="s">
        <v>160</v>
      </c>
      <c r="F266" s="206" t="s">
        <v>2975</v>
      </c>
      <c r="G266" s="207">
        <v>45541.0</v>
      </c>
      <c r="H266" s="172">
        <f t="shared" si="1"/>
        <v>7</v>
      </c>
      <c r="I266" s="219" t="s">
        <v>3259</v>
      </c>
      <c r="J266" s="228">
        <v>45548.0</v>
      </c>
      <c r="K266" s="169" t="s">
        <v>31</v>
      </c>
    </row>
    <row r="267">
      <c r="A267" s="181">
        <v>13865.0</v>
      </c>
      <c r="B267" s="175" t="s">
        <v>341</v>
      </c>
      <c r="C267" s="174">
        <v>2022.0</v>
      </c>
      <c r="D267" s="176" t="s">
        <v>52</v>
      </c>
      <c r="E267" s="176" t="s">
        <v>82</v>
      </c>
      <c r="F267" s="177" t="s">
        <v>342</v>
      </c>
      <c r="G267" s="178">
        <v>45541.0</v>
      </c>
      <c r="H267" s="179">
        <f t="shared" si="1"/>
        <v>0</v>
      </c>
      <c r="I267" s="180" t="s">
        <v>3260</v>
      </c>
      <c r="J267" s="178">
        <v>45541.0</v>
      </c>
      <c r="K267" s="175" t="s">
        <v>2758</v>
      </c>
    </row>
    <row r="268">
      <c r="A268" s="183">
        <v>13880.0</v>
      </c>
      <c r="B268" s="169" t="s">
        <v>3129</v>
      </c>
      <c r="C268" s="168">
        <v>2015.0</v>
      </c>
      <c r="D268" s="142" t="s">
        <v>130</v>
      </c>
      <c r="E268" s="142" t="s">
        <v>240</v>
      </c>
      <c r="F268" s="170" t="s">
        <v>3131</v>
      </c>
      <c r="G268" s="171">
        <v>45544.0</v>
      </c>
      <c r="H268" s="172">
        <f t="shared" si="1"/>
        <v>3</v>
      </c>
      <c r="I268" s="173" t="s">
        <v>3261</v>
      </c>
      <c r="J268" s="228">
        <v>45547.0</v>
      </c>
      <c r="K268" s="169" t="s">
        <v>31</v>
      </c>
    </row>
    <row r="269">
      <c r="A269" s="220">
        <v>13882.0</v>
      </c>
      <c r="B269" s="221" t="s">
        <v>3262</v>
      </c>
      <c r="C269" s="222">
        <v>2015.0</v>
      </c>
      <c r="D269" s="221" t="s">
        <v>52</v>
      </c>
      <c r="E269" s="221" t="s">
        <v>106</v>
      </c>
      <c r="F269" s="223" t="s">
        <v>3263</v>
      </c>
      <c r="G269" s="224">
        <v>45544.0</v>
      </c>
      <c r="H269" s="179">
        <f t="shared" si="1"/>
        <v>42</v>
      </c>
      <c r="I269" s="180" t="s">
        <v>30</v>
      </c>
      <c r="J269" s="178">
        <v>45586.0</v>
      </c>
      <c r="K269" s="175" t="s">
        <v>31</v>
      </c>
    </row>
    <row r="270">
      <c r="A270" s="183">
        <v>13884.0</v>
      </c>
      <c r="B270" s="169" t="s">
        <v>3264</v>
      </c>
      <c r="C270" s="168">
        <v>2013.0</v>
      </c>
      <c r="D270" s="142" t="s">
        <v>105</v>
      </c>
      <c r="E270" s="142" t="s">
        <v>805</v>
      </c>
      <c r="F270" s="170" t="s">
        <v>3265</v>
      </c>
      <c r="G270" s="171">
        <v>45544.0</v>
      </c>
      <c r="H270" s="172">
        <f t="shared" si="1"/>
        <v>2</v>
      </c>
      <c r="I270" s="173" t="s">
        <v>3266</v>
      </c>
      <c r="J270" s="171">
        <v>45546.0</v>
      </c>
      <c r="K270" s="169" t="s">
        <v>2758</v>
      </c>
    </row>
    <row r="271">
      <c r="A271" s="174">
        <v>13885.0</v>
      </c>
      <c r="B271" s="175" t="s">
        <v>3267</v>
      </c>
      <c r="C271" s="174">
        <v>2021.0</v>
      </c>
      <c r="D271" s="176" t="s">
        <v>52</v>
      </c>
      <c r="E271" s="176" t="s">
        <v>3248</v>
      </c>
      <c r="F271" s="177" t="s">
        <v>3268</v>
      </c>
      <c r="G271" s="178">
        <v>45544.0</v>
      </c>
      <c r="H271" s="179">
        <f t="shared" si="1"/>
        <v>0</v>
      </c>
      <c r="I271" s="180" t="s">
        <v>3269</v>
      </c>
      <c r="J271" s="178">
        <v>45544.0</v>
      </c>
      <c r="K271" s="175" t="s">
        <v>2758</v>
      </c>
    </row>
    <row r="272">
      <c r="A272" s="183">
        <v>13890.0</v>
      </c>
      <c r="B272" s="169" t="s">
        <v>717</v>
      </c>
      <c r="C272" s="168">
        <v>2022.0</v>
      </c>
      <c r="D272" s="142" t="s">
        <v>136</v>
      </c>
      <c r="E272" s="142" t="s">
        <v>350</v>
      </c>
      <c r="F272" s="170" t="s">
        <v>719</v>
      </c>
      <c r="G272" s="171">
        <v>45545.0</v>
      </c>
      <c r="H272" s="172">
        <f t="shared" si="1"/>
        <v>0</v>
      </c>
      <c r="I272" s="173" t="s">
        <v>3270</v>
      </c>
      <c r="J272" s="171">
        <v>45545.0</v>
      </c>
      <c r="K272" s="169" t="s">
        <v>2758</v>
      </c>
    </row>
    <row r="273">
      <c r="A273" s="181">
        <v>13894.0</v>
      </c>
      <c r="B273" s="175" t="s">
        <v>2299</v>
      </c>
      <c r="C273" s="174">
        <v>2022.0</v>
      </c>
      <c r="D273" s="176" t="s">
        <v>52</v>
      </c>
      <c r="E273" s="176" t="s">
        <v>855</v>
      </c>
      <c r="F273" s="177" t="s">
        <v>2300</v>
      </c>
      <c r="G273" s="178">
        <v>45545.0</v>
      </c>
      <c r="H273" s="179">
        <f t="shared" si="1"/>
        <v>0</v>
      </c>
      <c r="I273" s="180" t="s">
        <v>133</v>
      </c>
      <c r="J273" s="178">
        <v>45545.0</v>
      </c>
      <c r="K273" s="175" t="s">
        <v>2758</v>
      </c>
    </row>
    <row r="274">
      <c r="A274" s="183">
        <v>13896.0</v>
      </c>
      <c r="B274" s="169" t="s">
        <v>1622</v>
      </c>
      <c r="C274" s="168">
        <v>2022.0</v>
      </c>
      <c r="D274" s="236" t="s">
        <v>52</v>
      </c>
      <c r="E274" s="142" t="s">
        <v>866</v>
      </c>
      <c r="F274" s="170" t="s">
        <v>1623</v>
      </c>
      <c r="G274" s="171">
        <v>45545.0</v>
      </c>
      <c r="H274" s="172">
        <f t="shared" si="1"/>
        <v>0</v>
      </c>
      <c r="I274" s="173" t="s">
        <v>3271</v>
      </c>
      <c r="J274" s="171">
        <v>45545.0</v>
      </c>
      <c r="K274" s="169" t="s">
        <v>2758</v>
      </c>
    </row>
    <row r="275">
      <c r="A275" s="220">
        <v>13903.0</v>
      </c>
      <c r="B275" s="221" t="s">
        <v>3272</v>
      </c>
      <c r="C275" s="222">
        <v>2018.0</v>
      </c>
      <c r="D275" s="221" t="s">
        <v>14</v>
      </c>
      <c r="E275" s="221" t="s">
        <v>169</v>
      </c>
      <c r="F275" s="223" t="s">
        <v>3273</v>
      </c>
      <c r="G275" s="224">
        <v>45546.0</v>
      </c>
      <c r="H275" s="179">
        <f t="shared" si="1"/>
        <v>47</v>
      </c>
      <c r="I275" s="225" t="s">
        <v>3252</v>
      </c>
      <c r="J275" s="178">
        <v>45593.0</v>
      </c>
      <c r="K275" s="175" t="s">
        <v>31</v>
      </c>
    </row>
    <row r="276">
      <c r="A276" s="183">
        <v>13910.0</v>
      </c>
      <c r="B276" s="169" t="s">
        <v>1116</v>
      </c>
      <c r="C276" s="168">
        <v>2020.0</v>
      </c>
      <c r="D276" s="142" t="s">
        <v>197</v>
      </c>
      <c r="E276" s="142" t="s">
        <v>47</v>
      </c>
      <c r="F276" s="170" t="s">
        <v>3057</v>
      </c>
      <c r="G276" s="171">
        <v>45546.0</v>
      </c>
      <c r="H276" s="172">
        <f t="shared" si="1"/>
        <v>1</v>
      </c>
      <c r="I276" s="173" t="s">
        <v>3274</v>
      </c>
      <c r="J276" s="171">
        <v>45547.0</v>
      </c>
      <c r="K276" s="169" t="s">
        <v>2758</v>
      </c>
    </row>
    <row r="277">
      <c r="A277" s="220">
        <v>13911.0</v>
      </c>
      <c r="B277" s="221" t="s">
        <v>3275</v>
      </c>
      <c r="C277" s="222">
        <v>2014.0</v>
      </c>
      <c r="D277" s="221" t="s">
        <v>105</v>
      </c>
      <c r="E277" s="221" t="s">
        <v>3276</v>
      </c>
      <c r="F277" s="223" t="s">
        <v>3277</v>
      </c>
      <c r="G277" s="224">
        <v>45546.0</v>
      </c>
      <c r="H277" s="179">
        <f t="shared" si="1"/>
        <v>35</v>
      </c>
      <c r="I277" s="180" t="s">
        <v>30</v>
      </c>
      <c r="J277" s="178">
        <v>45581.0</v>
      </c>
      <c r="K277" s="175" t="s">
        <v>31</v>
      </c>
    </row>
    <row r="278">
      <c r="A278" s="183">
        <v>13912.0</v>
      </c>
      <c r="B278" s="142" t="s">
        <v>3278</v>
      </c>
      <c r="C278" s="168">
        <v>2014.0</v>
      </c>
      <c r="D278" s="142" t="s">
        <v>105</v>
      </c>
      <c r="E278" s="142" t="s">
        <v>3279</v>
      </c>
      <c r="F278" s="170" t="s">
        <v>3280</v>
      </c>
      <c r="G278" s="171">
        <v>45546.0</v>
      </c>
      <c r="H278" s="172">
        <f t="shared" si="1"/>
        <v>0</v>
      </c>
      <c r="I278" s="211" t="s">
        <v>133</v>
      </c>
      <c r="J278" s="171">
        <v>45546.0</v>
      </c>
      <c r="K278" s="169" t="s">
        <v>2758</v>
      </c>
    </row>
    <row r="279">
      <c r="A279" s="181">
        <v>13917.0</v>
      </c>
      <c r="B279" s="175" t="s">
        <v>628</v>
      </c>
      <c r="C279" s="174">
        <v>2022.0</v>
      </c>
      <c r="D279" s="176" t="s">
        <v>52</v>
      </c>
      <c r="E279" s="176" t="s">
        <v>3281</v>
      </c>
      <c r="F279" s="177" t="s">
        <v>631</v>
      </c>
      <c r="G279" s="178">
        <v>45547.0</v>
      </c>
      <c r="H279" s="179">
        <f t="shared" si="1"/>
        <v>0</v>
      </c>
      <c r="I279" s="180" t="s">
        <v>3282</v>
      </c>
      <c r="J279" s="178">
        <v>45547.0</v>
      </c>
      <c r="K279" s="175" t="s">
        <v>2758</v>
      </c>
    </row>
    <row r="280">
      <c r="A280" s="183">
        <v>13920.0</v>
      </c>
      <c r="B280" s="169" t="s">
        <v>3283</v>
      </c>
      <c r="C280" s="168">
        <v>2022.0</v>
      </c>
      <c r="D280" s="142" t="s">
        <v>52</v>
      </c>
      <c r="E280" s="142" t="s">
        <v>240</v>
      </c>
      <c r="F280" s="170" t="s">
        <v>3284</v>
      </c>
      <c r="G280" s="171">
        <v>45547.0</v>
      </c>
      <c r="H280" s="172">
        <f t="shared" si="1"/>
        <v>0</v>
      </c>
      <c r="I280" s="173" t="s">
        <v>3285</v>
      </c>
      <c r="J280" s="228">
        <v>45547.0</v>
      </c>
      <c r="K280" s="169" t="s">
        <v>2758</v>
      </c>
    </row>
    <row r="281">
      <c r="A281" s="181">
        <v>13930.0</v>
      </c>
      <c r="B281" s="175" t="s">
        <v>3286</v>
      </c>
      <c r="C281" s="174">
        <v>2022.0</v>
      </c>
      <c r="D281" s="176" t="s">
        <v>52</v>
      </c>
      <c r="E281" s="176" t="s">
        <v>630</v>
      </c>
      <c r="F281" s="177" t="s">
        <v>3287</v>
      </c>
      <c r="G281" s="178">
        <v>45551.0</v>
      </c>
      <c r="H281" s="179">
        <f t="shared" si="1"/>
        <v>0</v>
      </c>
      <c r="I281" s="180" t="s">
        <v>2914</v>
      </c>
      <c r="J281" s="178">
        <v>45551.0</v>
      </c>
      <c r="K281" s="175" t="s">
        <v>31</v>
      </c>
    </row>
    <row r="282">
      <c r="A282" s="183">
        <v>13931.0</v>
      </c>
      <c r="B282" s="169" t="s">
        <v>3288</v>
      </c>
      <c r="C282" s="168">
        <v>2014.0</v>
      </c>
      <c r="D282" s="142" t="s">
        <v>130</v>
      </c>
      <c r="E282" s="142" t="s">
        <v>183</v>
      </c>
      <c r="F282" s="170" t="s">
        <v>1649</v>
      </c>
      <c r="G282" s="171">
        <v>45551.0</v>
      </c>
      <c r="H282" s="172">
        <f t="shared" si="1"/>
        <v>0</v>
      </c>
      <c r="I282" s="173" t="s">
        <v>3289</v>
      </c>
      <c r="J282" s="171">
        <v>45551.0</v>
      </c>
      <c r="K282" s="169" t="s">
        <v>31</v>
      </c>
    </row>
    <row r="283">
      <c r="A283" s="181">
        <v>13938.0</v>
      </c>
      <c r="B283" s="175" t="s">
        <v>2005</v>
      </c>
      <c r="C283" s="174">
        <v>2011.0</v>
      </c>
      <c r="D283" s="176" t="s">
        <v>367</v>
      </c>
      <c r="E283" s="176" t="s">
        <v>405</v>
      </c>
      <c r="F283" s="177" t="s">
        <v>2006</v>
      </c>
      <c r="G283" s="178">
        <v>45552.0</v>
      </c>
      <c r="H283" s="179">
        <f t="shared" si="1"/>
        <v>2</v>
      </c>
      <c r="I283" s="180" t="s">
        <v>3290</v>
      </c>
      <c r="J283" s="178">
        <v>45554.0</v>
      </c>
      <c r="K283" s="175" t="s">
        <v>2758</v>
      </c>
    </row>
    <row r="284">
      <c r="A284" s="237">
        <v>13943.0</v>
      </c>
      <c r="B284" s="238" t="s">
        <v>1594</v>
      </c>
      <c r="C284" s="239">
        <v>2022.0</v>
      </c>
      <c r="D284" s="238" t="s">
        <v>52</v>
      </c>
      <c r="E284" s="238" t="s">
        <v>1639</v>
      </c>
      <c r="F284" s="240" t="s">
        <v>65</v>
      </c>
      <c r="G284" s="226">
        <v>45552.0</v>
      </c>
      <c r="H284" s="172">
        <f t="shared" si="1"/>
        <v>0</v>
      </c>
      <c r="I284" s="208" t="s">
        <v>2914</v>
      </c>
      <c r="J284" s="171">
        <v>45552.0</v>
      </c>
      <c r="K284" s="169" t="s">
        <v>31</v>
      </c>
    </row>
    <row r="285">
      <c r="A285" s="181">
        <v>13943.0</v>
      </c>
      <c r="B285" s="175" t="s">
        <v>1594</v>
      </c>
      <c r="C285" s="174">
        <v>2022.0</v>
      </c>
      <c r="D285" s="176" t="s">
        <v>52</v>
      </c>
      <c r="E285" s="176" t="s">
        <v>1639</v>
      </c>
      <c r="F285" s="177" t="s">
        <v>65</v>
      </c>
      <c r="G285" s="178">
        <v>45576.0</v>
      </c>
      <c r="H285" s="179">
        <f t="shared" si="1"/>
        <v>0</v>
      </c>
      <c r="I285" s="180" t="s">
        <v>3291</v>
      </c>
      <c r="J285" s="178">
        <v>45576.0</v>
      </c>
      <c r="K285" s="175" t="s">
        <v>2758</v>
      </c>
    </row>
    <row r="286">
      <c r="A286" s="237">
        <v>13948.0</v>
      </c>
      <c r="B286" s="238" t="s">
        <v>3292</v>
      </c>
      <c r="C286" s="239">
        <v>2009.0</v>
      </c>
      <c r="D286" s="238" t="s">
        <v>3293</v>
      </c>
      <c r="E286" s="238" t="s">
        <v>3294</v>
      </c>
      <c r="F286" s="240" t="s">
        <v>3295</v>
      </c>
      <c r="G286" s="226">
        <v>45552.0</v>
      </c>
      <c r="H286" s="172">
        <f t="shared" si="1"/>
        <v>29</v>
      </c>
      <c r="I286" s="173" t="s">
        <v>30</v>
      </c>
      <c r="J286" s="171">
        <v>45581.0</v>
      </c>
      <c r="K286" s="169" t="s">
        <v>2627</v>
      </c>
    </row>
    <row r="287">
      <c r="A287" s="181">
        <v>13956.0</v>
      </c>
      <c r="B287" s="175" t="s">
        <v>2356</v>
      </c>
      <c r="C287" s="174">
        <v>2022.0</v>
      </c>
      <c r="D287" s="176" t="s">
        <v>52</v>
      </c>
      <c r="E287" s="176" t="s">
        <v>1495</v>
      </c>
      <c r="F287" s="234">
        <v>45474.0</v>
      </c>
      <c r="G287" s="178">
        <v>45553.0</v>
      </c>
      <c r="H287" s="179">
        <f t="shared" si="1"/>
        <v>6</v>
      </c>
      <c r="I287" s="180" t="s">
        <v>3296</v>
      </c>
      <c r="J287" s="178">
        <v>45559.0</v>
      </c>
      <c r="K287" s="175" t="s">
        <v>2758</v>
      </c>
    </row>
    <row r="288">
      <c r="A288" s="237">
        <v>13967.0</v>
      </c>
      <c r="B288" s="169" t="s">
        <v>1907</v>
      </c>
      <c r="C288" s="168">
        <v>2014.0</v>
      </c>
      <c r="D288" s="142" t="s">
        <v>105</v>
      </c>
      <c r="E288" s="142" t="s">
        <v>169</v>
      </c>
      <c r="F288" s="241">
        <v>45354.0</v>
      </c>
      <c r="G288" s="171">
        <v>45554.0</v>
      </c>
      <c r="H288" s="172">
        <f t="shared" si="1"/>
        <v>0</v>
      </c>
      <c r="I288" s="173" t="s">
        <v>3297</v>
      </c>
      <c r="J288" s="171">
        <v>45554.0</v>
      </c>
      <c r="K288" s="169" t="s">
        <v>2758</v>
      </c>
      <c r="L288" s="242"/>
      <c r="M288" s="242"/>
      <c r="N288" s="242"/>
      <c r="O288" s="242"/>
      <c r="P288" s="242"/>
      <c r="Q288" s="242"/>
      <c r="R288" s="242"/>
      <c r="S288" s="242"/>
      <c r="T288" s="242"/>
      <c r="U288" s="242"/>
      <c r="V288" s="242"/>
      <c r="W288" s="242"/>
      <c r="X288" s="242"/>
      <c r="Y288" s="242"/>
      <c r="Z288" s="242"/>
      <c r="AA288" s="242"/>
      <c r="AB288" s="242"/>
      <c r="AC288" s="242"/>
    </row>
    <row r="289">
      <c r="A289" s="181">
        <v>13970.0</v>
      </c>
      <c r="B289" s="175" t="s">
        <v>1126</v>
      </c>
      <c r="C289" s="174">
        <v>2022.0</v>
      </c>
      <c r="D289" s="176" t="s">
        <v>52</v>
      </c>
      <c r="E289" s="176" t="s">
        <v>3298</v>
      </c>
      <c r="F289" s="177" t="s">
        <v>1127</v>
      </c>
      <c r="G289" s="178">
        <v>45555.0</v>
      </c>
      <c r="H289" s="179">
        <f t="shared" si="1"/>
        <v>0</v>
      </c>
      <c r="I289" s="180" t="s">
        <v>3299</v>
      </c>
      <c r="J289" s="178">
        <v>45555.0</v>
      </c>
      <c r="K289" s="175" t="s">
        <v>2758</v>
      </c>
      <c r="L289" s="242"/>
      <c r="M289" s="242"/>
      <c r="N289" s="242"/>
      <c r="O289" s="242"/>
      <c r="P289" s="242"/>
      <c r="Q289" s="242"/>
      <c r="R289" s="242"/>
      <c r="S289" s="242"/>
      <c r="T289" s="242"/>
      <c r="U289" s="242"/>
      <c r="V289" s="242"/>
      <c r="W289" s="242"/>
      <c r="X289" s="242"/>
      <c r="Y289" s="242"/>
      <c r="Z289" s="242"/>
      <c r="AA289" s="242"/>
      <c r="AB289" s="242"/>
      <c r="AC289" s="242"/>
    </row>
    <row r="290">
      <c r="A290" s="237">
        <v>13972.0</v>
      </c>
      <c r="B290" s="238" t="s">
        <v>3300</v>
      </c>
      <c r="C290" s="239">
        <v>2019.0</v>
      </c>
      <c r="D290" s="238" t="s">
        <v>14</v>
      </c>
      <c r="E290" s="238" t="s">
        <v>855</v>
      </c>
      <c r="F290" s="240" t="s">
        <v>3301</v>
      </c>
      <c r="G290" s="226">
        <v>45555.0</v>
      </c>
      <c r="H290" s="172">
        <f t="shared" si="1"/>
        <v>28</v>
      </c>
      <c r="I290" s="173" t="s">
        <v>30</v>
      </c>
      <c r="J290" s="171">
        <v>45583.0</v>
      </c>
      <c r="K290" s="169" t="s">
        <v>31</v>
      </c>
    </row>
    <row r="291">
      <c r="A291" s="181">
        <v>13976.0</v>
      </c>
      <c r="B291" s="175" t="s">
        <v>778</v>
      </c>
      <c r="C291" s="174">
        <v>2013.0</v>
      </c>
      <c r="D291" s="176" t="s">
        <v>105</v>
      </c>
      <c r="E291" s="176" t="s">
        <v>183</v>
      </c>
      <c r="F291" s="177">
        <v>1.0</v>
      </c>
      <c r="G291" s="178">
        <v>45558.0</v>
      </c>
      <c r="H291" s="179">
        <f t="shared" si="1"/>
        <v>0</v>
      </c>
      <c r="I291" s="180" t="s">
        <v>3302</v>
      </c>
      <c r="J291" s="178">
        <v>45558.0</v>
      </c>
      <c r="K291" s="175" t="s">
        <v>31</v>
      </c>
    </row>
    <row r="292">
      <c r="A292" s="183">
        <v>13976.0</v>
      </c>
      <c r="B292" s="169" t="s">
        <v>705</v>
      </c>
      <c r="C292" s="168">
        <v>2022.0</v>
      </c>
      <c r="D292" s="142" t="s">
        <v>52</v>
      </c>
      <c r="E292" s="142" t="s">
        <v>169</v>
      </c>
      <c r="F292" s="170" t="s">
        <v>706</v>
      </c>
      <c r="G292" s="171">
        <v>45558.0</v>
      </c>
      <c r="H292" s="172">
        <f t="shared" si="1"/>
        <v>2</v>
      </c>
      <c r="I292" s="173" t="s">
        <v>3303</v>
      </c>
      <c r="J292" s="171">
        <v>45560.0</v>
      </c>
      <c r="K292" s="169" t="s">
        <v>31</v>
      </c>
    </row>
    <row r="293">
      <c r="A293" s="181">
        <v>13977.0</v>
      </c>
      <c r="B293" s="175" t="s">
        <v>1755</v>
      </c>
      <c r="C293" s="174">
        <v>2022.0</v>
      </c>
      <c r="D293" s="176" t="s">
        <v>52</v>
      </c>
      <c r="E293" s="176" t="s">
        <v>319</v>
      </c>
      <c r="F293" s="177" t="s">
        <v>1756</v>
      </c>
      <c r="G293" s="178">
        <v>45558.0</v>
      </c>
      <c r="H293" s="179">
        <f t="shared" si="1"/>
        <v>1</v>
      </c>
      <c r="I293" s="180" t="s">
        <v>3304</v>
      </c>
      <c r="J293" s="178">
        <v>45559.0</v>
      </c>
      <c r="K293" s="175" t="s">
        <v>2758</v>
      </c>
    </row>
    <row r="294">
      <c r="A294" s="237">
        <v>13985.0</v>
      </c>
      <c r="B294" s="238" t="s">
        <v>187</v>
      </c>
      <c r="C294" s="239">
        <v>2014.0</v>
      </c>
      <c r="D294" s="238" t="s">
        <v>2857</v>
      </c>
      <c r="E294" s="238" t="s">
        <v>28</v>
      </c>
      <c r="F294" s="240" t="s">
        <v>2715</v>
      </c>
      <c r="G294" s="226">
        <v>45559.0</v>
      </c>
      <c r="H294" s="172">
        <f t="shared" si="1"/>
        <v>31</v>
      </c>
      <c r="I294" s="208" t="s">
        <v>3305</v>
      </c>
      <c r="J294" s="243">
        <v>45590.0</v>
      </c>
      <c r="K294" s="169" t="s">
        <v>31</v>
      </c>
    </row>
    <row r="295">
      <c r="A295" s="181">
        <v>13985.0</v>
      </c>
      <c r="B295" s="175" t="s">
        <v>3306</v>
      </c>
      <c r="C295" s="174">
        <v>2014.0</v>
      </c>
      <c r="D295" s="176" t="s">
        <v>3307</v>
      </c>
      <c r="E295" s="176" t="s">
        <v>28</v>
      </c>
      <c r="F295" s="177" t="s">
        <v>2715</v>
      </c>
      <c r="G295" s="178">
        <v>45791.0</v>
      </c>
      <c r="H295" s="179">
        <f t="shared" si="1"/>
        <v>0</v>
      </c>
      <c r="I295" s="180" t="s">
        <v>3308</v>
      </c>
      <c r="J295" s="178">
        <v>45791.0</v>
      </c>
      <c r="K295" s="175" t="s">
        <v>2758</v>
      </c>
    </row>
    <row r="296">
      <c r="A296" s="237">
        <v>13987.0</v>
      </c>
      <c r="B296" s="238" t="s">
        <v>3309</v>
      </c>
      <c r="C296" s="239">
        <v>2015.0</v>
      </c>
      <c r="D296" s="238" t="s">
        <v>14</v>
      </c>
      <c r="E296" s="227" t="s">
        <v>805</v>
      </c>
      <c r="F296" s="240" t="s">
        <v>3310</v>
      </c>
      <c r="G296" s="226">
        <v>45559.0</v>
      </c>
      <c r="H296" s="172">
        <f t="shared" si="1"/>
        <v>34</v>
      </c>
      <c r="I296" s="208" t="s">
        <v>3311</v>
      </c>
      <c r="J296" s="243">
        <v>45593.0</v>
      </c>
      <c r="K296" s="169" t="s">
        <v>31</v>
      </c>
    </row>
    <row r="297">
      <c r="A297" s="181">
        <v>13989.0</v>
      </c>
      <c r="B297" s="175" t="s">
        <v>3312</v>
      </c>
      <c r="C297" s="174">
        <v>2015.0</v>
      </c>
      <c r="D297" s="176" t="s">
        <v>14</v>
      </c>
      <c r="E297" s="176" t="s">
        <v>3313</v>
      </c>
      <c r="F297" s="177" t="s">
        <v>3314</v>
      </c>
      <c r="G297" s="178">
        <v>45559.0</v>
      </c>
      <c r="H297" s="179">
        <f t="shared" si="1"/>
        <v>0</v>
      </c>
      <c r="I297" s="180" t="s">
        <v>3315</v>
      </c>
      <c r="J297" s="178">
        <v>45559.0</v>
      </c>
      <c r="K297" s="175" t="s">
        <v>2758</v>
      </c>
    </row>
    <row r="298">
      <c r="A298" s="183">
        <v>13999.0</v>
      </c>
      <c r="B298" s="169" t="s">
        <v>2940</v>
      </c>
      <c r="C298" s="168">
        <v>2022.0</v>
      </c>
      <c r="D298" s="142" t="s">
        <v>52</v>
      </c>
      <c r="E298" s="142" t="s">
        <v>2941</v>
      </c>
      <c r="F298" s="170" t="s">
        <v>2942</v>
      </c>
      <c r="G298" s="171">
        <v>45560.0</v>
      </c>
      <c r="H298" s="172">
        <f t="shared" si="1"/>
        <v>0</v>
      </c>
      <c r="I298" s="173" t="s">
        <v>3316</v>
      </c>
      <c r="J298" s="171">
        <v>45560.0</v>
      </c>
      <c r="K298" s="169" t="s">
        <v>2758</v>
      </c>
      <c r="L298" s="242"/>
      <c r="M298" s="242"/>
      <c r="N298" s="242"/>
      <c r="O298" s="242"/>
      <c r="P298" s="242"/>
      <c r="Q298" s="242"/>
      <c r="R298" s="242"/>
      <c r="S298" s="242"/>
      <c r="T298" s="242"/>
      <c r="U298" s="242"/>
      <c r="V298" s="242"/>
      <c r="W298" s="242"/>
      <c r="X298" s="242"/>
      <c r="Y298" s="242"/>
      <c r="Z298" s="242"/>
      <c r="AA298" s="242"/>
      <c r="AB298" s="242"/>
      <c r="AC298" s="242"/>
    </row>
    <row r="299">
      <c r="A299" s="181">
        <v>14000.0</v>
      </c>
      <c r="B299" s="175" t="s">
        <v>3317</v>
      </c>
      <c r="C299" s="174">
        <v>2020.0</v>
      </c>
      <c r="D299" s="176" t="s">
        <v>52</v>
      </c>
      <c r="E299" s="176" t="s">
        <v>3318</v>
      </c>
      <c r="F299" s="177" t="s">
        <v>3319</v>
      </c>
      <c r="G299" s="178">
        <v>45560.0</v>
      </c>
      <c r="H299" s="179">
        <f t="shared" si="1"/>
        <v>0</v>
      </c>
      <c r="I299" s="180" t="s">
        <v>3320</v>
      </c>
      <c r="J299" s="178">
        <v>45560.0</v>
      </c>
      <c r="K299" s="175" t="s">
        <v>2758</v>
      </c>
    </row>
    <row r="300">
      <c r="A300" s="183">
        <v>14004.0</v>
      </c>
      <c r="B300" s="169" t="s">
        <v>3321</v>
      </c>
      <c r="C300" s="168">
        <v>2022.0</v>
      </c>
      <c r="D300" s="142" t="s">
        <v>197</v>
      </c>
      <c r="E300" s="142" t="s">
        <v>2788</v>
      </c>
      <c r="F300" s="170" t="s">
        <v>3322</v>
      </c>
      <c r="G300" s="171">
        <v>45560.0</v>
      </c>
      <c r="H300" s="172">
        <f t="shared" si="1"/>
        <v>7</v>
      </c>
      <c r="I300" s="173" t="s">
        <v>3291</v>
      </c>
      <c r="J300" s="171">
        <v>45567.0</v>
      </c>
      <c r="K300" s="169" t="s">
        <v>2758</v>
      </c>
    </row>
    <row r="301">
      <c r="A301" s="181">
        <v>14005.0</v>
      </c>
      <c r="B301" s="175" t="s">
        <v>3323</v>
      </c>
      <c r="C301" s="174">
        <v>2021.0</v>
      </c>
      <c r="D301" s="176" t="s">
        <v>197</v>
      </c>
      <c r="E301" s="176" t="s">
        <v>2788</v>
      </c>
      <c r="F301" s="177" t="s">
        <v>3324</v>
      </c>
      <c r="G301" s="178">
        <v>45560.0</v>
      </c>
      <c r="H301" s="179">
        <f t="shared" si="1"/>
        <v>2</v>
      </c>
      <c r="I301" s="180" t="s">
        <v>3325</v>
      </c>
      <c r="J301" s="178">
        <v>45562.0</v>
      </c>
      <c r="K301" s="175" t="s">
        <v>17</v>
      </c>
    </row>
    <row r="302">
      <c r="A302" s="183">
        <v>14006.0</v>
      </c>
      <c r="B302" s="169" t="s">
        <v>1435</v>
      </c>
      <c r="C302" s="168">
        <v>2015.0</v>
      </c>
      <c r="D302" s="142" t="s">
        <v>52</v>
      </c>
      <c r="E302" s="142" t="s">
        <v>3326</v>
      </c>
      <c r="F302" s="170" t="s">
        <v>1436</v>
      </c>
      <c r="G302" s="171">
        <v>45560.0</v>
      </c>
      <c r="H302" s="172">
        <f t="shared" si="1"/>
        <v>7</v>
      </c>
      <c r="I302" s="173" t="s">
        <v>3327</v>
      </c>
      <c r="J302" s="171">
        <v>45567.0</v>
      </c>
      <c r="K302" s="169" t="s">
        <v>2758</v>
      </c>
    </row>
    <row r="303">
      <c r="A303" s="181">
        <v>14013.0</v>
      </c>
      <c r="B303" s="175" t="s">
        <v>3328</v>
      </c>
      <c r="C303" s="174">
        <v>2018.0</v>
      </c>
      <c r="D303" s="176" t="s">
        <v>14</v>
      </c>
      <c r="E303" s="176" t="s">
        <v>3329</v>
      </c>
      <c r="F303" s="177" t="s">
        <v>3330</v>
      </c>
      <c r="G303" s="178">
        <v>45561.0</v>
      </c>
      <c r="H303" s="179">
        <f t="shared" si="1"/>
        <v>1</v>
      </c>
      <c r="I303" s="180" t="s">
        <v>3331</v>
      </c>
      <c r="J303" s="178">
        <v>45562.0</v>
      </c>
      <c r="K303" s="175" t="s">
        <v>2758</v>
      </c>
    </row>
    <row r="304">
      <c r="A304" s="183">
        <v>14014.0</v>
      </c>
      <c r="B304" s="169" t="s">
        <v>3332</v>
      </c>
      <c r="C304" s="168">
        <v>2020.0</v>
      </c>
      <c r="D304" s="142" t="s">
        <v>105</v>
      </c>
      <c r="E304" s="142" t="s">
        <v>3333</v>
      </c>
      <c r="F304" s="170" t="s">
        <v>3334</v>
      </c>
      <c r="G304" s="171">
        <v>45561.0</v>
      </c>
      <c r="H304" s="172">
        <f t="shared" si="1"/>
        <v>0</v>
      </c>
      <c r="I304" s="173" t="s">
        <v>133</v>
      </c>
      <c r="J304" s="171">
        <v>45561.0</v>
      </c>
      <c r="K304" s="169" t="s">
        <v>2758</v>
      </c>
    </row>
    <row r="305">
      <c r="A305" s="244">
        <v>14016.0</v>
      </c>
      <c r="B305" s="245" t="s">
        <v>3335</v>
      </c>
      <c r="C305" s="246">
        <v>2011.0</v>
      </c>
      <c r="D305" s="175" t="s">
        <v>2647</v>
      </c>
      <c r="E305" s="245" t="s">
        <v>855</v>
      </c>
      <c r="F305" s="247" t="s">
        <v>3336</v>
      </c>
      <c r="G305" s="248">
        <v>45561.0</v>
      </c>
      <c r="H305" s="179">
        <f t="shared" si="1"/>
        <v>46</v>
      </c>
      <c r="I305" s="232" t="s">
        <v>3337</v>
      </c>
      <c r="J305" s="217">
        <v>45607.0</v>
      </c>
      <c r="K305" s="175" t="s">
        <v>17</v>
      </c>
    </row>
    <row r="306">
      <c r="A306" s="237">
        <v>14017.0</v>
      </c>
      <c r="B306" s="238" t="s">
        <v>3095</v>
      </c>
      <c r="C306" s="239">
        <v>2019.0</v>
      </c>
      <c r="D306" s="238" t="s">
        <v>14</v>
      </c>
      <c r="E306" s="238" t="s">
        <v>855</v>
      </c>
      <c r="F306" s="240" t="s">
        <v>3096</v>
      </c>
      <c r="G306" s="226">
        <v>45561.0</v>
      </c>
      <c r="H306" s="172">
        <f t="shared" si="1"/>
        <v>11</v>
      </c>
      <c r="I306" s="208" t="s">
        <v>3338</v>
      </c>
      <c r="J306" s="228">
        <v>45572.0</v>
      </c>
      <c r="K306" s="169" t="s">
        <v>31</v>
      </c>
    </row>
    <row r="307">
      <c r="A307" s="181">
        <v>14023.0</v>
      </c>
      <c r="B307" s="175" t="s">
        <v>1137</v>
      </c>
      <c r="C307" s="174">
        <v>2018.0</v>
      </c>
      <c r="D307" s="176" t="s">
        <v>14</v>
      </c>
      <c r="E307" s="176" t="s">
        <v>912</v>
      </c>
      <c r="F307" s="177" t="s">
        <v>1138</v>
      </c>
      <c r="G307" s="178">
        <v>45617.0</v>
      </c>
      <c r="H307" s="179">
        <f t="shared" si="1"/>
        <v>0</v>
      </c>
      <c r="I307" s="180" t="s">
        <v>3339</v>
      </c>
      <c r="J307" s="178">
        <v>45617.0</v>
      </c>
      <c r="K307" s="175" t="s">
        <v>2758</v>
      </c>
    </row>
    <row r="308">
      <c r="A308" s="237">
        <v>14025.0</v>
      </c>
      <c r="B308" s="238" t="s">
        <v>1250</v>
      </c>
      <c r="C308" s="239">
        <v>2014.0</v>
      </c>
      <c r="D308" s="169" t="s">
        <v>105</v>
      </c>
      <c r="E308" s="238" t="s">
        <v>183</v>
      </c>
      <c r="F308" s="240" t="s">
        <v>1251</v>
      </c>
      <c r="G308" s="226">
        <v>45562.0</v>
      </c>
      <c r="H308" s="172">
        <f t="shared" si="1"/>
        <v>0</v>
      </c>
      <c r="I308" s="208" t="s">
        <v>3291</v>
      </c>
      <c r="J308" s="171">
        <v>45562.0</v>
      </c>
      <c r="K308" s="169" t="s">
        <v>2758</v>
      </c>
    </row>
    <row r="309">
      <c r="A309" s="244">
        <v>14026.0</v>
      </c>
      <c r="B309" s="245" t="s">
        <v>2414</v>
      </c>
      <c r="C309" s="246">
        <v>2014.0</v>
      </c>
      <c r="D309" s="245" t="s">
        <v>130</v>
      </c>
      <c r="E309" s="245" t="s">
        <v>337</v>
      </c>
      <c r="F309" s="247" t="s">
        <v>3340</v>
      </c>
      <c r="G309" s="248">
        <v>45562.0</v>
      </c>
      <c r="H309" s="179">
        <f t="shared" si="1"/>
        <v>4</v>
      </c>
      <c r="I309" s="232" t="s">
        <v>3341</v>
      </c>
      <c r="J309" s="178">
        <v>45566.0</v>
      </c>
      <c r="K309" s="175" t="s">
        <v>31</v>
      </c>
      <c r="L309" s="242"/>
      <c r="M309" s="242"/>
      <c r="N309" s="242"/>
      <c r="O309" s="242"/>
      <c r="P309" s="242"/>
      <c r="Q309" s="242"/>
      <c r="R309" s="242"/>
      <c r="S309" s="242"/>
      <c r="T309" s="242"/>
      <c r="U309" s="242"/>
      <c r="V309" s="242"/>
      <c r="W309" s="242"/>
      <c r="X309" s="242"/>
      <c r="Y309" s="242"/>
      <c r="Z309" s="242"/>
      <c r="AA309" s="242"/>
      <c r="AB309" s="242"/>
      <c r="AC309" s="242"/>
    </row>
    <row r="310">
      <c r="A310" s="183">
        <v>14027.0</v>
      </c>
      <c r="B310" s="169" t="s">
        <v>791</v>
      </c>
      <c r="C310" s="168">
        <v>2022.0</v>
      </c>
      <c r="D310" s="142" t="s">
        <v>52</v>
      </c>
      <c r="E310" s="142" t="s">
        <v>459</v>
      </c>
      <c r="F310" s="170" t="s">
        <v>793</v>
      </c>
      <c r="G310" s="171">
        <v>45565.0</v>
      </c>
      <c r="H310" s="172">
        <f t="shared" si="1"/>
        <v>0</v>
      </c>
      <c r="I310" s="173" t="s">
        <v>3342</v>
      </c>
      <c r="J310" s="171">
        <v>45565.0</v>
      </c>
      <c r="K310" s="169" t="s">
        <v>2758</v>
      </c>
    </row>
    <row r="311">
      <c r="A311" s="181">
        <v>14028.0</v>
      </c>
      <c r="B311" s="175" t="s">
        <v>2984</v>
      </c>
      <c r="C311" s="174">
        <v>2014.0</v>
      </c>
      <c r="D311" s="176" t="s">
        <v>130</v>
      </c>
      <c r="E311" s="176" t="s">
        <v>805</v>
      </c>
      <c r="F311" s="177" t="s">
        <v>3343</v>
      </c>
      <c r="G311" s="178">
        <v>45565.0</v>
      </c>
      <c r="H311" s="179">
        <f t="shared" si="1"/>
        <v>0</v>
      </c>
      <c r="I311" s="180" t="s">
        <v>3344</v>
      </c>
      <c r="J311" s="178">
        <v>45565.0</v>
      </c>
      <c r="K311" s="175" t="s">
        <v>2758</v>
      </c>
    </row>
    <row r="312">
      <c r="A312" s="183">
        <v>14033.0</v>
      </c>
      <c r="B312" s="169" t="s">
        <v>478</v>
      </c>
      <c r="C312" s="168">
        <v>2014.0</v>
      </c>
      <c r="D312" s="142" t="s">
        <v>130</v>
      </c>
      <c r="E312" s="142" t="s">
        <v>805</v>
      </c>
      <c r="F312" s="170" t="s">
        <v>3345</v>
      </c>
      <c r="G312" s="171">
        <v>45565.0</v>
      </c>
      <c r="H312" s="172">
        <f t="shared" si="1"/>
        <v>1</v>
      </c>
      <c r="I312" s="173" t="s">
        <v>3346</v>
      </c>
      <c r="J312" s="171">
        <v>45566.0</v>
      </c>
      <c r="K312" s="169" t="s">
        <v>2758</v>
      </c>
    </row>
    <row r="313">
      <c r="A313" s="181">
        <v>14034.0</v>
      </c>
      <c r="B313" s="175" t="s">
        <v>3133</v>
      </c>
      <c r="C313" s="174">
        <v>2014.0</v>
      </c>
      <c r="D313" s="176" t="s">
        <v>3130</v>
      </c>
      <c r="E313" s="176" t="s">
        <v>805</v>
      </c>
      <c r="F313" s="177" t="s">
        <v>3134</v>
      </c>
      <c r="G313" s="178">
        <v>45565.0</v>
      </c>
      <c r="H313" s="179">
        <f t="shared" si="1"/>
        <v>1</v>
      </c>
      <c r="I313" s="180" t="s">
        <v>3347</v>
      </c>
      <c r="J313" s="178">
        <v>45566.0</v>
      </c>
      <c r="K313" s="175" t="s">
        <v>2758</v>
      </c>
    </row>
    <row r="314">
      <c r="A314" s="183">
        <v>14042.0</v>
      </c>
      <c r="B314" s="169" t="s">
        <v>3348</v>
      </c>
      <c r="C314" s="168">
        <v>2022.0</v>
      </c>
      <c r="D314" s="142" t="s">
        <v>52</v>
      </c>
      <c r="E314" s="142" t="s">
        <v>3349</v>
      </c>
      <c r="F314" s="170">
        <v>30000.0</v>
      </c>
      <c r="G314" s="171">
        <v>45566.0</v>
      </c>
      <c r="H314" s="172">
        <f t="shared" si="1"/>
        <v>0</v>
      </c>
      <c r="I314" s="173" t="s">
        <v>3350</v>
      </c>
      <c r="J314" s="171">
        <v>45566.0</v>
      </c>
      <c r="K314" s="169" t="s">
        <v>2758</v>
      </c>
    </row>
    <row r="315">
      <c r="A315" s="181">
        <v>14043.0</v>
      </c>
      <c r="B315" s="175" t="s">
        <v>2002</v>
      </c>
      <c r="C315" s="174">
        <v>2022.0</v>
      </c>
      <c r="D315" s="176" t="s">
        <v>52</v>
      </c>
      <c r="E315" s="176" t="s">
        <v>53</v>
      </c>
      <c r="F315" s="177" t="s">
        <v>2003</v>
      </c>
      <c r="G315" s="178">
        <v>45610.0</v>
      </c>
      <c r="H315" s="179">
        <f t="shared" si="1"/>
        <v>1</v>
      </c>
      <c r="I315" s="180" t="s">
        <v>3351</v>
      </c>
      <c r="J315" s="178">
        <v>45611.0</v>
      </c>
      <c r="K315" s="175" t="s">
        <v>2758</v>
      </c>
    </row>
    <row r="316">
      <c r="A316" s="183">
        <v>14046.0</v>
      </c>
      <c r="B316" s="169" t="s">
        <v>3352</v>
      </c>
      <c r="C316" s="168">
        <v>2018.0</v>
      </c>
      <c r="D316" s="142" t="s">
        <v>14</v>
      </c>
      <c r="E316" s="142" t="s">
        <v>3353</v>
      </c>
      <c r="F316" s="170" t="s">
        <v>3354</v>
      </c>
      <c r="G316" s="171">
        <v>45566.0</v>
      </c>
      <c r="H316" s="172">
        <f t="shared" si="1"/>
        <v>2</v>
      </c>
      <c r="I316" s="173" t="s">
        <v>3355</v>
      </c>
      <c r="J316" s="171">
        <v>45568.0</v>
      </c>
      <c r="K316" s="169" t="s">
        <v>2758</v>
      </c>
    </row>
    <row r="317">
      <c r="A317" s="244">
        <v>14047.0</v>
      </c>
      <c r="B317" s="245" t="s">
        <v>3356</v>
      </c>
      <c r="C317" s="246">
        <v>2010.0</v>
      </c>
      <c r="D317" s="245" t="s">
        <v>2654</v>
      </c>
      <c r="E317" s="245" t="s">
        <v>47</v>
      </c>
      <c r="F317" s="247" t="s">
        <v>3357</v>
      </c>
      <c r="G317" s="248">
        <v>45566.0</v>
      </c>
      <c r="H317" s="179">
        <f t="shared" si="1"/>
        <v>31</v>
      </c>
      <c r="I317" s="232" t="s">
        <v>3358</v>
      </c>
      <c r="J317" s="217">
        <v>45597.0</v>
      </c>
      <c r="K317" s="175" t="s">
        <v>2627</v>
      </c>
    </row>
    <row r="318">
      <c r="A318" s="249">
        <v>14049.0</v>
      </c>
      <c r="B318" s="250" t="s">
        <v>2675</v>
      </c>
      <c r="C318" s="251">
        <v>2014.0</v>
      </c>
      <c r="D318" s="250" t="s">
        <v>188</v>
      </c>
      <c r="E318" s="142" t="s">
        <v>2333</v>
      </c>
      <c r="F318" s="170" t="s">
        <v>2676</v>
      </c>
      <c r="G318" s="252">
        <v>45567.0</v>
      </c>
      <c r="H318" s="172">
        <f t="shared" si="1"/>
        <v>20</v>
      </c>
      <c r="I318" s="173" t="s">
        <v>3359</v>
      </c>
      <c r="J318" s="171">
        <v>45587.0</v>
      </c>
      <c r="K318" s="169" t="s">
        <v>2758</v>
      </c>
    </row>
    <row r="319">
      <c r="A319" s="181">
        <v>14052.0</v>
      </c>
      <c r="B319" s="175" t="s">
        <v>804</v>
      </c>
      <c r="C319" s="174">
        <v>2022.0</v>
      </c>
      <c r="D319" s="176" t="s">
        <v>52</v>
      </c>
      <c r="E319" s="176" t="s">
        <v>160</v>
      </c>
      <c r="F319" s="177" t="s">
        <v>806</v>
      </c>
      <c r="G319" s="178">
        <v>45567.0</v>
      </c>
      <c r="H319" s="179">
        <f t="shared" si="1"/>
        <v>0</v>
      </c>
      <c r="I319" s="180" t="s">
        <v>3360</v>
      </c>
      <c r="J319" s="178">
        <v>45567.0</v>
      </c>
      <c r="K319" s="175" t="s">
        <v>2758</v>
      </c>
    </row>
    <row r="320">
      <c r="A320" s="183">
        <v>14057.0</v>
      </c>
      <c r="B320" s="142" t="s">
        <v>2005</v>
      </c>
      <c r="C320" s="168">
        <v>2011.0</v>
      </c>
      <c r="D320" s="142" t="s">
        <v>367</v>
      </c>
      <c r="E320" s="142" t="s">
        <v>405</v>
      </c>
      <c r="F320" s="170" t="s">
        <v>2006</v>
      </c>
      <c r="G320" s="171">
        <v>45567.0</v>
      </c>
      <c r="H320" s="172">
        <f t="shared" si="1"/>
        <v>50</v>
      </c>
      <c r="I320" s="173" t="s">
        <v>3361</v>
      </c>
      <c r="J320" s="171">
        <v>45617.0</v>
      </c>
      <c r="K320" s="169" t="s">
        <v>2758</v>
      </c>
    </row>
    <row r="321">
      <c r="A321" s="181">
        <v>14058.0</v>
      </c>
      <c r="B321" s="175" t="s">
        <v>3362</v>
      </c>
      <c r="C321" s="174">
        <v>2020.0</v>
      </c>
      <c r="D321" s="176" t="s">
        <v>451</v>
      </c>
      <c r="E321" s="176" t="s">
        <v>143</v>
      </c>
      <c r="F321" s="177" t="s">
        <v>3363</v>
      </c>
      <c r="G321" s="178">
        <v>45567.0</v>
      </c>
      <c r="H321" s="179">
        <f t="shared" si="1"/>
        <v>2</v>
      </c>
      <c r="I321" s="180" t="s">
        <v>3364</v>
      </c>
      <c r="J321" s="178">
        <v>45569.0</v>
      </c>
      <c r="K321" s="175" t="s">
        <v>2758</v>
      </c>
    </row>
    <row r="322">
      <c r="A322" s="183">
        <v>14059.0</v>
      </c>
      <c r="B322" s="142" t="s">
        <v>3365</v>
      </c>
      <c r="C322" s="168">
        <v>2020.0</v>
      </c>
      <c r="D322" s="142" t="s">
        <v>14</v>
      </c>
      <c r="E322" s="142" t="s">
        <v>2788</v>
      </c>
      <c r="F322" s="170" t="s">
        <v>3366</v>
      </c>
      <c r="G322" s="171">
        <v>45567.0</v>
      </c>
      <c r="H322" s="172">
        <f t="shared" si="1"/>
        <v>20</v>
      </c>
      <c r="I322" s="173" t="s">
        <v>3367</v>
      </c>
      <c r="J322" s="171">
        <v>45587.0</v>
      </c>
      <c r="K322" s="169" t="s">
        <v>31</v>
      </c>
    </row>
    <row r="323">
      <c r="A323" s="181">
        <v>14060.0</v>
      </c>
      <c r="B323" s="176" t="s">
        <v>3022</v>
      </c>
      <c r="C323" s="174">
        <v>2020.0</v>
      </c>
      <c r="D323" s="176" t="s">
        <v>14</v>
      </c>
      <c r="E323" s="176" t="s">
        <v>2788</v>
      </c>
      <c r="F323" s="177" t="s">
        <v>3023</v>
      </c>
      <c r="G323" s="178">
        <v>45567.0</v>
      </c>
      <c r="H323" s="179">
        <f t="shared" si="1"/>
        <v>5</v>
      </c>
      <c r="I323" s="182" t="s">
        <v>3368</v>
      </c>
      <c r="J323" s="178">
        <v>45572.0</v>
      </c>
      <c r="K323" s="175" t="s">
        <v>2758</v>
      </c>
    </row>
    <row r="324">
      <c r="A324" s="249">
        <v>14061.0</v>
      </c>
      <c r="B324" s="250" t="s">
        <v>3369</v>
      </c>
      <c r="C324" s="251">
        <v>2019.0</v>
      </c>
      <c r="D324" s="250" t="s">
        <v>14</v>
      </c>
      <c r="E324" s="142" t="s">
        <v>2788</v>
      </c>
      <c r="F324" s="170" t="s">
        <v>3370</v>
      </c>
      <c r="G324" s="252">
        <v>45567.0</v>
      </c>
      <c r="H324" s="172">
        <f t="shared" si="1"/>
        <v>5</v>
      </c>
      <c r="I324" s="253" t="s">
        <v>3371</v>
      </c>
      <c r="J324" s="171">
        <v>45572.0</v>
      </c>
      <c r="K324" s="169" t="s">
        <v>2758</v>
      </c>
    </row>
    <row r="325">
      <c r="A325" s="181">
        <v>14066.0</v>
      </c>
      <c r="B325" s="175" t="s">
        <v>3372</v>
      </c>
      <c r="C325" s="174">
        <v>2013.0</v>
      </c>
      <c r="D325" s="176" t="s">
        <v>3373</v>
      </c>
      <c r="E325" s="176" t="s">
        <v>630</v>
      </c>
      <c r="F325" s="177" t="s">
        <v>3374</v>
      </c>
      <c r="G325" s="178">
        <v>45568.0</v>
      </c>
      <c r="H325" s="179">
        <f t="shared" si="1"/>
        <v>0</v>
      </c>
      <c r="I325" s="180" t="s">
        <v>3375</v>
      </c>
      <c r="J325" s="178">
        <v>45568.0</v>
      </c>
      <c r="K325" s="175" t="s">
        <v>2758</v>
      </c>
    </row>
    <row r="326">
      <c r="A326" s="183">
        <v>14072.0</v>
      </c>
      <c r="B326" s="169" t="s">
        <v>98</v>
      </c>
      <c r="C326" s="168">
        <v>2022.0</v>
      </c>
      <c r="D326" s="142" t="s">
        <v>52</v>
      </c>
      <c r="E326" s="142" t="s">
        <v>99</v>
      </c>
      <c r="F326" s="170" t="s">
        <v>100</v>
      </c>
      <c r="G326" s="171">
        <v>45568.0</v>
      </c>
      <c r="H326" s="172">
        <f t="shared" si="1"/>
        <v>0</v>
      </c>
      <c r="I326" s="173" t="s">
        <v>3376</v>
      </c>
      <c r="J326" s="171">
        <v>45568.0</v>
      </c>
      <c r="K326" s="169" t="s">
        <v>2758</v>
      </c>
    </row>
    <row r="327">
      <c r="A327" s="181">
        <v>14075.0</v>
      </c>
      <c r="B327" s="175" t="s">
        <v>3377</v>
      </c>
      <c r="C327" s="174">
        <v>2015.0</v>
      </c>
      <c r="D327" s="176" t="s">
        <v>130</v>
      </c>
      <c r="E327" s="176" t="s">
        <v>169</v>
      </c>
      <c r="F327" s="177" t="s">
        <v>1238</v>
      </c>
      <c r="G327" s="178">
        <v>45569.0</v>
      </c>
      <c r="H327" s="179">
        <f t="shared" si="1"/>
        <v>0</v>
      </c>
      <c r="I327" s="180" t="s">
        <v>3378</v>
      </c>
      <c r="J327" s="178">
        <v>45569.0</v>
      </c>
      <c r="K327" s="175" t="s">
        <v>2758</v>
      </c>
    </row>
    <row r="328">
      <c r="A328" s="183">
        <v>14081.0</v>
      </c>
      <c r="B328" s="169" t="s">
        <v>804</v>
      </c>
      <c r="C328" s="168">
        <v>2022.0</v>
      </c>
      <c r="D328" s="142" t="s">
        <v>52</v>
      </c>
      <c r="E328" s="142" t="s">
        <v>160</v>
      </c>
      <c r="F328" s="170" t="s">
        <v>806</v>
      </c>
      <c r="G328" s="171">
        <v>45569.0</v>
      </c>
      <c r="H328" s="172">
        <f t="shared" si="1"/>
        <v>0</v>
      </c>
      <c r="I328" s="173" t="s">
        <v>3379</v>
      </c>
      <c r="J328" s="171">
        <v>45569.0</v>
      </c>
      <c r="K328" s="169" t="s">
        <v>2758</v>
      </c>
    </row>
    <row r="329">
      <c r="A329" s="181">
        <v>14085.0</v>
      </c>
      <c r="B329" s="175" t="s">
        <v>94</v>
      </c>
      <c r="C329" s="174">
        <v>2022.0</v>
      </c>
      <c r="D329" s="176" t="s">
        <v>52</v>
      </c>
      <c r="E329" s="176" t="s">
        <v>173</v>
      </c>
      <c r="F329" s="177" t="s">
        <v>96</v>
      </c>
      <c r="G329" s="178">
        <v>45572.0</v>
      </c>
      <c r="H329" s="179">
        <f t="shared" si="1"/>
        <v>0</v>
      </c>
      <c r="I329" s="180" t="s">
        <v>857</v>
      </c>
      <c r="J329" s="178">
        <v>45572.0</v>
      </c>
      <c r="K329" s="175" t="s">
        <v>2758</v>
      </c>
    </row>
    <row r="330">
      <c r="A330" s="237">
        <v>14088.0</v>
      </c>
      <c r="B330" s="238" t="s">
        <v>494</v>
      </c>
      <c r="C330" s="239">
        <v>2022.0</v>
      </c>
      <c r="D330" s="238" t="s">
        <v>52</v>
      </c>
      <c r="E330" s="238" t="s">
        <v>41</v>
      </c>
      <c r="F330" s="254">
        <v>45566.0</v>
      </c>
      <c r="G330" s="226">
        <v>45572.0</v>
      </c>
      <c r="H330" s="172">
        <f t="shared" si="1"/>
        <v>0</v>
      </c>
      <c r="I330" s="208" t="s">
        <v>3380</v>
      </c>
      <c r="J330" s="228">
        <v>45572.0</v>
      </c>
      <c r="K330" s="169" t="s">
        <v>2758</v>
      </c>
    </row>
    <row r="331">
      <c r="A331" s="244">
        <v>14089.0</v>
      </c>
      <c r="B331" s="245" t="s">
        <v>1540</v>
      </c>
      <c r="C331" s="246">
        <v>2022.0</v>
      </c>
      <c r="D331" s="245" t="s">
        <v>52</v>
      </c>
      <c r="E331" s="245" t="s">
        <v>82</v>
      </c>
      <c r="F331" s="255" t="s">
        <v>3381</v>
      </c>
      <c r="G331" s="248">
        <v>45572.0</v>
      </c>
      <c r="H331" s="179">
        <f t="shared" si="1"/>
        <v>0</v>
      </c>
      <c r="I331" s="232" t="s">
        <v>3382</v>
      </c>
      <c r="J331" s="217">
        <v>45572.0</v>
      </c>
      <c r="K331" s="175" t="s">
        <v>2758</v>
      </c>
    </row>
    <row r="332">
      <c r="A332" s="237">
        <v>14090.0</v>
      </c>
      <c r="B332" s="238" t="s">
        <v>3383</v>
      </c>
      <c r="C332" s="239">
        <v>2022.0</v>
      </c>
      <c r="D332" s="238" t="s">
        <v>52</v>
      </c>
      <c r="E332" s="238" t="s">
        <v>82</v>
      </c>
      <c r="F332" s="256" t="s">
        <v>3384</v>
      </c>
      <c r="G332" s="226">
        <v>45572.0</v>
      </c>
      <c r="H332" s="172">
        <f t="shared" si="1"/>
        <v>0</v>
      </c>
      <c r="I332" s="208" t="s">
        <v>3382</v>
      </c>
      <c r="J332" s="171">
        <v>45572.0</v>
      </c>
      <c r="K332" s="169" t="s">
        <v>2758</v>
      </c>
    </row>
    <row r="333">
      <c r="A333" s="181">
        <v>14091.0</v>
      </c>
      <c r="B333" s="175" t="s">
        <v>498</v>
      </c>
      <c r="C333" s="174">
        <v>2022.0</v>
      </c>
      <c r="D333" s="176" t="s">
        <v>52</v>
      </c>
      <c r="E333" s="176" t="s">
        <v>99</v>
      </c>
      <c r="F333" s="177" t="s">
        <v>499</v>
      </c>
      <c r="G333" s="178">
        <v>45572.0</v>
      </c>
      <c r="H333" s="179">
        <f t="shared" si="1"/>
        <v>0</v>
      </c>
      <c r="I333" s="180" t="s">
        <v>3385</v>
      </c>
      <c r="J333" s="178">
        <v>45572.0</v>
      </c>
      <c r="K333" s="175" t="s">
        <v>31</v>
      </c>
    </row>
    <row r="334">
      <c r="A334" s="183">
        <v>14103.0</v>
      </c>
      <c r="B334" s="169" t="s">
        <v>2923</v>
      </c>
      <c r="C334" s="168">
        <v>2022.0</v>
      </c>
      <c r="D334" s="142" t="s">
        <v>52</v>
      </c>
      <c r="E334" s="142" t="s">
        <v>442</v>
      </c>
      <c r="F334" s="170" t="s">
        <v>2924</v>
      </c>
      <c r="G334" s="171">
        <v>45573.0</v>
      </c>
      <c r="H334" s="172">
        <f t="shared" si="1"/>
        <v>0</v>
      </c>
      <c r="I334" s="173" t="s">
        <v>3386</v>
      </c>
      <c r="J334" s="171">
        <v>45573.0</v>
      </c>
      <c r="K334" s="169" t="s">
        <v>31</v>
      </c>
    </row>
    <row r="335">
      <c r="A335" s="181">
        <v>14108.0</v>
      </c>
      <c r="B335" s="175" t="s">
        <v>3387</v>
      </c>
      <c r="C335" s="174">
        <v>2015.0</v>
      </c>
      <c r="D335" s="176" t="s">
        <v>130</v>
      </c>
      <c r="E335" s="176" t="s">
        <v>1639</v>
      </c>
      <c r="F335" s="177" t="s">
        <v>3388</v>
      </c>
      <c r="G335" s="178">
        <v>45574.0</v>
      </c>
      <c r="H335" s="179">
        <f t="shared" si="1"/>
        <v>5</v>
      </c>
      <c r="I335" s="180" t="s">
        <v>30</v>
      </c>
      <c r="J335" s="178">
        <v>45579.0</v>
      </c>
      <c r="K335" s="175" t="s">
        <v>31</v>
      </c>
    </row>
    <row r="336">
      <c r="A336" s="183">
        <v>14111.0</v>
      </c>
      <c r="B336" s="169" t="s">
        <v>1862</v>
      </c>
      <c r="C336" s="168">
        <v>2014.0</v>
      </c>
      <c r="D336" s="142" t="s">
        <v>130</v>
      </c>
      <c r="E336" s="142" t="s">
        <v>912</v>
      </c>
      <c r="F336" s="170" t="s">
        <v>1863</v>
      </c>
      <c r="G336" s="171">
        <v>45574.0</v>
      </c>
      <c r="H336" s="172">
        <f t="shared" si="1"/>
        <v>0</v>
      </c>
      <c r="I336" s="173" t="s">
        <v>3389</v>
      </c>
      <c r="J336" s="171">
        <v>45574.0</v>
      </c>
      <c r="K336" s="169" t="s">
        <v>2758</v>
      </c>
    </row>
    <row r="337">
      <c r="A337" s="181">
        <v>14114.0</v>
      </c>
      <c r="B337" s="175" t="s">
        <v>3328</v>
      </c>
      <c r="C337" s="174">
        <v>2017.0</v>
      </c>
      <c r="D337" s="176" t="s">
        <v>14</v>
      </c>
      <c r="E337" s="176" t="s">
        <v>125</v>
      </c>
      <c r="F337" s="177" t="s">
        <v>3390</v>
      </c>
      <c r="G337" s="178">
        <v>45574.0</v>
      </c>
      <c r="H337" s="179">
        <f t="shared" si="1"/>
        <v>12</v>
      </c>
      <c r="I337" s="180" t="s">
        <v>3391</v>
      </c>
      <c r="J337" s="178">
        <v>45586.0</v>
      </c>
      <c r="K337" s="175" t="s">
        <v>2758</v>
      </c>
    </row>
    <row r="338" ht="16.5" customHeight="1">
      <c r="A338" s="183">
        <v>14115.0</v>
      </c>
      <c r="B338" s="169" t="s">
        <v>3392</v>
      </c>
      <c r="C338" s="168">
        <v>2015.0</v>
      </c>
      <c r="D338" s="142" t="s">
        <v>14</v>
      </c>
      <c r="E338" s="142" t="s">
        <v>1738</v>
      </c>
      <c r="F338" s="170" t="s">
        <v>3393</v>
      </c>
      <c r="G338" s="171">
        <v>45574.0</v>
      </c>
      <c r="H338" s="172">
        <f t="shared" si="1"/>
        <v>0</v>
      </c>
      <c r="I338" s="173" t="s">
        <v>3394</v>
      </c>
      <c r="J338" s="171">
        <v>45574.0</v>
      </c>
      <c r="K338" s="169" t="s">
        <v>2758</v>
      </c>
    </row>
    <row r="339" ht="16.5" customHeight="1">
      <c r="A339" s="181">
        <v>14126.0</v>
      </c>
      <c r="B339" s="176" t="s">
        <v>3395</v>
      </c>
      <c r="C339" s="174">
        <v>2020.0</v>
      </c>
      <c r="D339" s="176" t="s">
        <v>75</v>
      </c>
      <c r="E339" s="176" t="s">
        <v>106</v>
      </c>
      <c r="F339" s="177" t="s">
        <v>3396</v>
      </c>
      <c r="G339" s="178">
        <v>45576.0</v>
      </c>
      <c r="H339" s="179">
        <f t="shared" si="1"/>
        <v>18</v>
      </c>
      <c r="I339" s="182" t="s">
        <v>3397</v>
      </c>
      <c r="J339" s="178">
        <v>45594.0</v>
      </c>
      <c r="K339" s="175" t="s">
        <v>31</v>
      </c>
    </row>
    <row r="340">
      <c r="A340" s="249">
        <v>14127.0</v>
      </c>
      <c r="B340" s="250" t="s">
        <v>1179</v>
      </c>
      <c r="C340" s="251">
        <v>2013.0</v>
      </c>
      <c r="D340" s="250" t="s">
        <v>105</v>
      </c>
      <c r="E340" s="142" t="s">
        <v>183</v>
      </c>
      <c r="F340" s="170" t="s">
        <v>1180</v>
      </c>
      <c r="G340" s="252">
        <v>45576.0</v>
      </c>
      <c r="H340" s="172">
        <f t="shared" si="1"/>
        <v>5</v>
      </c>
      <c r="I340" s="173" t="s">
        <v>30</v>
      </c>
      <c r="J340" s="171">
        <v>45581.0</v>
      </c>
      <c r="K340" s="169" t="s">
        <v>31</v>
      </c>
    </row>
    <row r="341">
      <c r="A341" s="181">
        <v>14131.0</v>
      </c>
      <c r="B341" s="175" t="s">
        <v>219</v>
      </c>
      <c r="C341" s="174">
        <v>2018.0</v>
      </c>
      <c r="D341" s="176" t="s">
        <v>14</v>
      </c>
      <c r="E341" s="176" t="s">
        <v>2672</v>
      </c>
      <c r="F341" s="177" t="s">
        <v>221</v>
      </c>
      <c r="G341" s="178">
        <v>45579.0</v>
      </c>
      <c r="H341" s="179">
        <f t="shared" si="1"/>
        <v>0</v>
      </c>
      <c r="I341" s="180" t="s">
        <v>3398</v>
      </c>
      <c r="J341" s="178">
        <v>45579.0</v>
      </c>
      <c r="K341" s="175" t="s">
        <v>2758</v>
      </c>
    </row>
    <row r="342">
      <c r="A342" s="237">
        <v>14134.0</v>
      </c>
      <c r="B342" s="238" t="s">
        <v>1274</v>
      </c>
      <c r="C342" s="239">
        <v>2016.0</v>
      </c>
      <c r="D342" s="238" t="s">
        <v>52</v>
      </c>
      <c r="E342" s="238" t="s">
        <v>399</v>
      </c>
      <c r="F342" s="240" t="s">
        <v>1275</v>
      </c>
      <c r="G342" s="226">
        <v>45579.0</v>
      </c>
      <c r="H342" s="172">
        <f t="shared" si="1"/>
        <v>1</v>
      </c>
      <c r="I342" s="173" t="s">
        <v>3399</v>
      </c>
      <c r="J342" s="171">
        <v>45580.0</v>
      </c>
      <c r="K342" s="169" t="s">
        <v>31</v>
      </c>
    </row>
    <row r="343">
      <c r="A343" s="181">
        <v>14135.0</v>
      </c>
      <c r="B343" s="175" t="s">
        <v>2090</v>
      </c>
      <c r="C343" s="174">
        <v>2018.0</v>
      </c>
      <c r="D343" s="176" t="s">
        <v>14</v>
      </c>
      <c r="E343" s="176" t="s">
        <v>1194</v>
      </c>
      <c r="F343" s="177" t="s">
        <v>3400</v>
      </c>
      <c r="G343" s="178">
        <v>45579.0</v>
      </c>
      <c r="H343" s="179">
        <f t="shared" si="1"/>
        <v>0</v>
      </c>
      <c r="I343" s="180" t="s">
        <v>3401</v>
      </c>
      <c r="J343" s="178">
        <v>45579.0</v>
      </c>
      <c r="K343" s="175" t="s">
        <v>2758</v>
      </c>
    </row>
    <row r="344">
      <c r="A344" s="249">
        <v>14138.0</v>
      </c>
      <c r="B344" s="250" t="s">
        <v>3402</v>
      </c>
      <c r="C344" s="251">
        <v>2015.0</v>
      </c>
      <c r="D344" s="250" t="s">
        <v>14</v>
      </c>
      <c r="E344" s="142" t="s">
        <v>459</v>
      </c>
      <c r="F344" s="170" t="s">
        <v>3403</v>
      </c>
      <c r="G344" s="252">
        <v>45579.0</v>
      </c>
      <c r="H344" s="172">
        <f t="shared" si="1"/>
        <v>2</v>
      </c>
      <c r="I344" s="173" t="s">
        <v>3404</v>
      </c>
      <c r="J344" s="171">
        <v>45581.0</v>
      </c>
      <c r="K344" s="169" t="s">
        <v>31</v>
      </c>
    </row>
    <row r="345">
      <c r="A345" s="181">
        <v>14139.0</v>
      </c>
      <c r="B345" s="175" t="s">
        <v>3405</v>
      </c>
      <c r="C345" s="174">
        <v>2022.0</v>
      </c>
      <c r="D345" s="176" t="s">
        <v>52</v>
      </c>
      <c r="E345" s="176" t="s">
        <v>99</v>
      </c>
      <c r="F345" s="177" t="s">
        <v>3406</v>
      </c>
      <c r="G345" s="178">
        <v>45580.0</v>
      </c>
      <c r="H345" s="179">
        <f t="shared" si="1"/>
        <v>0</v>
      </c>
      <c r="I345" s="180" t="s">
        <v>3407</v>
      </c>
      <c r="J345" s="178">
        <v>45580.0</v>
      </c>
      <c r="K345" s="175" t="s">
        <v>2758</v>
      </c>
    </row>
    <row r="346">
      <c r="A346" s="183">
        <v>14148.0</v>
      </c>
      <c r="B346" s="169" t="s">
        <v>1943</v>
      </c>
      <c r="C346" s="168">
        <v>2014.0</v>
      </c>
      <c r="D346" s="142" t="s">
        <v>136</v>
      </c>
      <c r="E346" s="142" t="s">
        <v>235</v>
      </c>
      <c r="F346" s="170" t="s">
        <v>3408</v>
      </c>
      <c r="G346" s="171">
        <v>45581.0</v>
      </c>
      <c r="H346" s="172">
        <f t="shared" si="1"/>
        <v>0</v>
      </c>
      <c r="I346" s="173" t="s">
        <v>3409</v>
      </c>
      <c r="J346" s="171">
        <v>45581.0</v>
      </c>
      <c r="K346" s="169" t="s">
        <v>2758</v>
      </c>
    </row>
    <row r="347">
      <c r="A347" s="181">
        <v>14153.0</v>
      </c>
      <c r="B347" s="175" t="s">
        <v>1237</v>
      </c>
      <c r="C347" s="174">
        <v>2015.0</v>
      </c>
      <c r="D347" s="176" t="s">
        <v>130</v>
      </c>
      <c r="E347" s="176" t="s">
        <v>169</v>
      </c>
      <c r="F347" s="177" t="s">
        <v>1238</v>
      </c>
      <c r="G347" s="178">
        <v>45581.0</v>
      </c>
      <c r="H347" s="179">
        <f t="shared" si="1"/>
        <v>0</v>
      </c>
      <c r="I347" s="180" t="s">
        <v>3410</v>
      </c>
      <c r="J347" s="257">
        <v>45581.0</v>
      </c>
      <c r="K347" s="175" t="s">
        <v>2758</v>
      </c>
    </row>
    <row r="348">
      <c r="A348" s="183">
        <v>14154.0</v>
      </c>
      <c r="B348" s="169" t="s">
        <v>3411</v>
      </c>
      <c r="C348" s="168">
        <v>2011.0</v>
      </c>
      <c r="D348" s="142" t="s">
        <v>2647</v>
      </c>
      <c r="E348" s="142" t="s">
        <v>805</v>
      </c>
      <c r="F348" s="241">
        <v>45519.0</v>
      </c>
      <c r="G348" s="171">
        <v>45587.0</v>
      </c>
      <c r="H348" s="172">
        <f t="shared" si="1"/>
        <v>0</v>
      </c>
      <c r="I348" s="173" t="s">
        <v>30</v>
      </c>
      <c r="J348" s="171">
        <v>45587.0</v>
      </c>
      <c r="K348" s="169" t="s">
        <v>31</v>
      </c>
    </row>
    <row r="349">
      <c r="A349" s="181">
        <v>14156.0</v>
      </c>
      <c r="B349" s="175" t="s">
        <v>2817</v>
      </c>
      <c r="C349" s="174">
        <v>2011.0</v>
      </c>
      <c r="D349" s="176" t="s">
        <v>2647</v>
      </c>
      <c r="E349" s="176" t="s">
        <v>125</v>
      </c>
      <c r="F349" s="177" t="s">
        <v>2818</v>
      </c>
      <c r="G349" s="178">
        <v>45581.0</v>
      </c>
      <c r="H349" s="179">
        <f t="shared" si="1"/>
        <v>0</v>
      </c>
      <c r="I349" s="180" t="s">
        <v>133</v>
      </c>
      <c r="J349" s="178">
        <v>45581.0</v>
      </c>
      <c r="K349" s="175" t="s">
        <v>2758</v>
      </c>
    </row>
    <row r="350">
      <c r="A350" s="237">
        <v>14162.0</v>
      </c>
      <c r="B350" s="238" t="s">
        <v>3412</v>
      </c>
      <c r="C350" s="239">
        <v>2018.0</v>
      </c>
      <c r="D350" s="238" t="s">
        <v>52</v>
      </c>
      <c r="E350" s="238" t="s">
        <v>912</v>
      </c>
      <c r="F350" s="240" t="s">
        <v>3413</v>
      </c>
      <c r="G350" s="226">
        <v>45582.0</v>
      </c>
      <c r="H350" s="172">
        <f t="shared" si="1"/>
        <v>8</v>
      </c>
      <c r="I350" s="208" t="s">
        <v>3414</v>
      </c>
      <c r="J350" s="243">
        <v>45590.0</v>
      </c>
      <c r="K350" s="169" t="s">
        <v>2758</v>
      </c>
    </row>
    <row r="351">
      <c r="A351" s="181">
        <v>14178.0</v>
      </c>
      <c r="B351" s="175" t="s">
        <v>341</v>
      </c>
      <c r="C351" s="174">
        <v>2022.0</v>
      </c>
      <c r="D351" s="176" t="s">
        <v>52</v>
      </c>
      <c r="E351" s="176" t="s">
        <v>82</v>
      </c>
      <c r="F351" s="177" t="s">
        <v>342</v>
      </c>
      <c r="G351" s="178">
        <v>45586.0</v>
      </c>
      <c r="H351" s="179">
        <f t="shared" si="1"/>
        <v>1</v>
      </c>
      <c r="I351" s="180" t="s">
        <v>3415</v>
      </c>
      <c r="J351" s="178">
        <v>45587.0</v>
      </c>
      <c r="K351" s="175" t="s">
        <v>2758</v>
      </c>
    </row>
    <row r="352">
      <c r="A352" s="183">
        <v>14180.0</v>
      </c>
      <c r="B352" s="169" t="s">
        <v>3416</v>
      </c>
      <c r="C352" s="168">
        <v>2020.0</v>
      </c>
      <c r="D352" s="142" t="s">
        <v>14</v>
      </c>
      <c r="E352" s="142" t="s">
        <v>2788</v>
      </c>
      <c r="F352" s="170" t="s">
        <v>3417</v>
      </c>
      <c r="G352" s="171">
        <v>45586.0</v>
      </c>
      <c r="H352" s="172">
        <f t="shared" si="1"/>
        <v>1</v>
      </c>
      <c r="I352" s="173" t="s">
        <v>2265</v>
      </c>
      <c r="J352" s="171">
        <v>45587.0</v>
      </c>
      <c r="K352" s="169" t="s">
        <v>2758</v>
      </c>
      <c r="L352" s="242"/>
      <c r="M352" s="242"/>
      <c r="N352" s="242"/>
      <c r="O352" s="242"/>
      <c r="P352" s="242"/>
      <c r="Q352" s="242"/>
      <c r="R352" s="242"/>
      <c r="S352" s="242"/>
      <c r="T352" s="242"/>
      <c r="U352" s="242"/>
      <c r="V352" s="242"/>
      <c r="W352" s="242"/>
      <c r="X352" s="242"/>
      <c r="Y352" s="242"/>
      <c r="Z352" s="242"/>
      <c r="AA352" s="242"/>
      <c r="AB352" s="242"/>
      <c r="AC352" s="242"/>
    </row>
    <row r="353" ht="15.0" customHeight="1">
      <c r="A353" s="249">
        <v>14185.0</v>
      </c>
      <c r="B353" s="250" t="s">
        <v>1641</v>
      </c>
      <c r="C353" s="251">
        <v>2018.0</v>
      </c>
      <c r="D353" s="250" t="s">
        <v>59</v>
      </c>
      <c r="E353" s="176" t="s">
        <v>912</v>
      </c>
      <c r="F353" s="177" t="s">
        <v>1642</v>
      </c>
      <c r="G353" s="252">
        <v>45587.0</v>
      </c>
      <c r="H353" s="179">
        <f t="shared" si="1"/>
        <v>2</v>
      </c>
      <c r="I353" s="253" t="s">
        <v>3418</v>
      </c>
      <c r="J353" s="178">
        <v>45589.0</v>
      </c>
      <c r="K353" s="175" t="s">
        <v>84</v>
      </c>
      <c r="L353" s="242"/>
      <c r="M353" s="242"/>
      <c r="N353" s="242"/>
      <c r="O353" s="242"/>
      <c r="P353" s="242"/>
      <c r="Q353" s="242"/>
      <c r="R353" s="242"/>
      <c r="S353" s="242"/>
      <c r="T353" s="242"/>
      <c r="U353" s="242"/>
      <c r="V353" s="242"/>
      <c r="W353" s="242"/>
      <c r="X353" s="242"/>
      <c r="Y353" s="242"/>
      <c r="Z353" s="242"/>
      <c r="AA353" s="242"/>
      <c r="AB353" s="242"/>
      <c r="AC353" s="242"/>
    </row>
    <row r="354" ht="15.0" customHeight="1">
      <c r="A354" s="183">
        <v>14187.0</v>
      </c>
      <c r="B354" s="169" t="s">
        <v>3419</v>
      </c>
      <c r="C354" s="168">
        <v>2015.0</v>
      </c>
      <c r="D354" s="142" t="s">
        <v>52</v>
      </c>
      <c r="E354" s="142" t="s">
        <v>47</v>
      </c>
      <c r="F354" s="170" t="s">
        <v>1616</v>
      </c>
      <c r="G354" s="171">
        <v>45587.0</v>
      </c>
      <c r="H354" s="172">
        <f t="shared" si="1"/>
        <v>0</v>
      </c>
      <c r="I354" s="173" t="s">
        <v>133</v>
      </c>
      <c r="J354" s="171">
        <v>45587.0</v>
      </c>
      <c r="K354" s="169" t="s">
        <v>2758</v>
      </c>
    </row>
    <row r="355">
      <c r="A355" s="181">
        <v>14188.0</v>
      </c>
      <c r="B355" s="176" t="s">
        <v>2678</v>
      </c>
      <c r="C355" s="174">
        <v>2015.0</v>
      </c>
      <c r="D355" s="142" t="s">
        <v>14</v>
      </c>
      <c r="E355" s="176" t="s">
        <v>855</v>
      </c>
      <c r="F355" s="177" t="s">
        <v>2679</v>
      </c>
      <c r="G355" s="178">
        <v>45587.0</v>
      </c>
      <c r="H355" s="179">
        <f t="shared" si="1"/>
        <v>48</v>
      </c>
      <c r="I355" s="180" t="s">
        <v>3420</v>
      </c>
      <c r="J355" s="178">
        <v>45635.0</v>
      </c>
      <c r="K355" s="175" t="s">
        <v>2758</v>
      </c>
    </row>
    <row r="356">
      <c r="A356" s="183">
        <v>14189.0</v>
      </c>
      <c r="B356" s="169" t="s">
        <v>3421</v>
      </c>
      <c r="C356" s="168">
        <v>2009.0</v>
      </c>
      <c r="D356" s="142" t="s">
        <v>2629</v>
      </c>
      <c r="E356" s="142" t="s">
        <v>2333</v>
      </c>
      <c r="F356" s="170" t="s">
        <v>3422</v>
      </c>
      <c r="G356" s="171">
        <v>45587.0</v>
      </c>
      <c r="H356" s="172">
        <f t="shared" si="1"/>
        <v>0</v>
      </c>
      <c r="I356" s="173" t="s">
        <v>3423</v>
      </c>
      <c r="J356" s="171">
        <v>45587.0</v>
      </c>
      <c r="K356" s="169" t="s">
        <v>31</v>
      </c>
      <c r="L356" s="242"/>
      <c r="M356" s="242"/>
      <c r="N356" s="242"/>
      <c r="O356" s="242"/>
      <c r="P356" s="242"/>
      <c r="Q356" s="242"/>
      <c r="R356" s="242"/>
      <c r="S356" s="242"/>
      <c r="T356" s="242"/>
      <c r="U356" s="242"/>
      <c r="V356" s="242"/>
      <c r="W356" s="242"/>
      <c r="X356" s="242"/>
      <c r="Y356" s="242"/>
      <c r="Z356" s="242"/>
      <c r="AA356" s="242"/>
      <c r="AB356" s="242"/>
      <c r="AC356" s="242"/>
    </row>
    <row r="357">
      <c r="A357" s="249">
        <v>14191.0</v>
      </c>
      <c r="B357" s="250" t="s">
        <v>2332</v>
      </c>
      <c r="C357" s="251">
        <v>2015.0</v>
      </c>
      <c r="D357" s="142" t="s">
        <v>75</v>
      </c>
      <c r="E357" s="176" t="s">
        <v>2333</v>
      </c>
      <c r="F357" s="177" t="s">
        <v>2334</v>
      </c>
      <c r="G357" s="252">
        <v>45587.0</v>
      </c>
      <c r="H357" s="179">
        <f t="shared" si="1"/>
        <v>37</v>
      </c>
      <c r="I357" s="180" t="s">
        <v>3424</v>
      </c>
      <c r="J357" s="178">
        <v>45624.0</v>
      </c>
      <c r="K357" s="175" t="s">
        <v>2758</v>
      </c>
    </row>
    <row r="358">
      <c r="A358" s="249">
        <v>14194.0</v>
      </c>
      <c r="B358" s="250" t="s">
        <v>1865</v>
      </c>
      <c r="C358" s="251">
        <v>2018.0</v>
      </c>
      <c r="D358" s="142" t="s">
        <v>14</v>
      </c>
      <c r="E358" s="142" t="s">
        <v>277</v>
      </c>
      <c r="F358" s="170" t="s">
        <v>1866</v>
      </c>
      <c r="G358" s="252">
        <v>45587.0</v>
      </c>
      <c r="H358" s="172">
        <f t="shared" si="1"/>
        <v>49</v>
      </c>
      <c r="I358" s="253" t="s">
        <v>3252</v>
      </c>
      <c r="J358" s="258">
        <v>45636.0</v>
      </c>
      <c r="K358" s="169" t="s">
        <v>2758</v>
      </c>
    </row>
    <row r="359">
      <c r="A359" s="181">
        <v>14196.0</v>
      </c>
      <c r="B359" s="175" t="s">
        <v>3425</v>
      </c>
      <c r="C359" s="174">
        <v>2019.0</v>
      </c>
      <c r="D359" s="176" t="s">
        <v>14</v>
      </c>
      <c r="E359" s="176" t="s">
        <v>855</v>
      </c>
      <c r="F359" s="177" t="s">
        <v>3426</v>
      </c>
      <c r="G359" s="178">
        <v>45587.0</v>
      </c>
      <c r="H359" s="179">
        <f t="shared" si="1"/>
        <v>3</v>
      </c>
      <c r="I359" s="180" t="s">
        <v>3427</v>
      </c>
      <c r="J359" s="178">
        <v>45590.0</v>
      </c>
      <c r="K359" s="175" t="s">
        <v>84</v>
      </c>
    </row>
    <row r="360" ht="15.0" customHeight="1">
      <c r="A360" s="237">
        <v>14196.0</v>
      </c>
      <c r="B360" s="238" t="s">
        <v>3425</v>
      </c>
      <c r="C360" s="239">
        <v>2020.0</v>
      </c>
      <c r="D360" s="238" t="s">
        <v>14</v>
      </c>
      <c r="E360" s="238" t="s">
        <v>855</v>
      </c>
      <c r="F360" s="240" t="s">
        <v>3426</v>
      </c>
      <c r="G360" s="226">
        <v>45587.0</v>
      </c>
      <c r="H360" s="172">
        <f t="shared" si="1"/>
        <v>6</v>
      </c>
      <c r="I360" s="208" t="s">
        <v>3428</v>
      </c>
      <c r="J360" s="243">
        <v>45593.0</v>
      </c>
      <c r="K360" s="169" t="s">
        <v>31</v>
      </c>
    </row>
    <row r="361">
      <c r="A361" s="181">
        <v>14197.0</v>
      </c>
      <c r="B361" s="176" t="s">
        <v>2849</v>
      </c>
      <c r="C361" s="174">
        <v>2018.0</v>
      </c>
      <c r="D361" s="176" t="s">
        <v>14</v>
      </c>
      <c r="E361" s="176" t="s">
        <v>855</v>
      </c>
      <c r="F361" s="177" t="s">
        <v>2850</v>
      </c>
      <c r="G361" s="178">
        <v>45587.0</v>
      </c>
      <c r="H361" s="179">
        <f t="shared" si="1"/>
        <v>20</v>
      </c>
      <c r="I361" s="182" t="s">
        <v>3429</v>
      </c>
      <c r="J361" s="257">
        <v>45607.0</v>
      </c>
      <c r="K361" s="175" t="s">
        <v>31</v>
      </c>
    </row>
    <row r="362">
      <c r="A362" s="249">
        <v>14199.0</v>
      </c>
      <c r="B362" s="250" t="s">
        <v>2930</v>
      </c>
      <c r="C362" s="251">
        <v>2018.0</v>
      </c>
      <c r="D362" s="250" t="s">
        <v>14</v>
      </c>
      <c r="E362" s="142" t="s">
        <v>3430</v>
      </c>
      <c r="F362" s="170" t="s">
        <v>2931</v>
      </c>
      <c r="G362" s="252">
        <v>45588.0</v>
      </c>
      <c r="H362" s="172">
        <f t="shared" si="1"/>
        <v>1</v>
      </c>
      <c r="I362" s="253" t="s">
        <v>3431</v>
      </c>
      <c r="J362" s="171">
        <v>45589.0</v>
      </c>
      <c r="K362" s="169" t="s">
        <v>2758</v>
      </c>
    </row>
    <row r="363">
      <c r="A363" s="181">
        <v>14204.0</v>
      </c>
      <c r="B363" s="175" t="s">
        <v>1465</v>
      </c>
      <c r="C363" s="174">
        <v>2022.0</v>
      </c>
      <c r="D363" s="176" t="s">
        <v>52</v>
      </c>
      <c r="E363" s="176" t="s">
        <v>53</v>
      </c>
      <c r="F363" s="234">
        <v>45339.0</v>
      </c>
      <c r="G363" s="178">
        <v>45588.0</v>
      </c>
      <c r="H363" s="179">
        <f t="shared" si="1"/>
        <v>0</v>
      </c>
      <c r="I363" s="180" t="s">
        <v>3432</v>
      </c>
      <c r="J363" s="178">
        <v>45588.0</v>
      </c>
      <c r="K363" s="175" t="s">
        <v>2758</v>
      </c>
    </row>
    <row r="364">
      <c r="A364" s="237">
        <v>14205.0</v>
      </c>
      <c r="B364" s="238" t="s">
        <v>3433</v>
      </c>
      <c r="C364" s="239">
        <v>2011.0</v>
      </c>
      <c r="D364" s="238" t="s">
        <v>2647</v>
      </c>
      <c r="E364" s="238" t="s">
        <v>53</v>
      </c>
      <c r="F364" s="240" t="s">
        <v>3434</v>
      </c>
      <c r="G364" s="226">
        <v>45588.0</v>
      </c>
      <c r="H364" s="172">
        <f t="shared" si="1"/>
        <v>8</v>
      </c>
      <c r="I364" s="173" t="s">
        <v>3435</v>
      </c>
      <c r="J364" s="171">
        <v>45596.0</v>
      </c>
      <c r="K364" s="169" t="s">
        <v>2758</v>
      </c>
    </row>
    <row r="365">
      <c r="A365" s="244">
        <v>14210.0</v>
      </c>
      <c r="B365" s="245" t="s">
        <v>2455</v>
      </c>
      <c r="C365" s="246">
        <v>2022.0</v>
      </c>
      <c r="D365" s="245" t="s">
        <v>52</v>
      </c>
      <c r="E365" s="245" t="s">
        <v>459</v>
      </c>
      <c r="F365" s="247" t="s">
        <v>2456</v>
      </c>
      <c r="G365" s="248">
        <v>45588.0</v>
      </c>
      <c r="H365" s="179">
        <f t="shared" si="1"/>
        <v>2</v>
      </c>
      <c r="I365" s="180" t="s">
        <v>3436</v>
      </c>
      <c r="J365" s="178">
        <v>45590.0</v>
      </c>
      <c r="K365" s="175" t="s">
        <v>37</v>
      </c>
      <c r="L365" s="242"/>
      <c r="M365" s="242"/>
      <c r="N365" s="242"/>
      <c r="O365" s="242"/>
      <c r="P365" s="242"/>
      <c r="Q365" s="242"/>
      <c r="R365" s="242"/>
      <c r="S365" s="242"/>
      <c r="T365" s="242"/>
      <c r="U365" s="242"/>
      <c r="V365" s="242"/>
      <c r="W365" s="242"/>
      <c r="X365" s="242"/>
      <c r="Y365" s="242"/>
      <c r="Z365" s="242"/>
      <c r="AA365" s="242"/>
      <c r="AB365" s="242"/>
      <c r="AC365" s="242"/>
    </row>
    <row r="366">
      <c r="A366" s="237">
        <v>14211.0</v>
      </c>
      <c r="B366" s="238" t="s">
        <v>1158</v>
      </c>
      <c r="C366" s="239">
        <v>2020.0</v>
      </c>
      <c r="D366" s="238" t="s">
        <v>105</v>
      </c>
      <c r="E366" s="238" t="s">
        <v>459</v>
      </c>
      <c r="F366" s="254">
        <v>45488.0</v>
      </c>
      <c r="G366" s="226">
        <v>45588.0</v>
      </c>
      <c r="H366" s="172">
        <f t="shared" si="1"/>
        <v>2</v>
      </c>
      <c r="I366" s="173" t="s">
        <v>3437</v>
      </c>
      <c r="J366" s="171">
        <v>45590.0</v>
      </c>
      <c r="K366" s="169" t="s">
        <v>31</v>
      </c>
      <c r="L366" s="259"/>
      <c r="M366" s="259"/>
      <c r="N366" s="259"/>
      <c r="O366" s="259"/>
      <c r="P366" s="259"/>
      <c r="Q366" s="259"/>
      <c r="R366" s="259"/>
      <c r="S366" s="259"/>
      <c r="T366" s="259"/>
      <c r="U366" s="259"/>
      <c r="V366" s="259"/>
      <c r="W366" s="259"/>
      <c r="X366" s="259"/>
      <c r="Y366" s="259"/>
      <c r="Z366" s="259"/>
      <c r="AA366" s="259"/>
      <c r="AB366" s="259"/>
      <c r="AC366" s="259"/>
      <c r="AD366" s="259"/>
      <c r="AE366" s="259"/>
      <c r="AF366" s="259"/>
      <c r="AG366" s="259"/>
      <c r="AH366" s="259"/>
      <c r="AI366" s="259"/>
      <c r="AJ366" s="259"/>
      <c r="AK366" s="259"/>
      <c r="AL366" s="259"/>
      <c r="AM366" s="259"/>
      <c r="AN366" s="259"/>
      <c r="AO366" s="259"/>
    </row>
    <row r="367">
      <c r="A367" s="237">
        <v>14213.0</v>
      </c>
      <c r="B367" s="238" t="s">
        <v>1237</v>
      </c>
      <c r="C367" s="239">
        <v>2014.0</v>
      </c>
      <c r="D367" s="238" t="s">
        <v>3438</v>
      </c>
      <c r="E367" s="238" t="s">
        <v>169</v>
      </c>
      <c r="F367" s="240" t="s">
        <v>1238</v>
      </c>
      <c r="G367" s="226">
        <v>45588.0</v>
      </c>
      <c r="H367" s="179">
        <f t="shared" si="1"/>
        <v>15</v>
      </c>
      <c r="I367" s="208" t="s">
        <v>3439</v>
      </c>
      <c r="J367" s="178">
        <v>45603.0</v>
      </c>
      <c r="K367" s="175" t="s">
        <v>31</v>
      </c>
      <c r="L367" s="242"/>
      <c r="M367" s="242"/>
      <c r="N367" s="242"/>
      <c r="O367" s="242"/>
      <c r="P367" s="242"/>
      <c r="Q367" s="242"/>
      <c r="R367" s="242"/>
      <c r="S367" s="242"/>
      <c r="T367" s="242"/>
      <c r="U367" s="242"/>
      <c r="V367" s="242"/>
      <c r="W367" s="242"/>
      <c r="X367" s="242"/>
      <c r="Y367" s="242"/>
      <c r="Z367" s="242"/>
      <c r="AA367" s="242"/>
      <c r="AB367" s="242"/>
      <c r="AC367" s="242"/>
    </row>
    <row r="368">
      <c r="A368" s="183">
        <v>14222.0</v>
      </c>
      <c r="B368" s="169" t="s">
        <v>1116</v>
      </c>
      <c r="C368" s="168">
        <v>2020.0</v>
      </c>
      <c r="D368" s="142" t="s">
        <v>197</v>
      </c>
      <c r="E368" s="142" t="s">
        <v>47</v>
      </c>
      <c r="F368" s="170" t="s">
        <v>3057</v>
      </c>
      <c r="G368" s="171">
        <v>45589.0</v>
      </c>
      <c r="H368" s="172">
        <f t="shared" si="1"/>
        <v>0</v>
      </c>
      <c r="I368" s="173" t="s">
        <v>3440</v>
      </c>
      <c r="J368" s="171">
        <v>45589.0</v>
      </c>
      <c r="K368" s="169" t="s">
        <v>2758</v>
      </c>
      <c r="L368" s="260"/>
      <c r="M368" s="260"/>
      <c r="N368" s="260"/>
      <c r="O368" s="260"/>
      <c r="P368" s="260"/>
      <c r="Q368" s="260"/>
      <c r="R368" s="260"/>
      <c r="S368" s="260"/>
      <c r="T368" s="260"/>
      <c r="U368" s="260"/>
      <c r="V368" s="260"/>
      <c r="W368" s="260"/>
      <c r="X368" s="260"/>
      <c r="Y368" s="260"/>
      <c r="Z368" s="260"/>
      <c r="AA368" s="260"/>
      <c r="AB368" s="260"/>
      <c r="AC368" s="260"/>
      <c r="AD368" s="260"/>
      <c r="AE368" s="260"/>
      <c r="AF368" s="260"/>
      <c r="AG368" s="260"/>
      <c r="AH368" s="260"/>
      <c r="AI368" s="260"/>
      <c r="AJ368" s="260"/>
      <c r="AK368" s="260"/>
      <c r="AL368" s="260"/>
      <c r="AM368" s="260"/>
      <c r="AN368" s="260"/>
      <c r="AO368" s="260"/>
    </row>
    <row r="369" ht="15.0" customHeight="1">
      <c r="A369" s="244">
        <v>14223.0</v>
      </c>
      <c r="B369" s="245" t="s">
        <v>2499</v>
      </c>
      <c r="C369" s="246">
        <v>2014.0</v>
      </c>
      <c r="D369" s="245" t="s">
        <v>2857</v>
      </c>
      <c r="E369" s="245" t="s">
        <v>207</v>
      </c>
      <c r="F369" s="261">
        <v>45495.0</v>
      </c>
      <c r="G369" s="248">
        <v>45589.0</v>
      </c>
      <c r="H369" s="179">
        <f t="shared" si="1"/>
        <v>18</v>
      </c>
      <c r="I369" s="232" t="s">
        <v>3441</v>
      </c>
      <c r="J369" s="257">
        <v>45607.0</v>
      </c>
      <c r="K369" s="175" t="s">
        <v>31</v>
      </c>
      <c r="L369" s="262" t="s">
        <v>31</v>
      </c>
      <c r="M369" s="262" t="s">
        <v>31</v>
      </c>
      <c r="N369" s="262" t="s">
        <v>31</v>
      </c>
      <c r="O369" s="262" t="s">
        <v>31</v>
      </c>
      <c r="P369" s="262" t="s">
        <v>31</v>
      </c>
      <c r="Q369" s="262" t="s">
        <v>31</v>
      </c>
      <c r="R369" s="262" t="s">
        <v>31</v>
      </c>
      <c r="S369" s="262" t="s">
        <v>31</v>
      </c>
      <c r="T369" s="262" t="s">
        <v>31</v>
      </c>
      <c r="U369" s="262" t="s">
        <v>31</v>
      </c>
      <c r="V369" s="262" t="s">
        <v>31</v>
      </c>
      <c r="W369" s="262" t="s">
        <v>31</v>
      </c>
      <c r="X369" s="262" t="s">
        <v>31</v>
      </c>
      <c r="Y369" s="262" t="s">
        <v>31</v>
      </c>
      <c r="Z369" s="262" t="s">
        <v>31</v>
      </c>
      <c r="AA369" s="262" t="s">
        <v>31</v>
      </c>
      <c r="AB369" s="262" t="s">
        <v>31</v>
      </c>
      <c r="AC369" s="262" t="s">
        <v>31</v>
      </c>
      <c r="AD369" s="262"/>
    </row>
    <row r="370">
      <c r="A370" s="183">
        <v>14226.0</v>
      </c>
      <c r="B370" s="142" t="s">
        <v>26</v>
      </c>
      <c r="C370" s="168">
        <v>2013.0</v>
      </c>
      <c r="D370" s="250" t="s">
        <v>3442</v>
      </c>
      <c r="E370" s="263" t="s">
        <v>28</v>
      </c>
      <c r="F370" s="170" t="s">
        <v>29</v>
      </c>
      <c r="G370" s="171">
        <v>45589.0</v>
      </c>
      <c r="H370" s="172">
        <f t="shared" si="1"/>
        <v>8</v>
      </c>
      <c r="I370" s="211" t="s">
        <v>3443</v>
      </c>
      <c r="J370" s="228">
        <v>45597.0</v>
      </c>
      <c r="K370" s="169" t="s">
        <v>1200</v>
      </c>
    </row>
    <row r="371">
      <c r="A371" s="181">
        <v>14226.0</v>
      </c>
      <c r="B371" s="175" t="s">
        <v>26</v>
      </c>
      <c r="C371" s="174">
        <v>2013.0</v>
      </c>
      <c r="D371" s="176" t="s">
        <v>105</v>
      </c>
      <c r="E371" s="176" t="s">
        <v>28</v>
      </c>
      <c r="F371" s="177" t="s">
        <v>29</v>
      </c>
      <c r="G371" s="178">
        <v>45589.0</v>
      </c>
      <c r="H371" s="179">
        <f t="shared" si="1"/>
        <v>82</v>
      </c>
      <c r="I371" s="180" t="s">
        <v>3444</v>
      </c>
      <c r="J371" s="178">
        <v>45671.0</v>
      </c>
      <c r="K371" s="175" t="s">
        <v>31</v>
      </c>
    </row>
    <row r="372">
      <c r="A372" s="183">
        <v>14227.0</v>
      </c>
      <c r="B372" s="169" t="s">
        <v>3445</v>
      </c>
      <c r="C372" s="168">
        <v>2014.0</v>
      </c>
      <c r="D372" s="142" t="s">
        <v>2872</v>
      </c>
      <c r="E372" s="142" t="s">
        <v>82</v>
      </c>
      <c r="F372" s="170" t="s">
        <v>3446</v>
      </c>
      <c r="G372" s="171">
        <v>45589.0</v>
      </c>
      <c r="H372" s="172">
        <f t="shared" si="1"/>
        <v>0</v>
      </c>
      <c r="I372" s="173" t="s">
        <v>133</v>
      </c>
      <c r="J372" s="171">
        <v>45589.0</v>
      </c>
      <c r="K372" s="169" t="s">
        <v>2758</v>
      </c>
    </row>
    <row r="373">
      <c r="A373" s="249">
        <v>14228.0</v>
      </c>
      <c r="B373" s="250" t="s">
        <v>2256</v>
      </c>
      <c r="C373" s="251">
        <v>2020.0</v>
      </c>
      <c r="D373" s="250" t="s">
        <v>3447</v>
      </c>
      <c r="E373" s="250" t="s">
        <v>3448</v>
      </c>
      <c r="F373" s="264" t="s">
        <v>2257</v>
      </c>
      <c r="G373" s="252">
        <v>45589.0</v>
      </c>
      <c r="H373" s="179">
        <f t="shared" si="1"/>
        <v>15</v>
      </c>
      <c r="I373" s="253" t="s">
        <v>3449</v>
      </c>
      <c r="J373" s="265">
        <v>45604.0</v>
      </c>
      <c r="K373" s="266" t="s">
        <v>31</v>
      </c>
    </row>
    <row r="374">
      <c r="A374" s="183">
        <v>14230.0</v>
      </c>
      <c r="B374" s="169" t="s">
        <v>147</v>
      </c>
      <c r="C374" s="168">
        <v>2014.0</v>
      </c>
      <c r="D374" s="142" t="s">
        <v>148</v>
      </c>
      <c r="E374" s="142" t="s">
        <v>21</v>
      </c>
      <c r="F374" s="170" t="s">
        <v>3450</v>
      </c>
      <c r="G374" s="171">
        <v>45590.0</v>
      </c>
      <c r="H374" s="172">
        <f t="shared" si="1"/>
        <v>0</v>
      </c>
      <c r="I374" s="173" t="s">
        <v>3451</v>
      </c>
      <c r="J374" s="171">
        <v>45590.0</v>
      </c>
      <c r="K374" s="169" t="s">
        <v>2758</v>
      </c>
    </row>
    <row r="375">
      <c r="A375" s="181">
        <v>14231.0</v>
      </c>
      <c r="B375" s="175" t="s">
        <v>2978</v>
      </c>
      <c r="C375" s="174">
        <v>2014.0</v>
      </c>
      <c r="D375" s="176" t="s">
        <v>148</v>
      </c>
      <c r="E375" s="176" t="s">
        <v>21</v>
      </c>
      <c r="F375" s="177" t="s">
        <v>2979</v>
      </c>
      <c r="G375" s="178">
        <v>45590.0</v>
      </c>
      <c r="H375" s="179">
        <f t="shared" si="1"/>
        <v>0</v>
      </c>
      <c r="I375" s="180" t="s">
        <v>3452</v>
      </c>
      <c r="J375" s="178">
        <v>45590.0</v>
      </c>
      <c r="K375" s="175" t="s">
        <v>2758</v>
      </c>
    </row>
    <row r="376">
      <c r="A376" s="183">
        <v>14234.0</v>
      </c>
      <c r="B376" s="169" t="s">
        <v>1840</v>
      </c>
      <c r="C376" s="168">
        <v>2019.0</v>
      </c>
      <c r="D376" s="142" t="s">
        <v>14</v>
      </c>
      <c r="E376" s="142" t="s">
        <v>399</v>
      </c>
      <c r="F376" s="170" t="s">
        <v>1841</v>
      </c>
      <c r="G376" s="171">
        <v>45590.0</v>
      </c>
      <c r="H376" s="172">
        <f t="shared" si="1"/>
        <v>0</v>
      </c>
      <c r="I376" s="173" t="s">
        <v>3453</v>
      </c>
      <c r="J376" s="171">
        <v>45590.0</v>
      </c>
      <c r="K376" s="169" t="s">
        <v>2758</v>
      </c>
    </row>
    <row r="377">
      <c r="A377" s="181">
        <v>14235.0</v>
      </c>
      <c r="B377" s="175" t="s">
        <v>2846</v>
      </c>
      <c r="C377" s="174">
        <v>2019.0</v>
      </c>
      <c r="D377" s="176" t="s">
        <v>14</v>
      </c>
      <c r="E377" s="176" t="s">
        <v>53</v>
      </c>
      <c r="F377" s="177" t="s">
        <v>2847</v>
      </c>
      <c r="G377" s="178">
        <v>45590.0</v>
      </c>
      <c r="H377" s="179">
        <f t="shared" si="1"/>
        <v>91</v>
      </c>
      <c r="I377" s="267" t="s">
        <v>3454</v>
      </c>
      <c r="J377" s="178">
        <v>45681.0</v>
      </c>
      <c r="K377" s="175" t="s">
        <v>2758</v>
      </c>
    </row>
    <row r="378">
      <c r="A378" s="183">
        <v>14237.0</v>
      </c>
      <c r="B378" s="169" t="s">
        <v>3362</v>
      </c>
      <c r="C378" s="168">
        <v>2019.0</v>
      </c>
      <c r="D378" s="142" t="s">
        <v>3455</v>
      </c>
      <c r="E378" s="142" t="s">
        <v>137</v>
      </c>
      <c r="F378" s="170" t="s">
        <v>3363</v>
      </c>
      <c r="G378" s="171">
        <v>45593.0</v>
      </c>
      <c r="H378" s="172">
        <f t="shared" si="1"/>
        <v>1</v>
      </c>
      <c r="I378" s="173" t="s">
        <v>3456</v>
      </c>
      <c r="J378" s="171">
        <v>45594.0</v>
      </c>
      <c r="K378" s="169" t="s">
        <v>31</v>
      </c>
    </row>
    <row r="379">
      <c r="A379" s="181">
        <v>14239.0</v>
      </c>
      <c r="B379" s="175" t="s">
        <v>717</v>
      </c>
      <c r="C379" s="174">
        <v>2022.0</v>
      </c>
      <c r="D379" s="176" t="s">
        <v>136</v>
      </c>
      <c r="E379" s="176" t="s">
        <v>99</v>
      </c>
      <c r="F379" s="177" t="s">
        <v>719</v>
      </c>
      <c r="G379" s="178">
        <v>45594.0</v>
      </c>
      <c r="H379" s="179">
        <f t="shared" si="1"/>
        <v>0</v>
      </c>
      <c r="I379" s="180" t="s">
        <v>3457</v>
      </c>
      <c r="J379" s="178">
        <v>45594.0</v>
      </c>
      <c r="K379" s="175" t="s">
        <v>2758</v>
      </c>
    </row>
    <row r="380" ht="15.0" customHeight="1">
      <c r="A380" s="183">
        <v>14240.0</v>
      </c>
      <c r="B380" s="169" t="s">
        <v>98</v>
      </c>
      <c r="C380" s="168">
        <v>2022.0</v>
      </c>
      <c r="D380" s="142" t="s">
        <v>3458</v>
      </c>
      <c r="E380" s="142" t="s">
        <v>531</v>
      </c>
      <c r="F380" s="170" t="s">
        <v>100</v>
      </c>
      <c r="G380" s="171">
        <v>45594.0</v>
      </c>
      <c r="H380" s="172">
        <f t="shared" si="1"/>
        <v>0</v>
      </c>
      <c r="I380" s="173" t="s">
        <v>3459</v>
      </c>
      <c r="J380" s="171">
        <v>45594.0</v>
      </c>
      <c r="K380" s="169" t="s">
        <v>2758</v>
      </c>
    </row>
    <row r="381">
      <c r="A381" s="181">
        <v>14241.0</v>
      </c>
      <c r="B381" s="175" t="s">
        <v>2002</v>
      </c>
      <c r="C381" s="174">
        <v>2022.0</v>
      </c>
      <c r="D381" s="176" t="s">
        <v>52</v>
      </c>
      <c r="E381" s="176" t="s">
        <v>3460</v>
      </c>
      <c r="F381" s="177" t="s">
        <v>2003</v>
      </c>
      <c r="G381" s="178">
        <v>45594.0</v>
      </c>
      <c r="H381" s="179">
        <f t="shared" si="1"/>
        <v>0</v>
      </c>
      <c r="I381" s="180" t="s">
        <v>3461</v>
      </c>
      <c r="J381" s="178">
        <v>45594.0</v>
      </c>
      <c r="K381" s="175" t="s">
        <v>2758</v>
      </c>
    </row>
    <row r="382">
      <c r="A382" s="183">
        <v>14249.0</v>
      </c>
      <c r="B382" s="169" t="s">
        <v>767</v>
      </c>
      <c r="C382" s="168">
        <v>2022.0</v>
      </c>
      <c r="D382" s="142" t="s">
        <v>52</v>
      </c>
      <c r="E382" s="142" t="s">
        <v>47</v>
      </c>
      <c r="F382" s="170" t="s">
        <v>768</v>
      </c>
      <c r="G382" s="171">
        <v>45594.0</v>
      </c>
      <c r="H382" s="172">
        <f t="shared" si="1"/>
        <v>0</v>
      </c>
      <c r="I382" s="173" t="s">
        <v>3462</v>
      </c>
      <c r="J382" s="171">
        <v>45594.0</v>
      </c>
      <c r="K382" s="169" t="s">
        <v>2758</v>
      </c>
    </row>
    <row r="383">
      <c r="A383" s="181">
        <v>14251.0</v>
      </c>
      <c r="B383" s="175" t="s">
        <v>111</v>
      </c>
      <c r="C383" s="174">
        <v>2022.0</v>
      </c>
      <c r="D383" s="176" t="s">
        <v>52</v>
      </c>
      <c r="E383" s="176" t="s">
        <v>28</v>
      </c>
      <c r="F383" s="177" t="s">
        <v>112</v>
      </c>
      <c r="G383" s="178">
        <v>45595.0</v>
      </c>
      <c r="H383" s="179">
        <f t="shared" si="1"/>
        <v>0</v>
      </c>
      <c r="I383" s="180" t="s">
        <v>3463</v>
      </c>
      <c r="J383" s="178">
        <v>45595.0</v>
      </c>
      <c r="K383" s="175" t="s">
        <v>2758</v>
      </c>
    </row>
    <row r="384" ht="15.0" customHeight="1">
      <c r="A384" s="183">
        <v>14256.0</v>
      </c>
      <c r="B384" s="169" t="s">
        <v>3109</v>
      </c>
      <c r="C384" s="168">
        <v>2022.0</v>
      </c>
      <c r="D384" s="236" t="s">
        <v>52</v>
      </c>
      <c r="E384" s="142" t="s">
        <v>459</v>
      </c>
      <c r="F384" s="170" t="s">
        <v>3464</v>
      </c>
      <c r="G384" s="171">
        <v>45595.0</v>
      </c>
      <c r="H384" s="172">
        <f t="shared" si="1"/>
        <v>0</v>
      </c>
      <c r="I384" s="173" t="s">
        <v>3465</v>
      </c>
      <c r="J384" s="171">
        <v>45595.0</v>
      </c>
      <c r="K384" s="169" t="s">
        <v>2758</v>
      </c>
    </row>
    <row r="385">
      <c r="A385" s="181">
        <v>14259.0</v>
      </c>
      <c r="B385" s="176" t="s">
        <v>3466</v>
      </c>
      <c r="C385" s="174">
        <v>2020.0</v>
      </c>
      <c r="D385" s="176" t="s">
        <v>105</v>
      </c>
      <c r="E385" s="233" t="s">
        <v>792</v>
      </c>
      <c r="F385" s="234">
        <v>45641.0</v>
      </c>
      <c r="G385" s="178">
        <v>45595.0</v>
      </c>
      <c r="H385" s="179">
        <f t="shared" si="1"/>
        <v>1</v>
      </c>
      <c r="I385" s="182" t="s">
        <v>3467</v>
      </c>
      <c r="J385" s="178">
        <v>45596.0</v>
      </c>
      <c r="K385" s="175" t="s">
        <v>37</v>
      </c>
      <c r="L385" s="242"/>
      <c r="M385" s="242"/>
      <c r="N385" s="242"/>
      <c r="O385" s="242"/>
      <c r="P385" s="242"/>
      <c r="Q385" s="242"/>
      <c r="R385" s="242"/>
      <c r="S385" s="242"/>
      <c r="T385" s="242"/>
      <c r="U385" s="242"/>
      <c r="V385" s="242"/>
      <c r="W385" s="242"/>
      <c r="X385" s="242"/>
      <c r="Y385" s="242"/>
      <c r="Z385" s="242"/>
      <c r="AA385" s="242"/>
      <c r="AB385" s="242"/>
      <c r="AC385" s="242"/>
    </row>
    <row r="386">
      <c r="A386" s="183">
        <v>14259.0</v>
      </c>
      <c r="B386" s="169" t="s">
        <v>3466</v>
      </c>
      <c r="C386" s="168">
        <v>2020.0</v>
      </c>
      <c r="D386" s="142" t="s">
        <v>105</v>
      </c>
      <c r="E386" s="142" t="s">
        <v>459</v>
      </c>
      <c r="F386" s="241">
        <v>45641.0</v>
      </c>
      <c r="G386" s="171">
        <v>45604.0</v>
      </c>
      <c r="H386" s="172">
        <f t="shared" si="1"/>
        <v>0</v>
      </c>
      <c r="I386" s="173" t="s">
        <v>3468</v>
      </c>
      <c r="J386" s="171">
        <v>45604.0</v>
      </c>
      <c r="K386" s="169" t="s">
        <v>2758</v>
      </c>
      <c r="L386" s="242"/>
      <c r="M386" s="242"/>
      <c r="N386" s="242"/>
      <c r="O386" s="242"/>
      <c r="P386" s="242"/>
      <c r="Q386" s="242"/>
      <c r="R386" s="242"/>
      <c r="S386" s="242"/>
      <c r="T386" s="242"/>
      <c r="U386" s="242"/>
      <c r="V386" s="242"/>
      <c r="W386" s="242"/>
      <c r="X386" s="242"/>
      <c r="Y386" s="242"/>
      <c r="Z386" s="242"/>
      <c r="AA386" s="242"/>
      <c r="AB386" s="242"/>
      <c r="AC386" s="242"/>
    </row>
    <row r="387" ht="15.0" customHeight="1">
      <c r="A387" s="181">
        <v>14260.0</v>
      </c>
      <c r="B387" s="176" t="s">
        <v>250</v>
      </c>
      <c r="C387" s="174">
        <v>2014.0</v>
      </c>
      <c r="D387" s="176" t="s">
        <v>3469</v>
      </c>
      <c r="E387" s="176" t="s">
        <v>2983</v>
      </c>
      <c r="F387" s="177" t="s">
        <v>3055</v>
      </c>
      <c r="G387" s="178">
        <v>45595.0</v>
      </c>
      <c r="H387" s="179">
        <f t="shared" si="1"/>
        <v>1</v>
      </c>
      <c r="I387" s="182" t="s">
        <v>3470</v>
      </c>
      <c r="J387" s="178">
        <v>45596.0</v>
      </c>
      <c r="K387" s="175" t="s">
        <v>2758</v>
      </c>
      <c r="L387" s="242"/>
      <c r="M387" s="242"/>
      <c r="N387" s="242"/>
      <c r="O387" s="242"/>
      <c r="P387" s="242"/>
      <c r="Q387" s="242"/>
      <c r="R387" s="242"/>
      <c r="S387" s="242"/>
      <c r="T387" s="242"/>
      <c r="U387" s="242"/>
      <c r="V387" s="242"/>
      <c r="W387" s="242"/>
      <c r="X387" s="242"/>
      <c r="Y387" s="242"/>
      <c r="Z387" s="242"/>
      <c r="AA387" s="242"/>
      <c r="AB387" s="242"/>
      <c r="AC387" s="242"/>
    </row>
    <row r="388">
      <c r="A388" s="183">
        <v>14265.0</v>
      </c>
      <c r="B388" s="142" t="s">
        <v>2687</v>
      </c>
      <c r="C388" s="168">
        <v>2018.0</v>
      </c>
      <c r="D388" s="142" t="s">
        <v>14</v>
      </c>
      <c r="E388" s="142" t="s">
        <v>725</v>
      </c>
      <c r="F388" s="170" t="s">
        <v>2688</v>
      </c>
      <c r="G388" s="171">
        <v>45596.0</v>
      </c>
      <c r="H388" s="172">
        <f t="shared" si="1"/>
        <v>35</v>
      </c>
      <c r="I388" s="211" t="s">
        <v>3471</v>
      </c>
      <c r="J388" s="268">
        <v>45631.0</v>
      </c>
      <c r="K388" s="169" t="s">
        <v>37</v>
      </c>
    </row>
    <row r="389">
      <c r="A389" s="174">
        <v>14268.0</v>
      </c>
      <c r="B389" s="175" t="s">
        <v>2274</v>
      </c>
      <c r="C389" s="174">
        <v>2018.0</v>
      </c>
      <c r="D389" s="176" t="s">
        <v>14</v>
      </c>
      <c r="E389" s="176" t="s">
        <v>183</v>
      </c>
      <c r="F389" s="177" t="s">
        <v>2275</v>
      </c>
      <c r="G389" s="178">
        <v>45596.0</v>
      </c>
      <c r="H389" s="179">
        <f t="shared" si="1"/>
        <v>28</v>
      </c>
      <c r="I389" s="180" t="s">
        <v>3472</v>
      </c>
      <c r="J389" s="178">
        <v>45624.0</v>
      </c>
      <c r="K389" s="175" t="s">
        <v>2758</v>
      </c>
    </row>
    <row r="390">
      <c r="A390" s="183">
        <v>14272.0</v>
      </c>
      <c r="B390" s="142" t="s">
        <v>3473</v>
      </c>
      <c r="C390" s="168">
        <v>2015.0</v>
      </c>
      <c r="D390" s="142" t="s">
        <v>14</v>
      </c>
      <c r="E390" s="263" t="s">
        <v>337</v>
      </c>
      <c r="F390" s="170" t="s">
        <v>3474</v>
      </c>
      <c r="G390" s="171">
        <v>45596.0</v>
      </c>
      <c r="H390" s="172">
        <f t="shared" si="1"/>
        <v>35</v>
      </c>
      <c r="I390" s="211" t="s">
        <v>668</v>
      </c>
      <c r="J390" s="268">
        <v>45631.0</v>
      </c>
      <c r="K390" s="169" t="s">
        <v>31</v>
      </c>
    </row>
    <row r="391">
      <c r="A391" s="181">
        <v>14277.0</v>
      </c>
      <c r="B391" s="176" t="s">
        <v>605</v>
      </c>
      <c r="C391" s="174">
        <v>2020.0</v>
      </c>
      <c r="D391" s="176" t="s">
        <v>14</v>
      </c>
      <c r="E391" s="176" t="s">
        <v>2333</v>
      </c>
      <c r="F391" s="177" t="s">
        <v>3475</v>
      </c>
      <c r="G391" s="178">
        <v>45597.0</v>
      </c>
      <c r="H391" s="179">
        <f t="shared" si="1"/>
        <v>34</v>
      </c>
      <c r="I391" s="182" t="s">
        <v>3476</v>
      </c>
      <c r="J391" s="269">
        <v>45631.0</v>
      </c>
      <c r="K391" s="175" t="s">
        <v>2758</v>
      </c>
    </row>
    <row r="392">
      <c r="A392" s="183">
        <v>14284.0</v>
      </c>
      <c r="B392" s="169" t="s">
        <v>2927</v>
      </c>
      <c r="C392" s="168">
        <v>2022.0</v>
      </c>
      <c r="D392" s="142" t="s">
        <v>52</v>
      </c>
      <c r="E392" s="142" t="s">
        <v>610</v>
      </c>
      <c r="F392" s="170" t="s">
        <v>2928</v>
      </c>
      <c r="G392" s="171">
        <v>45600.0</v>
      </c>
      <c r="H392" s="172">
        <f t="shared" si="1"/>
        <v>0</v>
      </c>
      <c r="I392" s="173" t="s">
        <v>3477</v>
      </c>
      <c r="J392" s="171">
        <v>45600.0</v>
      </c>
      <c r="K392" s="169" t="s">
        <v>2758</v>
      </c>
      <c r="L392" s="242"/>
      <c r="M392" s="242"/>
      <c r="N392" s="242"/>
      <c r="O392" s="242"/>
      <c r="P392" s="242"/>
      <c r="Q392" s="242"/>
      <c r="R392" s="242"/>
      <c r="S392" s="242"/>
      <c r="T392" s="242"/>
      <c r="U392" s="242"/>
      <c r="V392" s="242"/>
      <c r="W392" s="242"/>
      <c r="X392" s="242"/>
      <c r="Y392" s="242"/>
      <c r="Z392" s="242"/>
      <c r="AA392" s="242"/>
      <c r="AB392" s="242"/>
      <c r="AC392" s="242"/>
    </row>
    <row r="393">
      <c r="A393" s="181">
        <v>14286.0</v>
      </c>
      <c r="B393" s="175" t="s">
        <v>2991</v>
      </c>
      <c r="C393" s="174">
        <v>2020.0</v>
      </c>
      <c r="D393" s="176" t="s">
        <v>3455</v>
      </c>
      <c r="E393" s="176" t="s">
        <v>405</v>
      </c>
      <c r="F393" s="177" t="s">
        <v>2992</v>
      </c>
      <c r="G393" s="178">
        <v>45600.0</v>
      </c>
      <c r="H393" s="179">
        <f t="shared" si="1"/>
        <v>0</v>
      </c>
      <c r="I393" s="180" t="s">
        <v>3478</v>
      </c>
      <c r="J393" s="178">
        <v>45600.0</v>
      </c>
      <c r="K393" s="175" t="s">
        <v>2758</v>
      </c>
      <c r="L393" s="242"/>
      <c r="M393" s="242"/>
      <c r="N393" s="242"/>
      <c r="O393" s="242"/>
      <c r="P393" s="242"/>
      <c r="Q393" s="242"/>
      <c r="R393" s="242"/>
      <c r="S393" s="242"/>
      <c r="T393" s="242"/>
      <c r="U393" s="242"/>
      <c r="V393" s="242"/>
      <c r="W393" s="242"/>
      <c r="X393" s="242"/>
      <c r="Y393" s="242"/>
      <c r="Z393" s="242"/>
      <c r="AA393" s="242"/>
      <c r="AB393" s="242"/>
      <c r="AC393" s="242"/>
    </row>
    <row r="394">
      <c r="A394" s="183">
        <v>14289.0</v>
      </c>
      <c r="B394" s="169" t="s">
        <v>1510</v>
      </c>
      <c r="C394" s="168">
        <v>2022.0</v>
      </c>
      <c r="D394" s="142" t="s">
        <v>52</v>
      </c>
      <c r="E394" s="142" t="s">
        <v>805</v>
      </c>
      <c r="F394" s="170" t="s">
        <v>1511</v>
      </c>
      <c r="G394" s="171">
        <v>45600.0</v>
      </c>
      <c r="H394" s="172">
        <f t="shared" si="1"/>
        <v>0</v>
      </c>
      <c r="I394" s="173" t="s">
        <v>3479</v>
      </c>
      <c r="J394" s="171">
        <v>45600.0</v>
      </c>
      <c r="K394" s="169" t="s">
        <v>2758</v>
      </c>
    </row>
    <row r="395">
      <c r="A395" s="181">
        <v>14291.0</v>
      </c>
      <c r="B395" s="176" t="s">
        <v>474</v>
      </c>
      <c r="C395" s="174">
        <v>2010.0</v>
      </c>
      <c r="D395" s="176" t="s">
        <v>367</v>
      </c>
      <c r="E395" s="176" t="s">
        <v>47</v>
      </c>
      <c r="F395" s="177" t="s">
        <v>476</v>
      </c>
      <c r="G395" s="178">
        <v>45600.0</v>
      </c>
      <c r="H395" s="179">
        <f t="shared" si="1"/>
        <v>7</v>
      </c>
      <c r="I395" s="182" t="s">
        <v>3252</v>
      </c>
      <c r="J395" s="257">
        <v>45607.0</v>
      </c>
      <c r="K395" s="175" t="s">
        <v>2758</v>
      </c>
      <c r="L395" s="242"/>
      <c r="M395" s="242"/>
      <c r="N395" s="242"/>
      <c r="O395" s="242"/>
      <c r="P395" s="242"/>
      <c r="Q395" s="242"/>
      <c r="R395" s="242"/>
      <c r="S395" s="242"/>
      <c r="T395" s="242"/>
      <c r="U395" s="242"/>
      <c r="V395" s="242"/>
      <c r="W395" s="242"/>
      <c r="X395" s="242"/>
      <c r="Y395" s="242"/>
      <c r="Z395" s="242"/>
      <c r="AA395" s="242"/>
      <c r="AB395" s="242"/>
      <c r="AC395" s="242"/>
    </row>
    <row r="396">
      <c r="A396" s="183">
        <v>14292.0</v>
      </c>
      <c r="B396" s="169" t="s">
        <v>3480</v>
      </c>
      <c r="C396" s="168">
        <v>2018.0</v>
      </c>
      <c r="D396" s="142" t="s">
        <v>52</v>
      </c>
      <c r="E396" s="142" t="s">
        <v>3481</v>
      </c>
      <c r="F396" s="170" t="s">
        <v>3482</v>
      </c>
      <c r="G396" s="171">
        <v>45600.0</v>
      </c>
      <c r="H396" s="172">
        <f t="shared" si="1"/>
        <v>0</v>
      </c>
      <c r="I396" s="173" t="s">
        <v>3483</v>
      </c>
      <c r="J396" s="171">
        <v>45600.0</v>
      </c>
      <c r="K396" s="169" t="s">
        <v>2758</v>
      </c>
    </row>
    <row r="397">
      <c r="A397" s="181">
        <v>14301.0</v>
      </c>
      <c r="B397" s="176" t="s">
        <v>3029</v>
      </c>
      <c r="C397" s="174">
        <v>2018.0</v>
      </c>
      <c r="D397" s="176" t="s">
        <v>52</v>
      </c>
      <c r="E397" s="176" t="s">
        <v>912</v>
      </c>
      <c r="F397" s="177" t="s">
        <v>3030</v>
      </c>
      <c r="G397" s="178">
        <v>45602.0</v>
      </c>
      <c r="H397" s="179">
        <f t="shared" si="1"/>
        <v>9</v>
      </c>
      <c r="I397" s="182" t="s">
        <v>3484</v>
      </c>
      <c r="J397" s="178">
        <v>45611.0</v>
      </c>
      <c r="K397" s="175" t="s">
        <v>2758</v>
      </c>
    </row>
    <row r="398">
      <c r="A398" s="183">
        <v>14304.0</v>
      </c>
      <c r="B398" s="142" t="s">
        <v>3485</v>
      </c>
      <c r="C398" s="168">
        <v>2018.0</v>
      </c>
      <c r="D398" s="250" t="s">
        <v>14</v>
      </c>
      <c r="E398" s="142" t="s">
        <v>3486</v>
      </c>
      <c r="F398" s="170" t="s">
        <v>221</v>
      </c>
      <c r="G398" s="171">
        <v>45602.0</v>
      </c>
      <c r="H398" s="172">
        <f t="shared" si="1"/>
        <v>5</v>
      </c>
      <c r="I398" s="211" t="s">
        <v>3487</v>
      </c>
      <c r="J398" s="243">
        <v>45607.0</v>
      </c>
      <c r="K398" s="169" t="s">
        <v>2758</v>
      </c>
    </row>
    <row r="399">
      <c r="A399" s="181">
        <v>14314.0</v>
      </c>
      <c r="B399" s="176" t="s">
        <v>1834</v>
      </c>
      <c r="C399" s="174">
        <v>2020.0</v>
      </c>
      <c r="D399" s="176" t="s">
        <v>14</v>
      </c>
      <c r="E399" s="176" t="s">
        <v>125</v>
      </c>
      <c r="F399" s="234">
        <v>45521.0</v>
      </c>
      <c r="G399" s="178">
        <v>45603.0</v>
      </c>
      <c r="H399" s="179">
        <f t="shared" si="1"/>
        <v>33</v>
      </c>
      <c r="I399" s="182" t="s">
        <v>3488</v>
      </c>
      <c r="J399" s="270">
        <v>45636.0</v>
      </c>
      <c r="K399" s="175" t="s">
        <v>2758</v>
      </c>
    </row>
    <row r="400">
      <c r="A400" s="183">
        <v>14321.0</v>
      </c>
      <c r="B400" s="142" t="s">
        <v>3489</v>
      </c>
      <c r="C400" s="168">
        <v>2010.0</v>
      </c>
      <c r="D400" s="142" t="s">
        <v>367</v>
      </c>
      <c r="E400" s="142" t="s">
        <v>2788</v>
      </c>
      <c r="F400" s="170" t="s">
        <v>3490</v>
      </c>
      <c r="G400" s="171">
        <v>45604.0</v>
      </c>
      <c r="H400" s="172">
        <f t="shared" si="1"/>
        <v>26</v>
      </c>
      <c r="I400" s="173" t="s">
        <v>30</v>
      </c>
      <c r="J400" s="171">
        <v>45630.0</v>
      </c>
      <c r="K400" s="169" t="s">
        <v>31</v>
      </c>
    </row>
    <row r="401">
      <c r="A401" s="181">
        <v>14322.0</v>
      </c>
      <c r="B401" s="176" t="s">
        <v>2787</v>
      </c>
      <c r="C401" s="174">
        <v>2015.0</v>
      </c>
      <c r="D401" s="176" t="s">
        <v>14</v>
      </c>
      <c r="E401" s="176" t="s">
        <v>2788</v>
      </c>
      <c r="F401" s="177" t="s">
        <v>3491</v>
      </c>
      <c r="G401" s="178">
        <v>45604.0</v>
      </c>
      <c r="H401" s="179">
        <f t="shared" si="1"/>
        <v>83</v>
      </c>
      <c r="I401" s="180" t="s">
        <v>3492</v>
      </c>
      <c r="J401" s="178">
        <v>45687.0</v>
      </c>
      <c r="K401" s="175" t="s">
        <v>37</v>
      </c>
    </row>
    <row r="402">
      <c r="A402" s="183">
        <v>14323.0</v>
      </c>
      <c r="B402" s="169" t="s">
        <v>3012</v>
      </c>
      <c r="C402" s="168">
        <v>2013.0</v>
      </c>
      <c r="D402" s="142" t="s">
        <v>105</v>
      </c>
      <c r="E402" s="142" t="s">
        <v>3493</v>
      </c>
      <c r="F402" s="170" t="s">
        <v>3494</v>
      </c>
      <c r="G402" s="171">
        <v>45604.0</v>
      </c>
      <c r="H402" s="172">
        <f t="shared" si="1"/>
        <v>81</v>
      </c>
      <c r="I402" s="173" t="s">
        <v>30</v>
      </c>
      <c r="J402" s="171">
        <v>45685.0</v>
      </c>
      <c r="K402" s="169" t="s">
        <v>31</v>
      </c>
    </row>
    <row r="403">
      <c r="A403" s="181">
        <v>14324.0</v>
      </c>
      <c r="B403" s="175" t="s">
        <v>1186</v>
      </c>
      <c r="C403" s="174">
        <v>2011.0</v>
      </c>
      <c r="D403" s="176" t="s">
        <v>2647</v>
      </c>
      <c r="E403" s="176" t="s">
        <v>70</v>
      </c>
      <c r="F403" s="177" t="s">
        <v>1188</v>
      </c>
      <c r="G403" s="178">
        <v>45604.0</v>
      </c>
      <c r="H403" s="179">
        <f t="shared" si="1"/>
        <v>3</v>
      </c>
      <c r="I403" s="180" t="s">
        <v>3495</v>
      </c>
      <c r="J403" s="178">
        <v>45607.0</v>
      </c>
      <c r="K403" s="175" t="s">
        <v>2758</v>
      </c>
    </row>
    <row r="404">
      <c r="A404" s="183">
        <v>14332.0</v>
      </c>
      <c r="B404" s="169" t="s">
        <v>3283</v>
      </c>
      <c r="C404" s="168">
        <v>2022.0</v>
      </c>
      <c r="D404" s="142" t="s">
        <v>52</v>
      </c>
      <c r="E404" s="142" t="s">
        <v>240</v>
      </c>
      <c r="F404" s="170" t="s">
        <v>3284</v>
      </c>
      <c r="G404" s="171">
        <v>45607.0</v>
      </c>
      <c r="H404" s="172">
        <f t="shared" si="1"/>
        <v>0</v>
      </c>
      <c r="I404" s="173" t="s">
        <v>857</v>
      </c>
      <c r="J404" s="171">
        <v>45607.0</v>
      </c>
      <c r="K404" s="169" t="s">
        <v>37</v>
      </c>
      <c r="L404" s="242"/>
      <c r="M404" s="242"/>
      <c r="N404" s="242"/>
      <c r="O404" s="242"/>
      <c r="P404" s="242"/>
      <c r="Q404" s="242"/>
      <c r="R404" s="242"/>
      <c r="S404" s="242"/>
      <c r="T404" s="242"/>
      <c r="U404" s="242"/>
      <c r="V404" s="242"/>
      <c r="W404" s="242"/>
      <c r="X404" s="242"/>
      <c r="Y404" s="242"/>
      <c r="Z404" s="242"/>
      <c r="AA404" s="242"/>
      <c r="AB404" s="242"/>
      <c r="AC404" s="242"/>
    </row>
    <row r="405">
      <c r="A405" s="181">
        <v>14334.0</v>
      </c>
      <c r="B405" s="175" t="s">
        <v>3496</v>
      </c>
      <c r="C405" s="174">
        <v>2019.0</v>
      </c>
      <c r="D405" s="176" t="s">
        <v>14</v>
      </c>
      <c r="E405" s="176" t="s">
        <v>70</v>
      </c>
      <c r="F405" s="177" t="s">
        <v>3497</v>
      </c>
      <c r="G405" s="178">
        <v>45607.0</v>
      </c>
      <c r="H405" s="179">
        <f t="shared" si="1"/>
        <v>1</v>
      </c>
      <c r="I405" s="180" t="s">
        <v>3252</v>
      </c>
      <c r="J405" s="178">
        <v>45608.0</v>
      </c>
      <c r="K405" s="175" t="s">
        <v>31</v>
      </c>
    </row>
    <row r="406">
      <c r="A406" s="183">
        <v>14335.0</v>
      </c>
      <c r="B406" s="169" t="s">
        <v>3498</v>
      </c>
      <c r="C406" s="168">
        <v>2022.0</v>
      </c>
      <c r="D406" s="142" t="s">
        <v>14</v>
      </c>
      <c r="E406" s="142" t="s">
        <v>3499</v>
      </c>
      <c r="F406" s="170" t="s">
        <v>3500</v>
      </c>
      <c r="G406" s="171">
        <v>45607.0</v>
      </c>
      <c r="H406" s="172">
        <f t="shared" si="1"/>
        <v>0</v>
      </c>
      <c r="I406" s="173" t="s">
        <v>3501</v>
      </c>
      <c r="J406" s="171">
        <v>45607.0</v>
      </c>
      <c r="K406" s="169" t="s">
        <v>2758</v>
      </c>
    </row>
    <row r="407">
      <c r="A407" s="181">
        <v>14338.0</v>
      </c>
      <c r="B407" s="176" t="s">
        <v>159</v>
      </c>
      <c r="C407" s="174">
        <v>2015.0</v>
      </c>
      <c r="D407" s="176" t="s">
        <v>14</v>
      </c>
      <c r="E407" s="176" t="s">
        <v>160</v>
      </c>
      <c r="F407" s="177" t="s">
        <v>161</v>
      </c>
      <c r="G407" s="178">
        <v>45608.0</v>
      </c>
      <c r="H407" s="179">
        <f t="shared" si="1"/>
        <v>1</v>
      </c>
      <c r="I407" s="182" t="s">
        <v>3502</v>
      </c>
      <c r="J407" s="257">
        <v>45609.0</v>
      </c>
      <c r="K407" s="175" t="s">
        <v>2758</v>
      </c>
    </row>
    <row r="408">
      <c r="A408" s="183">
        <v>14353.0</v>
      </c>
      <c r="B408" s="169" t="s">
        <v>705</v>
      </c>
      <c r="C408" s="168">
        <v>2022.0</v>
      </c>
      <c r="D408" s="142" t="s">
        <v>52</v>
      </c>
      <c r="E408" s="142" t="s">
        <v>169</v>
      </c>
      <c r="F408" s="170" t="s">
        <v>706</v>
      </c>
      <c r="G408" s="171">
        <v>45609.0</v>
      </c>
      <c r="H408" s="172">
        <f t="shared" si="1"/>
        <v>0</v>
      </c>
      <c r="I408" s="173" t="s">
        <v>3477</v>
      </c>
      <c r="J408" s="171">
        <v>45609.0</v>
      </c>
      <c r="K408" s="169" t="s">
        <v>2758</v>
      </c>
    </row>
    <row r="409">
      <c r="A409" s="181">
        <v>14360.0</v>
      </c>
      <c r="B409" s="175" t="s">
        <v>1682</v>
      </c>
      <c r="C409" s="174">
        <v>2020.0</v>
      </c>
      <c r="D409" s="176" t="s">
        <v>14</v>
      </c>
      <c r="E409" s="176" t="s">
        <v>137</v>
      </c>
      <c r="F409" s="177" t="s">
        <v>1683</v>
      </c>
      <c r="G409" s="178">
        <v>45610.0</v>
      </c>
      <c r="H409" s="179">
        <f t="shared" si="1"/>
        <v>0</v>
      </c>
      <c r="I409" s="180" t="s">
        <v>3503</v>
      </c>
      <c r="J409" s="178">
        <v>45610.0</v>
      </c>
      <c r="K409" s="175" t="s">
        <v>2758</v>
      </c>
    </row>
    <row r="410">
      <c r="A410" s="183">
        <v>14361.0</v>
      </c>
      <c r="B410" s="169" t="s">
        <v>1840</v>
      </c>
      <c r="C410" s="168">
        <v>2020.0</v>
      </c>
      <c r="D410" s="142" t="s">
        <v>14</v>
      </c>
      <c r="E410" s="142" t="s">
        <v>2802</v>
      </c>
      <c r="F410" s="170" t="s">
        <v>1841</v>
      </c>
      <c r="G410" s="171">
        <v>45610.0</v>
      </c>
      <c r="H410" s="172">
        <f t="shared" si="1"/>
        <v>0</v>
      </c>
      <c r="I410" s="173" t="s">
        <v>3201</v>
      </c>
      <c r="J410" s="171">
        <v>45610.0</v>
      </c>
      <c r="K410" s="169" t="s">
        <v>2758</v>
      </c>
    </row>
    <row r="411">
      <c r="A411" s="181">
        <v>14364.0</v>
      </c>
      <c r="B411" s="175" t="s">
        <v>1721</v>
      </c>
      <c r="C411" s="174">
        <v>2022.0</v>
      </c>
      <c r="D411" s="176" t="s">
        <v>52</v>
      </c>
      <c r="E411" s="176" t="s">
        <v>725</v>
      </c>
      <c r="F411" s="177" t="s">
        <v>1722</v>
      </c>
      <c r="G411" s="178">
        <v>45610.0</v>
      </c>
      <c r="H411" s="179">
        <f t="shared" si="1"/>
        <v>0</v>
      </c>
      <c r="I411" s="180" t="s">
        <v>3504</v>
      </c>
      <c r="J411" s="178">
        <v>45610.0</v>
      </c>
      <c r="K411" s="175" t="s">
        <v>2758</v>
      </c>
    </row>
    <row r="412">
      <c r="A412" s="183">
        <v>14373.0</v>
      </c>
      <c r="B412" s="169" t="s">
        <v>1588</v>
      </c>
      <c r="C412" s="168">
        <v>2015.0</v>
      </c>
      <c r="D412" s="142" t="s">
        <v>52</v>
      </c>
      <c r="E412" s="142" t="s">
        <v>235</v>
      </c>
      <c r="F412" s="170" t="s">
        <v>1589</v>
      </c>
      <c r="G412" s="171">
        <v>45610.0</v>
      </c>
      <c r="H412" s="172">
        <f t="shared" si="1"/>
        <v>49</v>
      </c>
      <c r="I412" s="173" t="s">
        <v>3505</v>
      </c>
      <c r="J412" s="171">
        <v>45659.0</v>
      </c>
      <c r="K412" s="169" t="s">
        <v>31</v>
      </c>
    </row>
    <row r="413">
      <c r="A413" s="181">
        <v>14374.0</v>
      </c>
      <c r="B413" s="175" t="s">
        <v>1388</v>
      </c>
      <c r="C413" s="174">
        <v>2019.0</v>
      </c>
      <c r="D413" s="176" t="s">
        <v>52</v>
      </c>
      <c r="E413" s="176" t="s">
        <v>53</v>
      </c>
      <c r="F413" s="177" t="s">
        <v>1389</v>
      </c>
      <c r="G413" s="178">
        <v>45610.0</v>
      </c>
      <c r="H413" s="179">
        <f t="shared" si="1"/>
        <v>1</v>
      </c>
      <c r="I413" s="180" t="s">
        <v>3506</v>
      </c>
      <c r="J413" s="178">
        <v>45611.0</v>
      </c>
      <c r="K413" s="175" t="s">
        <v>2758</v>
      </c>
    </row>
    <row r="414">
      <c r="A414" s="183">
        <v>14377.0</v>
      </c>
      <c r="B414" s="169" t="s">
        <v>3507</v>
      </c>
      <c r="C414" s="168">
        <v>2015.0</v>
      </c>
      <c r="D414" s="142" t="s">
        <v>14</v>
      </c>
      <c r="E414" s="142" t="s">
        <v>106</v>
      </c>
      <c r="F414" s="170" t="s">
        <v>1296</v>
      </c>
      <c r="G414" s="171">
        <v>45610.0</v>
      </c>
      <c r="H414" s="172">
        <f t="shared" si="1"/>
        <v>53</v>
      </c>
      <c r="I414" s="173" t="s">
        <v>30</v>
      </c>
      <c r="J414" s="171">
        <v>45663.0</v>
      </c>
      <c r="K414" s="169" t="s">
        <v>31</v>
      </c>
    </row>
    <row r="415">
      <c r="A415" s="181">
        <v>14380.0</v>
      </c>
      <c r="B415" s="175" t="s">
        <v>3508</v>
      </c>
      <c r="C415" s="174">
        <v>2022.0</v>
      </c>
      <c r="D415" s="176" t="s">
        <v>590</v>
      </c>
      <c r="E415" s="176" t="s">
        <v>82</v>
      </c>
      <c r="F415" s="271" t="s">
        <v>3509</v>
      </c>
      <c r="G415" s="178">
        <v>45614.0</v>
      </c>
      <c r="H415" s="179">
        <f t="shared" si="1"/>
        <v>0</v>
      </c>
      <c r="I415" s="180" t="s">
        <v>3510</v>
      </c>
      <c r="J415" s="178">
        <v>45614.0</v>
      </c>
      <c r="K415" s="175" t="s">
        <v>2758</v>
      </c>
    </row>
    <row r="416">
      <c r="A416" s="183">
        <v>14382.0</v>
      </c>
      <c r="B416" s="169" t="s">
        <v>2378</v>
      </c>
      <c r="C416" s="168">
        <v>2015.0</v>
      </c>
      <c r="D416" s="142" t="s">
        <v>14</v>
      </c>
      <c r="E416" s="142" t="s">
        <v>866</v>
      </c>
      <c r="F416" s="170" t="s">
        <v>2379</v>
      </c>
      <c r="G416" s="171">
        <v>45614.0</v>
      </c>
      <c r="H416" s="172">
        <f t="shared" si="1"/>
        <v>0</v>
      </c>
      <c r="I416" s="231" t="s">
        <v>3511</v>
      </c>
      <c r="J416" s="171">
        <v>45614.0</v>
      </c>
      <c r="K416" s="169" t="s">
        <v>2758</v>
      </c>
    </row>
    <row r="417">
      <c r="A417" s="181">
        <v>14384.0</v>
      </c>
      <c r="B417" s="176" t="s">
        <v>3512</v>
      </c>
      <c r="C417" s="174">
        <v>2014.0</v>
      </c>
      <c r="D417" s="176" t="s">
        <v>130</v>
      </c>
      <c r="E417" s="176" t="s">
        <v>2941</v>
      </c>
      <c r="F417" s="177" t="s">
        <v>3513</v>
      </c>
      <c r="G417" s="178">
        <v>45614.0</v>
      </c>
      <c r="H417" s="179">
        <f t="shared" si="1"/>
        <v>1</v>
      </c>
      <c r="I417" s="182" t="s">
        <v>3514</v>
      </c>
      <c r="J417" s="178">
        <v>45615.0</v>
      </c>
      <c r="K417" s="175" t="s">
        <v>2758</v>
      </c>
    </row>
    <row r="418">
      <c r="A418" s="183">
        <v>14390.0</v>
      </c>
      <c r="B418" s="169" t="s">
        <v>1894</v>
      </c>
      <c r="C418" s="168">
        <v>2014.0</v>
      </c>
      <c r="D418" s="142" t="s">
        <v>75</v>
      </c>
      <c r="E418" s="142" t="s">
        <v>28</v>
      </c>
      <c r="F418" s="170" t="s">
        <v>1896</v>
      </c>
      <c r="G418" s="171">
        <v>45615.0</v>
      </c>
      <c r="H418" s="172">
        <f t="shared" si="1"/>
        <v>2</v>
      </c>
      <c r="I418" s="173" t="s">
        <v>3515</v>
      </c>
      <c r="J418" s="171">
        <v>45617.0</v>
      </c>
      <c r="K418" s="169" t="s">
        <v>2758</v>
      </c>
    </row>
    <row r="419">
      <c r="A419" s="181">
        <v>14392.0</v>
      </c>
      <c r="B419" s="175" t="s">
        <v>859</v>
      </c>
      <c r="C419" s="174">
        <v>2022.0</v>
      </c>
      <c r="D419" s="176" t="s">
        <v>52</v>
      </c>
      <c r="E419" s="176" t="s">
        <v>207</v>
      </c>
      <c r="F419" s="177" t="s">
        <v>861</v>
      </c>
      <c r="G419" s="178">
        <v>45615.0</v>
      </c>
      <c r="H419" s="179">
        <f t="shared" si="1"/>
        <v>0</v>
      </c>
      <c r="I419" s="180" t="s">
        <v>3516</v>
      </c>
      <c r="J419" s="178">
        <v>45615.0</v>
      </c>
      <c r="K419" s="175" t="s">
        <v>37</v>
      </c>
    </row>
    <row r="420">
      <c r="A420" s="183">
        <v>14403.0</v>
      </c>
      <c r="B420" s="169" t="s">
        <v>1594</v>
      </c>
      <c r="C420" s="168">
        <v>2022.0</v>
      </c>
      <c r="D420" s="142" t="s">
        <v>52</v>
      </c>
      <c r="E420" s="142" t="s">
        <v>1639</v>
      </c>
      <c r="F420" s="170" t="s">
        <v>65</v>
      </c>
      <c r="G420" s="171">
        <v>45617.0</v>
      </c>
      <c r="H420" s="172">
        <f t="shared" si="1"/>
        <v>0</v>
      </c>
      <c r="I420" s="173" t="s">
        <v>707</v>
      </c>
      <c r="J420" s="171">
        <v>45617.0</v>
      </c>
      <c r="K420" s="169" t="s">
        <v>2758</v>
      </c>
    </row>
    <row r="421">
      <c r="A421" s="181">
        <v>14409.0</v>
      </c>
      <c r="B421" s="175" t="s">
        <v>3022</v>
      </c>
      <c r="C421" s="174">
        <v>2020.0</v>
      </c>
      <c r="D421" s="176" t="s">
        <v>14</v>
      </c>
      <c r="E421" s="176" t="s">
        <v>3517</v>
      </c>
      <c r="F421" s="177">
        <v>29.0</v>
      </c>
      <c r="G421" s="178">
        <v>45617.0</v>
      </c>
      <c r="H421" s="179">
        <f t="shared" si="1"/>
        <v>55</v>
      </c>
      <c r="I421" s="180" t="s">
        <v>3518</v>
      </c>
      <c r="J421" s="178">
        <v>45672.0</v>
      </c>
      <c r="K421" s="175" t="s">
        <v>2758</v>
      </c>
    </row>
    <row r="422">
      <c r="A422" s="183">
        <v>14411.0</v>
      </c>
      <c r="B422" s="169" t="s">
        <v>3519</v>
      </c>
      <c r="C422" s="168">
        <v>2017.0</v>
      </c>
      <c r="D422" s="142" t="s">
        <v>14</v>
      </c>
      <c r="E422" s="142" t="s">
        <v>459</v>
      </c>
      <c r="F422" s="170" t="s">
        <v>3520</v>
      </c>
      <c r="G422" s="171">
        <v>45617.0</v>
      </c>
      <c r="H422" s="172">
        <f t="shared" si="1"/>
        <v>4</v>
      </c>
      <c r="I422" s="173" t="s">
        <v>3521</v>
      </c>
      <c r="J422" s="171">
        <v>45621.0</v>
      </c>
      <c r="K422" s="169" t="s">
        <v>2758</v>
      </c>
    </row>
    <row r="423">
      <c r="A423" s="181">
        <v>14413.0</v>
      </c>
      <c r="B423" s="176" t="s">
        <v>215</v>
      </c>
      <c r="C423" s="174">
        <v>2022.0</v>
      </c>
      <c r="D423" s="176" t="s">
        <v>52</v>
      </c>
      <c r="E423" s="176" t="s">
        <v>805</v>
      </c>
      <c r="F423" s="177" t="s">
        <v>216</v>
      </c>
      <c r="G423" s="178">
        <v>45617.0</v>
      </c>
      <c r="H423" s="179">
        <f t="shared" si="1"/>
        <v>6</v>
      </c>
      <c r="I423" s="182" t="s">
        <v>3522</v>
      </c>
      <c r="J423" s="178">
        <v>45623.0</v>
      </c>
      <c r="K423" s="175" t="s">
        <v>31</v>
      </c>
    </row>
    <row r="424">
      <c r="A424" s="183">
        <v>14413.0</v>
      </c>
      <c r="B424" s="169" t="s">
        <v>215</v>
      </c>
      <c r="C424" s="168">
        <v>2022.0</v>
      </c>
      <c r="D424" s="142" t="s">
        <v>52</v>
      </c>
      <c r="E424" s="142" t="s">
        <v>70</v>
      </c>
      <c r="F424" s="170" t="s">
        <v>216</v>
      </c>
      <c r="G424" s="171">
        <v>45621.0</v>
      </c>
      <c r="H424" s="172">
        <f t="shared" si="1"/>
        <v>4</v>
      </c>
      <c r="I424" s="173" t="s">
        <v>30</v>
      </c>
      <c r="J424" s="171">
        <v>45625.0</v>
      </c>
      <c r="K424" s="169" t="s">
        <v>31</v>
      </c>
    </row>
    <row r="425">
      <c r="A425" s="181">
        <v>14420.0</v>
      </c>
      <c r="B425" s="175" t="s">
        <v>219</v>
      </c>
      <c r="C425" s="174">
        <v>2018.0</v>
      </c>
      <c r="D425" s="176" t="s">
        <v>14</v>
      </c>
      <c r="E425" s="176" t="s">
        <v>169</v>
      </c>
      <c r="F425" s="177" t="s">
        <v>221</v>
      </c>
      <c r="G425" s="178">
        <v>45618.0</v>
      </c>
      <c r="H425" s="179">
        <f t="shared" si="1"/>
        <v>0</v>
      </c>
      <c r="I425" s="180" t="s">
        <v>3097</v>
      </c>
      <c r="J425" s="178">
        <v>45618.0</v>
      </c>
      <c r="K425" s="175" t="s">
        <v>2758</v>
      </c>
    </row>
    <row r="426">
      <c r="A426" s="183">
        <v>14421.0</v>
      </c>
      <c r="B426" s="142" t="s">
        <v>3512</v>
      </c>
      <c r="C426" s="168">
        <v>2014.0</v>
      </c>
      <c r="D426" s="272" t="s">
        <v>3523</v>
      </c>
      <c r="E426" s="142" t="s">
        <v>2941</v>
      </c>
      <c r="F426" s="170" t="s">
        <v>3513</v>
      </c>
      <c r="G426" s="171">
        <v>45618.0</v>
      </c>
      <c r="H426" s="172">
        <f t="shared" si="1"/>
        <v>18</v>
      </c>
      <c r="I426" s="211" t="s">
        <v>3524</v>
      </c>
      <c r="J426" s="258">
        <v>45636.0</v>
      </c>
      <c r="K426" s="169" t="s">
        <v>31</v>
      </c>
    </row>
    <row r="427">
      <c r="A427" s="181">
        <v>14422.0</v>
      </c>
      <c r="B427" s="176" t="s">
        <v>3063</v>
      </c>
      <c r="C427" s="174">
        <v>2014.0</v>
      </c>
      <c r="D427" s="176" t="s">
        <v>197</v>
      </c>
      <c r="E427" s="176" t="s">
        <v>1738</v>
      </c>
      <c r="F427" s="177" t="s">
        <v>3064</v>
      </c>
      <c r="G427" s="178">
        <v>45618.0</v>
      </c>
      <c r="H427" s="179">
        <f t="shared" si="1"/>
        <v>7</v>
      </c>
      <c r="I427" s="180" t="s">
        <v>2265</v>
      </c>
      <c r="J427" s="178">
        <v>45625.0</v>
      </c>
      <c r="K427" s="175" t="s">
        <v>2758</v>
      </c>
    </row>
    <row r="428">
      <c r="A428" s="183">
        <v>14424.0</v>
      </c>
      <c r="B428" s="169" t="s">
        <v>3525</v>
      </c>
      <c r="C428" s="168">
        <v>2022.0</v>
      </c>
      <c r="D428" s="142" t="s">
        <v>148</v>
      </c>
      <c r="E428" s="142" t="s">
        <v>3526</v>
      </c>
      <c r="F428" s="170" t="s">
        <v>3527</v>
      </c>
      <c r="G428" s="171">
        <v>45618.0</v>
      </c>
      <c r="H428" s="172">
        <f t="shared" si="1"/>
        <v>0</v>
      </c>
      <c r="I428" s="173" t="s">
        <v>3501</v>
      </c>
      <c r="J428" s="171">
        <v>45618.0</v>
      </c>
      <c r="K428" s="169" t="s">
        <v>2758</v>
      </c>
    </row>
    <row r="429">
      <c r="A429" s="181">
        <v>14425.0</v>
      </c>
      <c r="B429" s="175" t="s">
        <v>3020</v>
      </c>
      <c r="C429" s="174">
        <v>2019.0</v>
      </c>
      <c r="D429" s="176" t="s">
        <v>52</v>
      </c>
      <c r="E429" s="176" t="s">
        <v>912</v>
      </c>
      <c r="F429" s="177" t="s">
        <v>2785</v>
      </c>
      <c r="G429" s="178">
        <v>45621.0</v>
      </c>
      <c r="H429" s="179">
        <f t="shared" si="1"/>
        <v>0</v>
      </c>
      <c r="I429" s="180" t="s">
        <v>3501</v>
      </c>
      <c r="J429" s="178">
        <v>45621.0</v>
      </c>
      <c r="K429" s="175" t="s">
        <v>2758</v>
      </c>
    </row>
    <row r="430">
      <c r="A430" s="183">
        <v>14428.0</v>
      </c>
      <c r="B430" s="169" t="s">
        <v>1126</v>
      </c>
      <c r="C430" s="168">
        <v>2022.0</v>
      </c>
      <c r="D430" s="142" t="s">
        <v>52</v>
      </c>
      <c r="E430" s="142" t="s">
        <v>64</v>
      </c>
      <c r="F430" s="170" t="s">
        <v>1127</v>
      </c>
      <c r="G430" s="171">
        <v>45621.0</v>
      </c>
      <c r="H430" s="172">
        <f t="shared" si="1"/>
        <v>0</v>
      </c>
      <c r="I430" s="173" t="s">
        <v>3528</v>
      </c>
      <c r="J430" s="171">
        <v>45621.0</v>
      </c>
      <c r="K430" s="169" t="s">
        <v>2758</v>
      </c>
    </row>
    <row r="431">
      <c r="A431" s="181">
        <v>14430.0</v>
      </c>
      <c r="B431" s="176" t="s">
        <v>609</v>
      </c>
      <c r="C431" s="174">
        <v>2022.0</v>
      </c>
      <c r="D431" s="176" t="s">
        <v>3529</v>
      </c>
      <c r="E431" s="176" t="s">
        <v>610</v>
      </c>
      <c r="F431" s="177" t="s">
        <v>611</v>
      </c>
      <c r="G431" s="178">
        <v>45621.0</v>
      </c>
      <c r="H431" s="179">
        <f t="shared" si="1"/>
        <v>4</v>
      </c>
      <c r="I431" s="182" t="s">
        <v>3530</v>
      </c>
      <c r="J431" s="178">
        <v>45625.0</v>
      </c>
      <c r="K431" s="175" t="s">
        <v>2758</v>
      </c>
    </row>
    <row r="432">
      <c r="A432" s="183">
        <v>14432.0</v>
      </c>
      <c r="B432" s="169" t="s">
        <v>883</v>
      </c>
      <c r="C432" s="168">
        <v>2015.0</v>
      </c>
      <c r="D432" s="142" t="s">
        <v>130</v>
      </c>
      <c r="E432" s="142" t="s">
        <v>235</v>
      </c>
      <c r="F432" s="170" t="s">
        <v>885</v>
      </c>
      <c r="G432" s="171">
        <v>45621.0</v>
      </c>
      <c r="H432" s="172">
        <f t="shared" si="1"/>
        <v>0</v>
      </c>
      <c r="I432" s="173" t="s">
        <v>3531</v>
      </c>
      <c r="J432" s="171">
        <v>45621.0</v>
      </c>
      <c r="K432" s="169" t="s">
        <v>2758</v>
      </c>
    </row>
    <row r="433">
      <c r="A433" s="181">
        <v>14433.0</v>
      </c>
      <c r="B433" s="176" t="s">
        <v>341</v>
      </c>
      <c r="C433" s="174">
        <v>2022.0</v>
      </c>
      <c r="D433" s="273" t="s">
        <v>3532</v>
      </c>
      <c r="E433" s="176" t="s">
        <v>82</v>
      </c>
      <c r="F433" s="177" t="s">
        <v>342</v>
      </c>
      <c r="G433" s="178">
        <v>45621.0</v>
      </c>
      <c r="H433" s="179">
        <f t="shared" si="1"/>
        <v>3</v>
      </c>
      <c r="I433" s="182" t="s">
        <v>3533</v>
      </c>
      <c r="J433" s="178">
        <v>45624.0</v>
      </c>
      <c r="K433" s="175" t="s">
        <v>31</v>
      </c>
    </row>
    <row r="434">
      <c r="A434" s="183">
        <v>14434.0</v>
      </c>
      <c r="B434" s="169" t="s">
        <v>3534</v>
      </c>
      <c r="C434" s="168">
        <v>2018.0</v>
      </c>
      <c r="D434" s="142" t="s">
        <v>14</v>
      </c>
      <c r="E434" s="142" t="s">
        <v>3535</v>
      </c>
      <c r="F434" s="170" t="s">
        <v>3536</v>
      </c>
      <c r="G434" s="171">
        <v>45621.0</v>
      </c>
      <c r="H434" s="172">
        <f t="shared" si="1"/>
        <v>0</v>
      </c>
      <c r="I434" s="173" t="s">
        <v>3537</v>
      </c>
      <c r="J434" s="171">
        <v>45621.0</v>
      </c>
      <c r="K434" s="169" t="s">
        <v>2758</v>
      </c>
    </row>
    <row r="435">
      <c r="A435" s="181">
        <v>14439.0</v>
      </c>
      <c r="B435" s="175" t="s">
        <v>3538</v>
      </c>
      <c r="C435" s="174">
        <v>2022.0</v>
      </c>
      <c r="D435" s="176" t="s">
        <v>52</v>
      </c>
      <c r="E435" s="176" t="s">
        <v>2941</v>
      </c>
      <c r="F435" s="195"/>
      <c r="G435" s="178">
        <v>45622.0</v>
      </c>
      <c r="H435" s="179">
        <f t="shared" si="1"/>
        <v>0</v>
      </c>
      <c r="I435" s="180" t="s">
        <v>3539</v>
      </c>
      <c r="J435" s="178">
        <v>45622.0</v>
      </c>
      <c r="K435" s="175" t="s">
        <v>2758</v>
      </c>
    </row>
    <row r="436">
      <c r="A436" s="183">
        <v>14442.0</v>
      </c>
      <c r="B436" s="169" t="s">
        <v>2923</v>
      </c>
      <c r="C436" s="168">
        <v>2022.0</v>
      </c>
      <c r="D436" s="142" t="s">
        <v>52</v>
      </c>
      <c r="E436" s="142" t="s">
        <v>442</v>
      </c>
      <c r="F436" s="170" t="s">
        <v>2924</v>
      </c>
      <c r="G436" s="171">
        <v>45622.0</v>
      </c>
      <c r="H436" s="172">
        <f t="shared" si="1"/>
        <v>0</v>
      </c>
      <c r="I436" s="173" t="s">
        <v>3540</v>
      </c>
      <c r="J436" s="171">
        <v>45622.0</v>
      </c>
      <c r="K436" s="169" t="s">
        <v>2758</v>
      </c>
    </row>
    <row r="437">
      <c r="A437" s="181">
        <v>14449.0</v>
      </c>
      <c r="B437" s="175" t="s">
        <v>825</v>
      </c>
      <c r="C437" s="174">
        <v>2022.0</v>
      </c>
      <c r="D437" s="176" t="s">
        <v>136</v>
      </c>
      <c r="E437" s="176" t="s">
        <v>2788</v>
      </c>
      <c r="F437" s="177" t="s">
        <v>827</v>
      </c>
      <c r="G437" s="178">
        <v>45623.0</v>
      </c>
      <c r="H437" s="179">
        <f t="shared" si="1"/>
        <v>0</v>
      </c>
      <c r="I437" s="180" t="s">
        <v>3541</v>
      </c>
      <c r="J437" s="178">
        <v>45623.0</v>
      </c>
      <c r="K437" s="175" t="s">
        <v>2758</v>
      </c>
    </row>
    <row r="438">
      <c r="A438" s="183">
        <v>14452.0</v>
      </c>
      <c r="B438" s="142" t="s">
        <v>3020</v>
      </c>
      <c r="C438" s="168">
        <v>2019.0</v>
      </c>
      <c r="D438" s="142" t="s">
        <v>52</v>
      </c>
      <c r="E438" s="142" t="s">
        <v>912</v>
      </c>
      <c r="F438" s="170" t="s">
        <v>2785</v>
      </c>
      <c r="G438" s="171">
        <v>45623.0</v>
      </c>
      <c r="H438" s="172">
        <f t="shared" si="1"/>
        <v>50</v>
      </c>
      <c r="I438" s="211" t="s">
        <v>3418</v>
      </c>
      <c r="J438" s="171">
        <v>45673.0</v>
      </c>
      <c r="K438" s="169" t="s">
        <v>31</v>
      </c>
    </row>
    <row r="439">
      <c r="A439" s="181">
        <v>14454.0</v>
      </c>
      <c r="B439" s="176" t="s">
        <v>3192</v>
      </c>
      <c r="C439" s="174">
        <v>2010.0</v>
      </c>
      <c r="D439" s="176" t="s">
        <v>367</v>
      </c>
      <c r="E439" s="176" t="s">
        <v>21</v>
      </c>
      <c r="F439" s="177" t="s">
        <v>3542</v>
      </c>
      <c r="G439" s="178">
        <v>45623.0</v>
      </c>
      <c r="H439" s="179">
        <f t="shared" si="1"/>
        <v>6</v>
      </c>
      <c r="I439" s="180" t="s">
        <v>3543</v>
      </c>
      <c r="J439" s="178">
        <v>45629.0</v>
      </c>
      <c r="K439" s="175" t="s">
        <v>2758</v>
      </c>
    </row>
    <row r="440" ht="15.0" customHeight="1">
      <c r="A440" s="183">
        <v>14460.0</v>
      </c>
      <c r="B440" s="169" t="s">
        <v>1540</v>
      </c>
      <c r="C440" s="168">
        <v>2022.0</v>
      </c>
      <c r="D440" s="142" t="s">
        <v>52</v>
      </c>
      <c r="E440" s="142" t="s">
        <v>82</v>
      </c>
      <c r="F440" s="235" t="s">
        <v>3381</v>
      </c>
      <c r="G440" s="171">
        <v>45624.0</v>
      </c>
      <c r="H440" s="172">
        <f t="shared" si="1"/>
        <v>0</v>
      </c>
      <c r="I440" s="173" t="s">
        <v>3544</v>
      </c>
      <c r="J440" s="171">
        <v>45624.0</v>
      </c>
      <c r="K440" s="169" t="s">
        <v>2758</v>
      </c>
    </row>
    <row r="441">
      <c r="A441" s="181">
        <v>14461.0</v>
      </c>
      <c r="B441" s="175" t="s">
        <v>859</v>
      </c>
      <c r="C441" s="174">
        <v>2022.0</v>
      </c>
      <c r="D441" s="176" t="s">
        <v>52</v>
      </c>
      <c r="E441" s="176" t="s">
        <v>207</v>
      </c>
      <c r="F441" s="177" t="s">
        <v>861</v>
      </c>
      <c r="G441" s="178">
        <v>45624.0</v>
      </c>
      <c r="H441" s="179">
        <f t="shared" si="1"/>
        <v>0</v>
      </c>
      <c r="I441" s="180" t="s">
        <v>3545</v>
      </c>
      <c r="J441" s="178">
        <v>45624.0</v>
      </c>
      <c r="K441" s="175" t="s">
        <v>2758</v>
      </c>
    </row>
    <row r="442">
      <c r="A442" s="183">
        <v>14462.0</v>
      </c>
      <c r="B442" s="169" t="s">
        <v>3143</v>
      </c>
      <c r="C442" s="168">
        <v>2010.0</v>
      </c>
      <c r="D442" s="142" t="s">
        <v>367</v>
      </c>
      <c r="E442" s="142" t="s">
        <v>1738</v>
      </c>
      <c r="F442" s="170" t="s">
        <v>3144</v>
      </c>
      <c r="G442" s="171">
        <v>45624.0</v>
      </c>
      <c r="H442" s="172">
        <f t="shared" si="1"/>
        <v>0</v>
      </c>
      <c r="I442" s="173" t="s">
        <v>3546</v>
      </c>
      <c r="J442" s="171">
        <v>45624.0</v>
      </c>
      <c r="K442" s="169" t="s">
        <v>2758</v>
      </c>
    </row>
    <row r="443">
      <c r="A443" s="181">
        <v>14464.0</v>
      </c>
      <c r="B443" s="175" t="s">
        <v>2583</v>
      </c>
      <c r="C443" s="174">
        <v>2022.0</v>
      </c>
      <c r="D443" s="176" t="s">
        <v>136</v>
      </c>
      <c r="E443" s="176" t="s">
        <v>82</v>
      </c>
      <c r="F443" s="177" t="s">
        <v>2584</v>
      </c>
      <c r="G443" s="178">
        <v>45624.0</v>
      </c>
      <c r="H443" s="179">
        <f t="shared" si="1"/>
        <v>1</v>
      </c>
      <c r="I443" s="180" t="s">
        <v>3547</v>
      </c>
      <c r="J443" s="178">
        <v>45625.0</v>
      </c>
      <c r="K443" s="175" t="s">
        <v>2758</v>
      </c>
    </row>
    <row r="444">
      <c r="A444" s="183">
        <v>14467.0</v>
      </c>
      <c r="B444" s="169" t="s">
        <v>494</v>
      </c>
      <c r="C444" s="168">
        <v>2022.0</v>
      </c>
      <c r="D444" s="142" t="s">
        <v>3548</v>
      </c>
      <c r="E444" s="142" t="s">
        <v>41</v>
      </c>
      <c r="F444" s="241">
        <v>45566.0</v>
      </c>
      <c r="G444" s="171">
        <v>45625.0</v>
      </c>
      <c r="H444" s="172">
        <f t="shared" si="1"/>
        <v>0</v>
      </c>
      <c r="I444" s="173" t="s">
        <v>3501</v>
      </c>
      <c r="J444" s="171">
        <v>45625.0</v>
      </c>
      <c r="K444" s="169" t="s">
        <v>2758</v>
      </c>
    </row>
    <row r="445">
      <c r="A445" s="181">
        <v>14473.0</v>
      </c>
      <c r="B445" s="175" t="s">
        <v>1570</v>
      </c>
      <c r="C445" s="174">
        <v>2022.0</v>
      </c>
      <c r="D445" s="176" t="s">
        <v>52</v>
      </c>
      <c r="E445" s="176" t="s">
        <v>183</v>
      </c>
      <c r="F445" s="177" t="s">
        <v>1571</v>
      </c>
      <c r="G445" s="178">
        <v>45625.0</v>
      </c>
      <c r="H445" s="179">
        <f t="shared" si="1"/>
        <v>0</v>
      </c>
      <c r="I445" s="180" t="s">
        <v>3549</v>
      </c>
      <c r="J445" s="178">
        <v>45625.0</v>
      </c>
      <c r="K445" s="175" t="s">
        <v>2758</v>
      </c>
    </row>
    <row r="446">
      <c r="A446" s="183">
        <v>14475.0</v>
      </c>
      <c r="B446" s="142" t="s">
        <v>3550</v>
      </c>
      <c r="C446" s="168">
        <v>2015.0</v>
      </c>
      <c r="D446" s="142" t="s">
        <v>14</v>
      </c>
      <c r="E446" s="142" t="s">
        <v>160</v>
      </c>
      <c r="F446" s="170" t="s">
        <v>3551</v>
      </c>
      <c r="G446" s="171">
        <v>45625.0</v>
      </c>
      <c r="H446" s="172">
        <f t="shared" si="1"/>
        <v>68</v>
      </c>
      <c r="I446" s="211" t="s">
        <v>3552</v>
      </c>
      <c r="J446" s="171">
        <v>45693.0</v>
      </c>
      <c r="K446" s="169" t="s">
        <v>31</v>
      </c>
    </row>
    <row r="447">
      <c r="A447" s="174">
        <v>14475.0</v>
      </c>
      <c r="B447" s="175" t="s">
        <v>3550</v>
      </c>
      <c r="C447" s="174">
        <v>2015.0</v>
      </c>
      <c r="D447" s="176" t="s">
        <v>14</v>
      </c>
      <c r="E447" s="176" t="s">
        <v>160</v>
      </c>
      <c r="F447" s="177" t="s">
        <v>3551</v>
      </c>
      <c r="G447" s="178">
        <v>45716.0</v>
      </c>
      <c r="H447" s="179">
        <f t="shared" si="1"/>
        <v>0</v>
      </c>
      <c r="I447" s="180" t="s">
        <v>3553</v>
      </c>
      <c r="J447" s="178">
        <v>45716.0</v>
      </c>
      <c r="K447" s="175" t="s">
        <v>2758</v>
      </c>
    </row>
    <row r="448">
      <c r="A448" s="183">
        <v>14476.0</v>
      </c>
      <c r="B448" s="142" t="s">
        <v>3554</v>
      </c>
      <c r="C448" s="168">
        <v>2014.0</v>
      </c>
      <c r="D448" s="142" t="s">
        <v>2875</v>
      </c>
      <c r="E448" s="142" t="s">
        <v>630</v>
      </c>
      <c r="F448" s="170" t="s">
        <v>3555</v>
      </c>
      <c r="G448" s="171">
        <v>45628.0</v>
      </c>
      <c r="H448" s="172">
        <f t="shared" si="1"/>
        <v>7</v>
      </c>
      <c r="I448" s="211" t="s">
        <v>3556</v>
      </c>
      <c r="J448" s="268">
        <v>45635.0</v>
      </c>
      <c r="K448" s="169" t="s">
        <v>2758</v>
      </c>
    </row>
    <row r="449" ht="15.0" customHeight="1">
      <c r="A449" s="181">
        <v>14478.0</v>
      </c>
      <c r="B449" s="176" t="s">
        <v>883</v>
      </c>
      <c r="C449" s="174">
        <v>2014.0</v>
      </c>
      <c r="D449" s="176" t="s">
        <v>130</v>
      </c>
      <c r="E449" s="176" t="s">
        <v>2415</v>
      </c>
      <c r="F449" s="177" t="s">
        <v>885</v>
      </c>
      <c r="G449" s="178">
        <v>45628.0</v>
      </c>
      <c r="H449" s="179">
        <f t="shared" si="1"/>
        <v>0</v>
      </c>
      <c r="I449" s="182" t="s">
        <v>3557</v>
      </c>
      <c r="J449" s="269">
        <v>45628.0</v>
      </c>
      <c r="K449" s="175" t="s">
        <v>31</v>
      </c>
    </row>
    <row r="450">
      <c r="A450" s="183">
        <v>14482.0</v>
      </c>
      <c r="B450" s="169" t="s">
        <v>229</v>
      </c>
      <c r="C450" s="168">
        <v>2015.0</v>
      </c>
      <c r="D450" s="142" t="s">
        <v>14</v>
      </c>
      <c r="E450" s="142" t="s">
        <v>225</v>
      </c>
      <c r="F450" s="170" t="s">
        <v>230</v>
      </c>
      <c r="G450" s="171">
        <v>45629.0</v>
      </c>
      <c r="H450" s="172">
        <f t="shared" si="1"/>
        <v>34</v>
      </c>
      <c r="I450" s="173" t="s">
        <v>30</v>
      </c>
      <c r="J450" s="171">
        <v>45663.0</v>
      </c>
      <c r="K450" s="169" t="s">
        <v>31</v>
      </c>
      <c r="L450" s="242"/>
      <c r="M450" s="242"/>
      <c r="N450" s="242"/>
      <c r="O450" s="242"/>
      <c r="P450" s="242"/>
      <c r="Q450" s="242"/>
      <c r="R450" s="242"/>
      <c r="S450" s="242"/>
      <c r="T450" s="242"/>
      <c r="U450" s="242"/>
      <c r="V450" s="242"/>
      <c r="W450" s="242"/>
      <c r="X450" s="242"/>
      <c r="Y450" s="242"/>
      <c r="Z450" s="242"/>
      <c r="AA450" s="242"/>
      <c r="AB450" s="242"/>
      <c r="AC450" s="242"/>
    </row>
    <row r="451">
      <c r="A451" s="181">
        <v>14483.0</v>
      </c>
      <c r="B451" s="175" t="s">
        <v>2553</v>
      </c>
      <c r="C451" s="174">
        <v>2018.0</v>
      </c>
      <c r="D451" s="176" t="s">
        <v>14</v>
      </c>
      <c r="E451" s="176" t="s">
        <v>277</v>
      </c>
      <c r="F451" s="177" t="s">
        <v>2554</v>
      </c>
      <c r="G451" s="178">
        <v>45664.0</v>
      </c>
      <c r="H451" s="179">
        <f t="shared" si="1"/>
        <v>0</v>
      </c>
      <c r="I451" s="180" t="s">
        <v>3558</v>
      </c>
      <c r="J451" s="178">
        <v>45664.0</v>
      </c>
      <c r="K451" s="175" t="s">
        <v>31</v>
      </c>
      <c r="L451" s="242"/>
      <c r="M451" s="242"/>
      <c r="N451" s="242"/>
      <c r="O451" s="242"/>
      <c r="P451" s="242"/>
      <c r="Q451" s="242"/>
      <c r="R451" s="242"/>
      <c r="S451" s="242"/>
      <c r="T451" s="242"/>
      <c r="U451" s="242"/>
      <c r="V451" s="242"/>
      <c r="W451" s="242"/>
      <c r="X451" s="242"/>
      <c r="Y451" s="242"/>
      <c r="Z451" s="242"/>
      <c r="AA451" s="242"/>
      <c r="AB451" s="242"/>
      <c r="AC451" s="242"/>
    </row>
    <row r="452">
      <c r="A452" s="183">
        <v>14483.0</v>
      </c>
      <c r="B452" s="169" t="s">
        <v>535</v>
      </c>
      <c r="C452" s="168">
        <v>2019.0</v>
      </c>
      <c r="D452" s="142" t="s">
        <v>105</v>
      </c>
      <c r="E452" s="142" t="s">
        <v>531</v>
      </c>
      <c r="F452" s="170" t="s">
        <v>537</v>
      </c>
      <c r="G452" s="171">
        <v>45684.0</v>
      </c>
      <c r="H452" s="172">
        <f t="shared" si="1"/>
        <v>0</v>
      </c>
      <c r="I452" s="173" t="s">
        <v>3559</v>
      </c>
      <c r="J452" s="171">
        <v>45684.0</v>
      </c>
      <c r="K452" s="169" t="s">
        <v>2758</v>
      </c>
      <c r="L452" s="242"/>
      <c r="M452" s="242"/>
      <c r="N452" s="242"/>
      <c r="O452" s="242"/>
      <c r="P452" s="242"/>
      <c r="Q452" s="242"/>
      <c r="R452" s="242"/>
      <c r="S452" s="242"/>
      <c r="T452" s="242"/>
      <c r="U452" s="242"/>
      <c r="V452" s="242"/>
      <c r="W452" s="242"/>
      <c r="X452" s="242"/>
      <c r="Y452" s="242"/>
      <c r="Z452" s="242"/>
      <c r="AA452" s="242"/>
      <c r="AB452" s="242"/>
      <c r="AC452" s="242"/>
    </row>
    <row r="453">
      <c r="A453" s="181">
        <v>14488.0</v>
      </c>
      <c r="B453" s="175" t="s">
        <v>450</v>
      </c>
      <c r="C453" s="174">
        <v>2020.0</v>
      </c>
      <c r="D453" s="176" t="s">
        <v>3560</v>
      </c>
      <c r="E453" s="176" t="s">
        <v>70</v>
      </c>
      <c r="F453" s="234">
        <v>45352.0</v>
      </c>
      <c r="G453" s="178">
        <v>45630.0</v>
      </c>
      <c r="H453" s="179">
        <f t="shared" si="1"/>
        <v>0</v>
      </c>
      <c r="I453" s="180" t="s">
        <v>150</v>
      </c>
      <c r="J453" s="178">
        <v>45630.0</v>
      </c>
      <c r="K453" s="175" t="s">
        <v>2758</v>
      </c>
    </row>
    <row r="454">
      <c r="A454" s="183">
        <v>14489.0</v>
      </c>
      <c r="B454" s="169" t="s">
        <v>3561</v>
      </c>
      <c r="C454" s="168">
        <v>2010.0</v>
      </c>
      <c r="D454" s="142" t="s">
        <v>367</v>
      </c>
      <c r="E454" s="142" t="s">
        <v>225</v>
      </c>
      <c r="F454" s="170" t="s">
        <v>443</v>
      </c>
      <c r="G454" s="171">
        <v>45630.0</v>
      </c>
      <c r="H454" s="172">
        <f t="shared" si="1"/>
        <v>0</v>
      </c>
      <c r="I454" s="173" t="s">
        <v>3562</v>
      </c>
      <c r="J454" s="171">
        <v>45630.0</v>
      </c>
      <c r="K454" s="169" t="s">
        <v>2758</v>
      </c>
    </row>
    <row r="455">
      <c r="A455" s="181">
        <v>14491.0</v>
      </c>
      <c r="B455" s="175" t="s">
        <v>3563</v>
      </c>
      <c r="C455" s="174">
        <v>2022.0</v>
      </c>
      <c r="D455" s="176" t="s">
        <v>52</v>
      </c>
      <c r="E455" s="176" t="s">
        <v>235</v>
      </c>
      <c r="F455" s="177" t="s">
        <v>2097</v>
      </c>
      <c r="G455" s="178">
        <v>45630.0</v>
      </c>
      <c r="H455" s="179">
        <f t="shared" si="1"/>
        <v>0</v>
      </c>
      <c r="I455" s="180" t="s">
        <v>3094</v>
      </c>
      <c r="J455" s="178">
        <v>45630.0</v>
      </c>
      <c r="K455" s="175" t="s">
        <v>2758</v>
      </c>
    </row>
    <row r="456">
      <c r="A456" s="183">
        <v>14494.0</v>
      </c>
      <c r="B456" s="142" t="s">
        <v>3253</v>
      </c>
      <c r="C456" s="168">
        <v>2009.0</v>
      </c>
      <c r="D456" s="142" t="s">
        <v>2629</v>
      </c>
      <c r="E456" s="142" t="s">
        <v>3564</v>
      </c>
      <c r="F456" s="170" t="s">
        <v>3254</v>
      </c>
      <c r="G456" s="171">
        <v>45630.0</v>
      </c>
      <c r="H456" s="172">
        <f t="shared" si="1"/>
        <v>1</v>
      </c>
      <c r="I456" s="211" t="s">
        <v>3565</v>
      </c>
      <c r="J456" s="268">
        <v>45631.0</v>
      </c>
      <c r="K456" s="169" t="s">
        <v>37</v>
      </c>
    </row>
    <row r="457">
      <c r="A457" s="181">
        <v>14495.0</v>
      </c>
      <c r="B457" s="274" t="s">
        <v>2797</v>
      </c>
      <c r="C457" s="275">
        <v>2015.0</v>
      </c>
      <c r="D457" s="274" t="s">
        <v>14</v>
      </c>
      <c r="E457" s="274" t="s">
        <v>106</v>
      </c>
      <c r="F457" s="276" t="s">
        <v>2393</v>
      </c>
      <c r="G457" s="224">
        <v>45630.0</v>
      </c>
      <c r="H457" s="179">
        <f t="shared" si="1"/>
        <v>43</v>
      </c>
      <c r="I457" s="277" t="s">
        <v>3418</v>
      </c>
      <c r="J457" s="178">
        <v>45673.0</v>
      </c>
      <c r="K457" s="175" t="s">
        <v>31</v>
      </c>
    </row>
    <row r="458">
      <c r="A458" s="183">
        <v>14496.0</v>
      </c>
      <c r="B458" s="169" t="s">
        <v>3118</v>
      </c>
      <c r="C458" s="168">
        <v>2011.0</v>
      </c>
      <c r="D458" s="142" t="s">
        <v>188</v>
      </c>
      <c r="E458" s="142" t="s">
        <v>82</v>
      </c>
      <c r="F458" s="170" t="s">
        <v>3566</v>
      </c>
      <c r="G458" s="171">
        <v>45630.0</v>
      </c>
      <c r="H458" s="172">
        <f t="shared" si="1"/>
        <v>0</v>
      </c>
      <c r="I458" s="173" t="s">
        <v>1200</v>
      </c>
      <c r="J458" s="171">
        <v>45630.0</v>
      </c>
      <c r="K458" s="169" t="s">
        <v>1200</v>
      </c>
      <c r="L458" s="242"/>
      <c r="M458" s="242"/>
      <c r="N458" s="242"/>
      <c r="O458" s="242"/>
      <c r="P458" s="242"/>
      <c r="Q458" s="242"/>
      <c r="R458" s="242"/>
      <c r="S458" s="242"/>
      <c r="T458" s="242"/>
      <c r="U458" s="242"/>
      <c r="V458" s="242"/>
      <c r="W458" s="242"/>
      <c r="X458" s="242"/>
      <c r="Y458" s="242"/>
      <c r="Z458" s="242"/>
      <c r="AA458" s="242"/>
      <c r="AB458" s="242"/>
      <c r="AC458" s="242"/>
    </row>
    <row r="459">
      <c r="A459" s="181">
        <v>14497.0</v>
      </c>
      <c r="B459" s="176" t="s">
        <v>3567</v>
      </c>
      <c r="C459" s="174">
        <v>2010.0</v>
      </c>
      <c r="D459" s="176" t="s">
        <v>2624</v>
      </c>
      <c r="E459" s="176" t="s">
        <v>337</v>
      </c>
      <c r="F459" s="177" t="s">
        <v>3568</v>
      </c>
      <c r="G459" s="178">
        <v>45630.0</v>
      </c>
      <c r="H459" s="179">
        <f t="shared" si="1"/>
        <v>42</v>
      </c>
      <c r="I459" s="180" t="s">
        <v>30</v>
      </c>
      <c r="J459" s="178">
        <v>45672.0</v>
      </c>
      <c r="K459" s="175" t="s">
        <v>31</v>
      </c>
    </row>
    <row r="460">
      <c r="A460" s="183">
        <v>14498.0</v>
      </c>
      <c r="B460" s="142" t="s">
        <v>3569</v>
      </c>
      <c r="C460" s="168">
        <v>2018.0</v>
      </c>
      <c r="D460" s="142" t="s">
        <v>14</v>
      </c>
      <c r="E460" s="142" t="s">
        <v>337</v>
      </c>
      <c r="F460" s="170" t="s">
        <v>3570</v>
      </c>
      <c r="G460" s="171">
        <v>45677.0</v>
      </c>
      <c r="H460" s="172">
        <f t="shared" si="1"/>
        <v>2</v>
      </c>
      <c r="I460" s="211" t="s">
        <v>3571</v>
      </c>
      <c r="J460" s="171">
        <v>45679.0</v>
      </c>
      <c r="K460" s="169" t="s">
        <v>31</v>
      </c>
    </row>
    <row r="461">
      <c r="A461" s="181">
        <v>14498.0</v>
      </c>
      <c r="B461" s="176" t="s">
        <v>3569</v>
      </c>
      <c r="C461" s="174">
        <v>2018.0</v>
      </c>
      <c r="D461" s="176" t="s">
        <v>14</v>
      </c>
      <c r="E461" s="176" t="s">
        <v>337</v>
      </c>
      <c r="F461" s="177" t="s">
        <v>3570</v>
      </c>
      <c r="G461" s="178">
        <v>45736.0</v>
      </c>
      <c r="H461" s="179">
        <f t="shared" si="1"/>
        <v>43</v>
      </c>
      <c r="I461" s="182" t="s">
        <v>3572</v>
      </c>
      <c r="J461" s="178">
        <v>45779.0</v>
      </c>
      <c r="K461" s="175" t="s">
        <v>37</v>
      </c>
    </row>
    <row r="462">
      <c r="A462" s="183">
        <v>14504.0</v>
      </c>
      <c r="B462" s="169" t="s">
        <v>2005</v>
      </c>
      <c r="C462" s="168">
        <v>2010.0</v>
      </c>
      <c r="D462" s="142" t="s">
        <v>367</v>
      </c>
      <c r="E462" s="142" t="s">
        <v>405</v>
      </c>
      <c r="F462" s="170" t="s">
        <v>2006</v>
      </c>
      <c r="G462" s="171">
        <v>45631.0</v>
      </c>
      <c r="H462" s="172">
        <f t="shared" si="1"/>
        <v>0</v>
      </c>
      <c r="I462" s="173" t="s">
        <v>3573</v>
      </c>
      <c r="J462" s="171">
        <v>45631.0</v>
      </c>
      <c r="K462" s="169" t="s">
        <v>2758</v>
      </c>
    </row>
    <row r="463">
      <c r="A463" s="181">
        <v>14505.0</v>
      </c>
      <c r="B463" s="175" t="s">
        <v>388</v>
      </c>
      <c r="C463" s="174">
        <v>2010.0</v>
      </c>
      <c r="D463" s="176" t="s">
        <v>367</v>
      </c>
      <c r="E463" s="176" t="s">
        <v>47</v>
      </c>
      <c r="F463" s="177" t="s">
        <v>389</v>
      </c>
      <c r="G463" s="178">
        <v>45631.0</v>
      </c>
      <c r="H463" s="179">
        <f t="shared" si="1"/>
        <v>0</v>
      </c>
      <c r="I463" s="180" t="s">
        <v>133</v>
      </c>
      <c r="J463" s="178">
        <v>45631.0</v>
      </c>
      <c r="K463" s="175" t="s">
        <v>2758</v>
      </c>
    </row>
    <row r="464" ht="16.5" customHeight="1">
      <c r="A464" s="183">
        <v>14506.0</v>
      </c>
      <c r="B464" s="169" t="s">
        <v>3574</v>
      </c>
      <c r="C464" s="168">
        <v>2009.0</v>
      </c>
      <c r="D464" s="142" t="s">
        <v>2629</v>
      </c>
      <c r="E464" s="142" t="s">
        <v>47</v>
      </c>
      <c r="F464" s="170" t="s">
        <v>3575</v>
      </c>
      <c r="G464" s="171">
        <v>45631.0</v>
      </c>
      <c r="H464" s="172">
        <f t="shared" si="1"/>
        <v>0</v>
      </c>
      <c r="I464" s="173" t="s">
        <v>133</v>
      </c>
      <c r="J464" s="171">
        <v>45631.0</v>
      </c>
      <c r="K464" s="169" t="s">
        <v>2758</v>
      </c>
    </row>
    <row r="465">
      <c r="A465" s="181">
        <v>14507.0</v>
      </c>
      <c r="B465" s="175" t="s">
        <v>2727</v>
      </c>
      <c r="C465" s="174">
        <v>2011.0</v>
      </c>
      <c r="D465" s="176" t="s">
        <v>2647</v>
      </c>
      <c r="E465" s="176" t="s">
        <v>277</v>
      </c>
      <c r="F465" s="177" t="s">
        <v>2728</v>
      </c>
      <c r="G465" s="178">
        <v>45631.0</v>
      </c>
      <c r="H465" s="179">
        <f t="shared" si="1"/>
        <v>7</v>
      </c>
      <c r="I465" s="180" t="s">
        <v>3576</v>
      </c>
      <c r="J465" s="178">
        <v>45638.0</v>
      </c>
      <c r="K465" s="175" t="s">
        <v>2758</v>
      </c>
    </row>
    <row r="466">
      <c r="A466" s="183">
        <v>14508.0</v>
      </c>
      <c r="B466" s="142" t="s">
        <v>3577</v>
      </c>
      <c r="C466" s="168">
        <v>2013.0</v>
      </c>
      <c r="D466" s="142" t="s">
        <v>105</v>
      </c>
      <c r="E466" s="142" t="s">
        <v>855</v>
      </c>
      <c r="F466" s="170" t="s">
        <v>3578</v>
      </c>
      <c r="G466" s="171">
        <v>45631.0</v>
      </c>
      <c r="H466" s="172">
        <f t="shared" si="1"/>
        <v>43</v>
      </c>
      <c r="I466" s="211" t="s">
        <v>3579</v>
      </c>
      <c r="J466" s="171">
        <v>45674.0</v>
      </c>
      <c r="K466" s="169" t="s">
        <v>2758</v>
      </c>
    </row>
    <row r="467">
      <c r="A467" s="181">
        <v>14512.0</v>
      </c>
      <c r="B467" s="175" t="s">
        <v>3580</v>
      </c>
      <c r="C467" s="174">
        <v>2022.0</v>
      </c>
      <c r="D467" s="176" t="s">
        <v>52</v>
      </c>
      <c r="E467" s="176" t="s">
        <v>3151</v>
      </c>
      <c r="F467" s="177" t="s">
        <v>3581</v>
      </c>
      <c r="G467" s="178">
        <v>45632.0</v>
      </c>
      <c r="H467" s="179">
        <f t="shared" si="1"/>
        <v>0</v>
      </c>
      <c r="I467" s="180" t="s">
        <v>3582</v>
      </c>
      <c r="J467" s="178">
        <v>45632.0</v>
      </c>
      <c r="K467" s="175" t="s">
        <v>2758</v>
      </c>
    </row>
    <row r="468">
      <c r="A468" s="183">
        <v>14515.0</v>
      </c>
      <c r="B468" s="169" t="s">
        <v>2970</v>
      </c>
      <c r="C468" s="168">
        <v>2014.0</v>
      </c>
      <c r="D468" s="142" t="s">
        <v>105</v>
      </c>
      <c r="E468" s="142" t="s">
        <v>21</v>
      </c>
      <c r="F468" s="170" t="s">
        <v>2971</v>
      </c>
      <c r="G468" s="171">
        <v>45635.0</v>
      </c>
      <c r="H468" s="172">
        <f t="shared" si="1"/>
        <v>3</v>
      </c>
      <c r="I468" s="173" t="s">
        <v>3583</v>
      </c>
      <c r="J468" s="171">
        <v>45638.0</v>
      </c>
      <c r="K468" s="169" t="s">
        <v>2758</v>
      </c>
    </row>
    <row r="469">
      <c r="A469" s="181">
        <v>14517.0</v>
      </c>
      <c r="B469" s="175" t="s">
        <v>869</v>
      </c>
      <c r="C469" s="174">
        <v>2022.0</v>
      </c>
      <c r="D469" s="176" t="s">
        <v>14</v>
      </c>
      <c r="E469" s="176" t="s">
        <v>70</v>
      </c>
      <c r="F469" s="177" t="s">
        <v>870</v>
      </c>
      <c r="G469" s="178">
        <v>45635.0</v>
      </c>
      <c r="H469" s="179">
        <f t="shared" si="1"/>
        <v>0</v>
      </c>
      <c r="I469" s="180" t="s">
        <v>3584</v>
      </c>
      <c r="J469" s="178">
        <v>45635.0</v>
      </c>
      <c r="K469" s="175" t="s">
        <v>2758</v>
      </c>
    </row>
    <row r="470">
      <c r="A470" s="183">
        <v>14518.0</v>
      </c>
      <c r="B470" s="169" t="s">
        <v>147</v>
      </c>
      <c r="C470" s="168">
        <v>2014.0</v>
      </c>
      <c r="D470" s="142" t="s">
        <v>2875</v>
      </c>
      <c r="E470" s="142" t="s">
        <v>21</v>
      </c>
      <c r="F470" s="170" t="s">
        <v>3450</v>
      </c>
      <c r="G470" s="171">
        <v>45635.0</v>
      </c>
      <c r="H470" s="172">
        <f t="shared" si="1"/>
        <v>3</v>
      </c>
      <c r="I470" s="173" t="s">
        <v>3585</v>
      </c>
      <c r="J470" s="171">
        <v>45638.0</v>
      </c>
      <c r="K470" s="169" t="s">
        <v>2758</v>
      </c>
    </row>
    <row r="471">
      <c r="A471" s="181">
        <v>14519.0</v>
      </c>
      <c r="B471" s="175" t="s">
        <v>2923</v>
      </c>
      <c r="C471" s="174">
        <v>2022.0</v>
      </c>
      <c r="D471" s="176" t="s">
        <v>52</v>
      </c>
      <c r="E471" s="176" t="s">
        <v>442</v>
      </c>
      <c r="F471" s="177" t="s">
        <v>2924</v>
      </c>
      <c r="G471" s="178">
        <v>45635.0</v>
      </c>
      <c r="H471" s="179">
        <f t="shared" si="1"/>
        <v>0</v>
      </c>
      <c r="I471" s="180" t="s">
        <v>579</v>
      </c>
      <c r="J471" s="178">
        <v>45635.0</v>
      </c>
      <c r="K471" s="175" t="s">
        <v>2758</v>
      </c>
    </row>
    <row r="472">
      <c r="A472" s="183">
        <v>14521.0</v>
      </c>
      <c r="B472" s="169" t="s">
        <v>286</v>
      </c>
      <c r="C472" s="168">
        <v>2018.0</v>
      </c>
      <c r="D472" s="142" t="s">
        <v>14</v>
      </c>
      <c r="E472" s="142" t="s">
        <v>160</v>
      </c>
      <c r="F472" s="170" t="s">
        <v>287</v>
      </c>
      <c r="G472" s="171">
        <v>45635.0</v>
      </c>
      <c r="H472" s="172">
        <f t="shared" si="1"/>
        <v>29</v>
      </c>
      <c r="I472" s="173" t="s">
        <v>3586</v>
      </c>
      <c r="J472" s="171">
        <v>45664.0</v>
      </c>
      <c r="K472" s="169" t="s">
        <v>2758</v>
      </c>
    </row>
    <row r="473">
      <c r="A473" s="181">
        <v>14537.0</v>
      </c>
      <c r="B473" s="176" t="s">
        <v>2693</v>
      </c>
      <c r="C473" s="174">
        <v>2011.0</v>
      </c>
      <c r="D473" s="176" t="s">
        <v>367</v>
      </c>
      <c r="E473" s="176" t="s">
        <v>725</v>
      </c>
      <c r="F473" s="177" t="s">
        <v>2694</v>
      </c>
      <c r="G473" s="178">
        <v>45636.0</v>
      </c>
      <c r="H473" s="179">
        <f t="shared" si="1"/>
        <v>70</v>
      </c>
      <c r="I473" s="182" t="s">
        <v>3587</v>
      </c>
      <c r="J473" s="178">
        <v>45706.0</v>
      </c>
      <c r="K473" s="175" t="s">
        <v>2758</v>
      </c>
    </row>
    <row r="474">
      <c r="A474" s="183">
        <v>14538.0</v>
      </c>
      <c r="B474" s="169" t="s">
        <v>3588</v>
      </c>
      <c r="C474" s="168">
        <v>2008.0</v>
      </c>
      <c r="D474" s="142" t="s">
        <v>1122</v>
      </c>
      <c r="E474" s="142" t="s">
        <v>47</v>
      </c>
      <c r="F474" s="170" t="s">
        <v>3589</v>
      </c>
      <c r="G474" s="171">
        <v>45636.0</v>
      </c>
      <c r="H474" s="172">
        <f t="shared" si="1"/>
        <v>16</v>
      </c>
      <c r="I474" s="173" t="s">
        <v>3590</v>
      </c>
      <c r="J474" s="171">
        <v>45652.0</v>
      </c>
      <c r="K474" s="169" t="s">
        <v>2758</v>
      </c>
    </row>
    <row r="475">
      <c r="A475" s="181">
        <v>14539.0</v>
      </c>
      <c r="B475" s="176" t="s">
        <v>1613</v>
      </c>
      <c r="C475" s="174">
        <v>2017.0</v>
      </c>
      <c r="D475" s="176" t="s">
        <v>14</v>
      </c>
      <c r="E475" s="176" t="s">
        <v>277</v>
      </c>
      <c r="F475" s="177" t="s">
        <v>226</v>
      </c>
      <c r="G475" s="178">
        <v>45636.0</v>
      </c>
      <c r="H475" s="179">
        <f t="shared" si="1"/>
        <v>44</v>
      </c>
      <c r="I475" s="182" t="s">
        <v>3591</v>
      </c>
      <c r="J475" s="269">
        <v>45680.0</v>
      </c>
      <c r="K475" s="175" t="s">
        <v>84</v>
      </c>
    </row>
    <row r="476">
      <c r="A476" s="183">
        <v>14541.0</v>
      </c>
      <c r="B476" s="169" t="s">
        <v>2980</v>
      </c>
      <c r="C476" s="168">
        <v>2018.0</v>
      </c>
      <c r="D476" s="142" t="s">
        <v>14</v>
      </c>
      <c r="E476" s="142" t="s">
        <v>855</v>
      </c>
      <c r="F476" s="170" t="s">
        <v>2981</v>
      </c>
      <c r="G476" s="171">
        <v>45636.0</v>
      </c>
      <c r="H476" s="172">
        <f t="shared" si="1"/>
        <v>36</v>
      </c>
      <c r="I476" s="173" t="s">
        <v>3592</v>
      </c>
      <c r="J476" s="171">
        <v>45672.0</v>
      </c>
      <c r="K476" s="169" t="s">
        <v>1200</v>
      </c>
      <c r="L476" s="242"/>
      <c r="M476" s="242"/>
      <c r="N476" s="242"/>
      <c r="O476" s="242"/>
      <c r="P476" s="242"/>
      <c r="Q476" s="242"/>
      <c r="R476" s="242"/>
      <c r="S476" s="242"/>
      <c r="T476" s="242"/>
      <c r="U476" s="242"/>
      <c r="V476" s="242"/>
      <c r="W476" s="242"/>
      <c r="X476" s="242"/>
      <c r="Y476" s="242"/>
      <c r="Z476" s="242"/>
      <c r="AA476" s="242"/>
      <c r="AB476" s="242"/>
      <c r="AC476" s="242"/>
    </row>
    <row r="477">
      <c r="A477" s="174">
        <v>14542.0</v>
      </c>
      <c r="B477" s="175" t="s">
        <v>3593</v>
      </c>
      <c r="C477" s="174">
        <v>2010.0</v>
      </c>
      <c r="D477" s="176" t="s">
        <v>367</v>
      </c>
      <c r="E477" s="176" t="s">
        <v>277</v>
      </c>
      <c r="F477" s="177" t="s">
        <v>3594</v>
      </c>
      <c r="G477" s="178">
        <v>45637.0</v>
      </c>
      <c r="H477" s="179">
        <f t="shared" si="1"/>
        <v>1</v>
      </c>
      <c r="I477" s="180" t="s">
        <v>3595</v>
      </c>
      <c r="J477" s="178">
        <v>45638.0</v>
      </c>
      <c r="K477" s="175" t="s">
        <v>2758</v>
      </c>
    </row>
    <row r="478">
      <c r="A478" s="183">
        <v>14543.0</v>
      </c>
      <c r="B478" s="169" t="s">
        <v>1859</v>
      </c>
      <c r="C478" s="168">
        <v>2022.0</v>
      </c>
      <c r="D478" s="142" t="s">
        <v>52</v>
      </c>
      <c r="E478" s="142" t="s">
        <v>459</v>
      </c>
      <c r="F478" s="170" t="s">
        <v>1860</v>
      </c>
      <c r="G478" s="171">
        <v>45637.0</v>
      </c>
      <c r="H478" s="172">
        <f t="shared" si="1"/>
        <v>1</v>
      </c>
      <c r="I478" s="173" t="s">
        <v>3596</v>
      </c>
      <c r="J478" s="171">
        <v>45638.0</v>
      </c>
      <c r="K478" s="169" t="s">
        <v>2758</v>
      </c>
    </row>
    <row r="479">
      <c r="A479" s="181">
        <v>14545.0</v>
      </c>
      <c r="B479" s="176" t="s">
        <v>2745</v>
      </c>
      <c r="C479" s="174">
        <v>2011.0</v>
      </c>
      <c r="D479" s="176" t="s">
        <v>367</v>
      </c>
      <c r="E479" s="176" t="s">
        <v>2746</v>
      </c>
      <c r="F479" s="177" t="s">
        <v>2747</v>
      </c>
      <c r="G479" s="178">
        <v>45637.0</v>
      </c>
      <c r="H479" s="179">
        <f t="shared" si="1"/>
        <v>62</v>
      </c>
      <c r="I479" s="278" t="s">
        <v>3597</v>
      </c>
      <c r="J479" s="178">
        <v>45699.0</v>
      </c>
      <c r="K479" s="175" t="s">
        <v>2758</v>
      </c>
    </row>
    <row r="480">
      <c r="A480" s="183">
        <v>14549.0</v>
      </c>
      <c r="B480" s="169" t="s">
        <v>2717</v>
      </c>
      <c r="C480" s="168">
        <v>2018.0</v>
      </c>
      <c r="D480" s="142" t="s">
        <v>14</v>
      </c>
      <c r="E480" s="142" t="s">
        <v>28</v>
      </c>
      <c r="F480" s="241">
        <v>45947.0</v>
      </c>
      <c r="G480" s="171">
        <v>45637.0</v>
      </c>
      <c r="H480" s="172">
        <f t="shared" si="1"/>
        <v>40</v>
      </c>
      <c r="I480" s="173" t="s">
        <v>3598</v>
      </c>
      <c r="J480" s="171">
        <v>45677.0</v>
      </c>
      <c r="K480" s="169" t="s">
        <v>17</v>
      </c>
    </row>
    <row r="481">
      <c r="A481" s="181">
        <v>14556.0</v>
      </c>
      <c r="B481" s="175" t="s">
        <v>705</v>
      </c>
      <c r="C481" s="174">
        <v>2022.0</v>
      </c>
      <c r="D481" s="176" t="s">
        <v>52</v>
      </c>
      <c r="E481" s="176" t="s">
        <v>169</v>
      </c>
      <c r="F481" s="177" t="s">
        <v>706</v>
      </c>
      <c r="G481" s="178">
        <v>45637.0</v>
      </c>
      <c r="H481" s="179">
        <f t="shared" si="1"/>
        <v>0</v>
      </c>
      <c r="I481" s="180" t="s">
        <v>3599</v>
      </c>
      <c r="J481" s="178">
        <v>45637.0</v>
      </c>
      <c r="K481" s="175" t="s">
        <v>2758</v>
      </c>
    </row>
    <row r="482">
      <c r="A482" s="183">
        <v>14560.0</v>
      </c>
      <c r="B482" s="169" t="s">
        <v>2905</v>
      </c>
      <c r="C482" s="168">
        <v>2014.0</v>
      </c>
      <c r="D482" s="142" t="s">
        <v>3600</v>
      </c>
      <c r="E482" s="142" t="s">
        <v>805</v>
      </c>
      <c r="F482" s="170" t="s">
        <v>2907</v>
      </c>
      <c r="G482" s="171">
        <v>45637.0</v>
      </c>
      <c r="H482" s="172">
        <f t="shared" si="1"/>
        <v>5</v>
      </c>
      <c r="I482" s="173" t="s">
        <v>3601</v>
      </c>
      <c r="J482" s="171">
        <v>45642.0</v>
      </c>
      <c r="K482" s="169" t="s">
        <v>2758</v>
      </c>
    </row>
    <row r="483">
      <c r="A483" s="181">
        <v>14564.0</v>
      </c>
      <c r="B483" s="175" t="s">
        <v>58</v>
      </c>
      <c r="C483" s="174">
        <v>2022.0</v>
      </c>
      <c r="D483" s="176" t="s">
        <v>52</v>
      </c>
      <c r="E483" s="176" t="s">
        <v>53</v>
      </c>
      <c r="F483" s="177" t="s">
        <v>60</v>
      </c>
      <c r="G483" s="178">
        <v>45638.0</v>
      </c>
      <c r="H483" s="179">
        <f t="shared" si="1"/>
        <v>43</v>
      </c>
      <c r="I483" s="180" t="s">
        <v>133</v>
      </c>
      <c r="J483" s="178">
        <v>45681.0</v>
      </c>
      <c r="K483" s="175" t="s">
        <v>2758</v>
      </c>
    </row>
    <row r="484">
      <c r="A484" s="183">
        <v>14565.0</v>
      </c>
      <c r="B484" s="169" t="s">
        <v>417</v>
      </c>
      <c r="C484" s="168">
        <v>2022.0</v>
      </c>
      <c r="D484" s="142" t="s">
        <v>52</v>
      </c>
      <c r="E484" s="142" t="s">
        <v>418</v>
      </c>
      <c r="F484" s="170" t="s">
        <v>419</v>
      </c>
      <c r="G484" s="171">
        <v>45638.0</v>
      </c>
      <c r="H484" s="172">
        <f t="shared" si="1"/>
        <v>0</v>
      </c>
      <c r="I484" s="173" t="s">
        <v>133</v>
      </c>
      <c r="J484" s="171">
        <v>45638.0</v>
      </c>
      <c r="K484" s="169" t="s">
        <v>2758</v>
      </c>
    </row>
    <row r="485">
      <c r="A485" s="181">
        <v>14566.0</v>
      </c>
      <c r="B485" s="176" t="s">
        <v>2274</v>
      </c>
      <c r="C485" s="174">
        <v>2018.0</v>
      </c>
      <c r="D485" s="176" t="s">
        <v>14</v>
      </c>
      <c r="E485" s="176" t="s">
        <v>183</v>
      </c>
      <c r="F485" s="177" t="s">
        <v>2275</v>
      </c>
      <c r="G485" s="178">
        <v>45638.0</v>
      </c>
      <c r="H485" s="179">
        <f t="shared" si="1"/>
        <v>56</v>
      </c>
      <c r="I485" s="182" t="s">
        <v>3252</v>
      </c>
      <c r="J485" s="269">
        <v>45694.0</v>
      </c>
      <c r="K485" s="175" t="s">
        <v>2758</v>
      </c>
    </row>
    <row r="486">
      <c r="A486" s="183">
        <v>14569.0</v>
      </c>
      <c r="B486" s="169" t="s">
        <v>3602</v>
      </c>
      <c r="C486" s="168">
        <v>2019.0</v>
      </c>
      <c r="D486" s="142" t="s">
        <v>14</v>
      </c>
      <c r="E486" s="142" t="s">
        <v>855</v>
      </c>
      <c r="F486" s="170" t="s">
        <v>3603</v>
      </c>
      <c r="G486" s="171">
        <v>45638.0</v>
      </c>
      <c r="H486" s="172">
        <f t="shared" si="1"/>
        <v>25</v>
      </c>
      <c r="I486" s="173" t="s">
        <v>30</v>
      </c>
      <c r="J486" s="171">
        <v>45663.0</v>
      </c>
      <c r="K486" s="169" t="s">
        <v>31</v>
      </c>
    </row>
    <row r="487">
      <c r="A487" s="181">
        <v>14570.0</v>
      </c>
      <c r="B487" s="175" t="s">
        <v>3604</v>
      </c>
      <c r="C487" s="174">
        <v>2018.0</v>
      </c>
      <c r="D487" s="176" t="s">
        <v>14</v>
      </c>
      <c r="E487" s="176" t="s">
        <v>855</v>
      </c>
      <c r="F487" s="177" t="s">
        <v>3605</v>
      </c>
      <c r="G487" s="178">
        <v>45638.0</v>
      </c>
      <c r="H487" s="179">
        <f t="shared" si="1"/>
        <v>25</v>
      </c>
      <c r="I487" s="180" t="s">
        <v>30</v>
      </c>
      <c r="J487" s="178">
        <v>45663.0</v>
      </c>
      <c r="K487" s="175" t="s">
        <v>31</v>
      </c>
    </row>
    <row r="488">
      <c r="A488" s="183">
        <v>14571.0</v>
      </c>
      <c r="B488" s="142" t="s">
        <v>3485</v>
      </c>
      <c r="C488" s="168">
        <v>2018.0</v>
      </c>
      <c r="D488" s="142" t="s">
        <v>3606</v>
      </c>
      <c r="E488" s="142" t="s">
        <v>3607</v>
      </c>
      <c r="F488" s="170" t="s">
        <v>221</v>
      </c>
      <c r="G488" s="171">
        <v>45638.0</v>
      </c>
      <c r="H488" s="172">
        <f t="shared" si="1"/>
        <v>7</v>
      </c>
      <c r="I488" s="211" t="s">
        <v>3608</v>
      </c>
      <c r="J488" s="171">
        <v>45645.0</v>
      </c>
      <c r="K488" s="169" t="s">
        <v>2758</v>
      </c>
    </row>
    <row r="489">
      <c r="A489" s="181">
        <v>14576.0</v>
      </c>
      <c r="B489" s="175" t="s">
        <v>3609</v>
      </c>
      <c r="C489" s="174">
        <v>2018.0</v>
      </c>
      <c r="D489" s="176" t="s">
        <v>14</v>
      </c>
      <c r="E489" s="176" t="s">
        <v>802</v>
      </c>
      <c r="F489" s="177" t="s">
        <v>3610</v>
      </c>
      <c r="G489" s="178">
        <v>45639.0</v>
      </c>
      <c r="H489" s="179">
        <f t="shared" si="1"/>
        <v>0</v>
      </c>
      <c r="I489" s="180" t="s">
        <v>133</v>
      </c>
      <c r="J489" s="178">
        <v>45639.0</v>
      </c>
      <c r="K489" s="175" t="s">
        <v>2758</v>
      </c>
      <c r="L489" s="242"/>
      <c r="M489" s="242"/>
      <c r="N489" s="242"/>
      <c r="O489" s="242"/>
      <c r="P489" s="242"/>
      <c r="Q489" s="242"/>
      <c r="R489" s="242"/>
      <c r="S489" s="242"/>
      <c r="T489" s="242"/>
      <c r="U489" s="242"/>
      <c r="V489" s="242"/>
      <c r="W489" s="242"/>
      <c r="X489" s="242"/>
      <c r="Y489" s="242"/>
      <c r="Z489" s="242"/>
      <c r="AA489" s="242"/>
      <c r="AB489" s="242"/>
      <c r="AC489" s="242"/>
    </row>
    <row r="490">
      <c r="A490" s="183">
        <v>14577.0</v>
      </c>
      <c r="B490" s="169" t="s">
        <v>3412</v>
      </c>
      <c r="C490" s="168">
        <v>2018.0</v>
      </c>
      <c r="D490" s="142" t="s">
        <v>52</v>
      </c>
      <c r="E490" s="142" t="s">
        <v>912</v>
      </c>
      <c r="F490" s="170" t="s">
        <v>3413</v>
      </c>
      <c r="G490" s="171">
        <v>45639.0</v>
      </c>
      <c r="H490" s="172">
        <f t="shared" si="1"/>
        <v>0</v>
      </c>
      <c r="I490" s="173" t="s">
        <v>579</v>
      </c>
      <c r="J490" s="171">
        <v>45639.0</v>
      </c>
      <c r="K490" s="169" t="s">
        <v>2758</v>
      </c>
    </row>
    <row r="491">
      <c r="A491" s="181">
        <v>14580.0</v>
      </c>
      <c r="B491" s="176" t="s">
        <v>2556</v>
      </c>
      <c r="C491" s="174">
        <v>2020.0</v>
      </c>
      <c r="D491" s="176" t="s">
        <v>14</v>
      </c>
      <c r="E491" s="176" t="s">
        <v>235</v>
      </c>
      <c r="F491" s="177" t="s">
        <v>2557</v>
      </c>
      <c r="G491" s="178">
        <v>45639.0</v>
      </c>
      <c r="H491" s="179">
        <f t="shared" si="1"/>
        <v>53</v>
      </c>
      <c r="I491" s="182" t="s">
        <v>3611</v>
      </c>
      <c r="J491" s="178">
        <v>45692.0</v>
      </c>
      <c r="K491" s="175" t="s">
        <v>84</v>
      </c>
    </row>
    <row r="492">
      <c r="A492" s="183">
        <v>14581.0</v>
      </c>
      <c r="B492" s="169" t="s">
        <v>2900</v>
      </c>
      <c r="C492" s="168">
        <v>2018.0</v>
      </c>
      <c r="D492" s="142" t="s">
        <v>14</v>
      </c>
      <c r="E492" s="142" t="s">
        <v>2333</v>
      </c>
      <c r="F492" s="170" t="s">
        <v>2901</v>
      </c>
      <c r="G492" s="171">
        <v>45639.0</v>
      </c>
      <c r="H492" s="172">
        <f t="shared" si="1"/>
        <v>48</v>
      </c>
      <c r="I492" s="173" t="s">
        <v>3612</v>
      </c>
      <c r="J492" s="171">
        <v>45687.0</v>
      </c>
      <c r="K492" s="169" t="s">
        <v>2758</v>
      </c>
    </row>
    <row r="493">
      <c r="A493" s="181">
        <v>14584.0</v>
      </c>
      <c r="B493" s="175" t="s">
        <v>3052</v>
      </c>
      <c r="C493" s="174">
        <v>2022.0</v>
      </c>
      <c r="D493" s="176" t="s">
        <v>52</v>
      </c>
      <c r="E493" s="176" t="s">
        <v>2788</v>
      </c>
      <c r="F493" s="177" t="s">
        <v>3053</v>
      </c>
      <c r="G493" s="178">
        <v>45642.0</v>
      </c>
      <c r="H493" s="179">
        <f t="shared" si="1"/>
        <v>0</v>
      </c>
      <c r="I493" s="180" t="s">
        <v>3613</v>
      </c>
      <c r="J493" s="178">
        <v>45642.0</v>
      </c>
      <c r="K493" s="175" t="s">
        <v>2758</v>
      </c>
    </row>
    <row r="494">
      <c r="A494" s="183">
        <v>14590.0</v>
      </c>
      <c r="B494" s="142" t="s">
        <v>80</v>
      </c>
      <c r="C494" s="168">
        <v>2020.0</v>
      </c>
      <c r="D494" s="142" t="s">
        <v>81</v>
      </c>
      <c r="E494" s="142" t="s">
        <v>82</v>
      </c>
      <c r="F494" s="170" t="s">
        <v>3177</v>
      </c>
      <c r="G494" s="171">
        <v>45643.0</v>
      </c>
      <c r="H494" s="172">
        <f t="shared" si="1"/>
        <v>0</v>
      </c>
      <c r="I494" s="211" t="s">
        <v>3614</v>
      </c>
      <c r="J494" s="171">
        <v>45643.0</v>
      </c>
      <c r="K494" s="169" t="s">
        <v>2758</v>
      </c>
    </row>
    <row r="495">
      <c r="A495" s="181">
        <v>14591.0</v>
      </c>
      <c r="B495" s="176" t="s">
        <v>1215</v>
      </c>
      <c r="C495" s="174">
        <v>2015.0</v>
      </c>
      <c r="D495" s="176" t="s">
        <v>14</v>
      </c>
      <c r="E495" s="176" t="s">
        <v>28</v>
      </c>
      <c r="F495" s="177">
        <v>22684.0</v>
      </c>
      <c r="G495" s="178">
        <v>45643.0</v>
      </c>
      <c r="H495" s="179">
        <f t="shared" si="1"/>
        <v>37</v>
      </c>
      <c r="I495" s="182" t="s">
        <v>3615</v>
      </c>
      <c r="J495" s="269">
        <v>45680.0</v>
      </c>
      <c r="K495" s="175" t="s">
        <v>2758</v>
      </c>
    </row>
    <row r="496">
      <c r="A496" s="168">
        <v>14596.0</v>
      </c>
      <c r="B496" s="169" t="s">
        <v>3616</v>
      </c>
      <c r="C496" s="168">
        <v>2022.0</v>
      </c>
      <c r="D496" s="142" t="s">
        <v>52</v>
      </c>
      <c r="E496" s="142" t="s">
        <v>28</v>
      </c>
      <c r="F496" s="170" t="s">
        <v>112</v>
      </c>
      <c r="G496" s="171">
        <v>45643.0</v>
      </c>
      <c r="H496" s="172">
        <f t="shared" si="1"/>
        <v>0</v>
      </c>
      <c r="I496" s="173" t="s">
        <v>3617</v>
      </c>
      <c r="J496" s="171">
        <v>45643.0</v>
      </c>
      <c r="K496" s="169" t="s">
        <v>2758</v>
      </c>
    </row>
    <row r="497">
      <c r="A497" s="181">
        <v>14598.0</v>
      </c>
      <c r="B497" s="175" t="s">
        <v>1537</v>
      </c>
      <c r="C497" s="174">
        <v>2011.0</v>
      </c>
      <c r="D497" s="176" t="s">
        <v>367</v>
      </c>
      <c r="E497" s="176" t="s">
        <v>225</v>
      </c>
      <c r="F497" s="177" t="s">
        <v>1538</v>
      </c>
      <c r="G497" s="178">
        <v>45643.0</v>
      </c>
      <c r="H497" s="179">
        <f t="shared" si="1"/>
        <v>43</v>
      </c>
      <c r="I497" s="180" t="s">
        <v>3618</v>
      </c>
      <c r="J497" s="178">
        <v>45686.0</v>
      </c>
      <c r="K497" s="175" t="s">
        <v>2758</v>
      </c>
    </row>
    <row r="498">
      <c r="A498" s="183">
        <v>14602.0</v>
      </c>
      <c r="B498" s="169" t="s">
        <v>3143</v>
      </c>
      <c r="C498" s="168">
        <v>2010.0</v>
      </c>
      <c r="D498" s="142" t="s">
        <v>2705</v>
      </c>
      <c r="E498" s="142" t="s">
        <v>125</v>
      </c>
      <c r="F498" s="170" t="s">
        <v>3144</v>
      </c>
      <c r="G498" s="171">
        <v>45643.0</v>
      </c>
      <c r="H498" s="172">
        <f t="shared" si="1"/>
        <v>17</v>
      </c>
      <c r="I498" s="173" t="s">
        <v>603</v>
      </c>
      <c r="J498" s="171">
        <v>45660.0</v>
      </c>
      <c r="K498" s="169" t="s">
        <v>31</v>
      </c>
      <c r="L498" s="242"/>
      <c r="M498" s="242"/>
      <c r="N498" s="242"/>
      <c r="O498" s="242"/>
      <c r="P498" s="242"/>
      <c r="Q498" s="242"/>
      <c r="R498" s="242"/>
      <c r="S498" s="242"/>
      <c r="T498" s="242"/>
      <c r="U498" s="242"/>
      <c r="V498" s="242"/>
      <c r="W498" s="242"/>
      <c r="X498" s="242"/>
      <c r="Y498" s="242"/>
      <c r="Z498" s="242"/>
      <c r="AA498" s="242"/>
      <c r="AB498" s="242"/>
      <c r="AC498" s="242"/>
    </row>
    <row r="499">
      <c r="A499" s="174">
        <v>14605.0</v>
      </c>
      <c r="B499" s="175" t="s">
        <v>417</v>
      </c>
      <c r="C499" s="174">
        <v>2022.0</v>
      </c>
      <c r="D499" s="176" t="s">
        <v>52</v>
      </c>
      <c r="E499" s="176" t="s">
        <v>418</v>
      </c>
      <c r="F499" s="195"/>
      <c r="G499" s="178">
        <v>45644.0</v>
      </c>
      <c r="H499" s="179">
        <f t="shared" si="1"/>
        <v>0</v>
      </c>
      <c r="I499" s="180" t="s">
        <v>3619</v>
      </c>
      <c r="J499" s="178">
        <v>45644.0</v>
      </c>
      <c r="K499" s="175" t="s">
        <v>2758</v>
      </c>
    </row>
    <row r="500">
      <c r="A500" s="183">
        <v>14607.0</v>
      </c>
      <c r="B500" s="169" t="s">
        <v>3620</v>
      </c>
      <c r="C500" s="168">
        <v>2010.0</v>
      </c>
      <c r="D500" s="142" t="s">
        <v>75</v>
      </c>
      <c r="E500" s="142" t="s">
        <v>125</v>
      </c>
      <c r="F500" s="170" t="s">
        <v>3621</v>
      </c>
      <c r="G500" s="171">
        <v>45644.0</v>
      </c>
      <c r="H500" s="172">
        <f t="shared" si="1"/>
        <v>43</v>
      </c>
      <c r="I500" s="173" t="s">
        <v>3622</v>
      </c>
      <c r="J500" s="171">
        <v>45687.0</v>
      </c>
      <c r="K500" s="169" t="s">
        <v>2758</v>
      </c>
    </row>
    <row r="501">
      <c r="A501" s="181">
        <v>14611.0</v>
      </c>
      <c r="B501" s="175" t="s">
        <v>3283</v>
      </c>
      <c r="C501" s="174">
        <v>2022.0</v>
      </c>
      <c r="D501" s="176" t="s">
        <v>52</v>
      </c>
      <c r="E501" s="176" t="s">
        <v>240</v>
      </c>
      <c r="F501" s="177" t="s">
        <v>3284</v>
      </c>
      <c r="G501" s="178">
        <v>45644.0</v>
      </c>
      <c r="H501" s="179">
        <f t="shared" si="1"/>
        <v>1</v>
      </c>
      <c r="I501" s="180" t="s">
        <v>3623</v>
      </c>
      <c r="J501" s="178">
        <v>45645.0</v>
      </c>
      <c r="K501" s="175" t="s">
        <v>31</v>
      </c>
    </row>
    <row r="502">
      <c r="A502" s="203">
        <v>14611.0</v>
      </c>
      <c r="B502" s="204" t="s">
        <v>3283</v>
      </c>
      <c r="C502" s="279">
        <v>2022.0</v>
      </c>
      <c r="D502" s="204" t="s">
        <v>52</v>
      </c>
      <c r="E502" s="204" t="s">
        <v>240</v>
      </c>
      <c r="F502" s="280" t="s">
        <v>3284</v>
      </c>
      <c r="G502" s="207">
        <v>45644.0</v>
      </c>
      <c r="H502" s="172">
        <f t="shared" si="1"/>
        <v>33</v>
      </c>
      <c r="I502" s="208" t="s">
        <v>3624</v>
      </c>
      <c r="J502" s="171">
        <v>45677.0</v>
      </c>
      <c r="K502" s="169" t="s">
        <v>2758</v>
      </c>
    </row>
    <row r="503">
      <c r="A503" s="181">
        <v>14619.0</v>
      </c>
      <c r="B503" s="175" t="s">
        <v>2424</v>
      </c>
      <c r="C503" s="174">
        <v>2022.0</v>
      </c>
      <c r="D503" s="176" t="s">
        <v>52</v>
      </c>
      <c r="E503" s="176" t="s">
        <v>459</v>
      </c>
      <c r="F503" s="177" t="s">
        <v>3625</v>
      </c>
      <c r="G503" s="178">
        <v>45645.0</v>
      </c>
      <c r="H503" s="179">
        <f t="shared" si="1"/>
        <v>4</v>
      </c>
      <c r="I503" s="180" t="s">
        <v>3626</v>
      </c>
      <c r="J503" s="178">
        <v>45649.0</v>
      </c>
      <c r="K503" s="175" t="s">
        <v>2758</v>
      </c>
    </row>
    <row r="504">
      <c r="A504" s="183">
        <v>14622.0</v>
      </c>
      <c r="B504" s="169" t="s">
        <v>3627</v>
      </c>
      <c r="C504" s="168">
        <v>2022.0</v>
      </c>
      <c r="D504" s="142" t="s">
        <v>52</v>
      </c>
      <c r="E504" s="142" t="s">
        <v>855</v>
      </c>
      <c r="F504" s="170" t="s">
        <v>3628</v>
      </c>
      <c r="G504" s="171">
        <v>45646.0</v>
      </c>
      <c r="H504" s="172">
        <f t="shared" si="1"/>
        <v>0</v>
      </c>
      <c r="I504" s="173" t="s">
        <v>3629</v>
      </c>
      <c r="J504" s="171">
        <v>45646.0</v>
      </c>
      <c r="K504" s="169" t="s">
        <v>2758</v>
      </c>
    </row>
    <row r="505">
      <c r="A505" s="181">
        <v>14624.0</v>
      </c>
      <c r="B505" s="175" t="s">
        <v>2885</v>
      </c>
      <c r="C505" s="174">
        <v>2015.0</v>
      </c>
      <c r="D505" s="176" t="s">
        <v>14</v>
      </c>
      <c r="E505" s="176" t="s">
        <v>225</v>
      </c>
      <c r="F505" s="177" t="s">
        <v>2886</v>
      </c>
      <c r="G505" s="178">
        <v>45646.0</v>
      </c>
      <c r="H505" s="179">
        <f t="shared" si="1"/>
        <v>41</v>
      </c>
      <c r="I505" s="180" t="s">
        <v>3630</v>
      </c>
      <c r="J505" s="178">
        <v>45687.0</v>
      </c>
      <c r="K505" s="175" t="s">
        <v>2758</v>
      </c>
    </row>
    <row r="506">
      <c r="A506" s="183">
        <v>14629.0</v>
      </c>
      <c r="B506" s="169" t="s">
        <v>3106</v>
      </c>
      <c r="C506" s="168">
        <v>2018.0</v>
      </c>
      <c r="D506" s="142" t="s">
        <v>14</v>
      </c>
      <c r="E506" s="142" t="s">
        <v>2788</v>
      </c>
      <c r="F506" s="170" t="s">
        <v>3107</v>
      </c>
      <c r="G506" s="171">
        <v>45649.0</v>
      </c>
      <c r="H506" s="172">
        <f t="shared" si="1"/>
        <v>23</v>
      </c>
      <c r="I506" s="173" t="s">
        <v>3631</v>
      </c>
      <c r="J506" s="171">
        <v>45672.0</v>
      </c>
      <c r="K506" s="169" t="s">
        <v>2758</v>
      </c>
    </row>
    <row r="507">
      <c r="A507" s="181">
        <v>14630.0</v>
      </c>
      <c r="B507" s="176" t="s">
        <v>3632</v>
      </c>
      <c r="C507" s="174">
        <v>2022.0</v>
      </c>
      <c r="D507" s="176" t="s">
        <v>197</v>
      </c>
      <c r="E507" s="176" t="s">
        <v>2788</v>
      </c>
      <c r="F507" s="177">
        <v>37.0</v>
      </c>
      <c r="G507" s="178">
        <v>45649.0</v>
      </c>
      <c r="H507" s="179">
        <f t="shared" si="1"/>
        <v>24</v>
      </c>
      <c r="I507" s="180" t="s">
        <v>3633</v>
      </c>
      <c r="J507" s="178">
        <v>45673.0</v>
      </c>
      <c r="K507" s="175" t="s">
        <v>2758</v>
      </c>
    </row>
    <row r="508">
      <c r="A508" s="183">
        <v>14631.0</v>
      </c>
      <c r="B508" s="169" t="s">
        <v>3129</v>
      </c>
      <c r="C508" s="168">
        <v>2015.0</v>
      </c>
      <c r="D508" s="142" t="s">
        <v>130</v>
      </c>
      <c r="E508" s="142" t="s">
        <v>70</v>
      </c>
      <c r="F508" s="170" t="s">
        <v>3131</v>
      </c>
      <c r="G508" s="171">
        <v>45649.0</v>
      </c>
      <c r="H508" s="172">
        <f t="shared" si="1"/>
        <v>11</v>
      </c>
      <c r="I508" s="173" t="s">
        <v>3634</v>
      </c>
      <c r="J508" s="171">
        <v>45660.0</v>
      </c>
      <c r="K508" s="169" t="s">
        <v>2758</v>
      </c>
    </row>
    <row r="509">
      <c r="A509" s="181">
        <v>14634.0</v>
      </c>
      <c r="B509" s="175" t="s">
        <v>2812</v>
      </c>
      <c r="C509" s="281">
        <v>2015.0</v>
      </c>
      <c r="D509" s="176" t="s">
        <v>14</v>
      </c>
      <c r="E509" s="176" t="s">
        <v>70</v>
      </c>
      <c r="F509" s="177" t="s">
        <v>2813</v>
      </c>
      <c r="G509" s="178">
        <v>45650.0</v>
      </c>
      <c r="H509" s="179">
        <f t="shared" si="1"/>
        <v>10</v>
      </c>
      <c r="I509" s="180" t="s">
        <v>30</v>
      </c>
      <c r="J509" s="178">
        <v>45660.0</v>
      </c>
      <c r="K509" s="175" t="s">
        <v>31</v>
      </c>
    </row>
    <row r="510">
      <c r="A510" s="183">
        <v>14635.0</v>
      </c>
      <c r="B510" s="169" t="s">
        <v>3109</v>
      </c>
      <c r="C510" s="168">
        <v>2022.0</v>
      </c>
      <c r="D510" s="142" t="s">
        <v>52</v>
      </c>
      <c r="E510" s="142" t="s">
        <v>459</v>
      </c>
      <c r="F510" s="170" t="s">
        <v>3464</v>
      </c>
      <c r="G510" s="171">
        <v>45652.0</v>
      </c>
      <c r="H510" s="172">
        <f t="shared" si="1"/>
        <v>7</v>
      </c>
      <c r="I510" s="173" t="s">
        <v>3635</v>
      </c>
      <c r="J510" s="171">
        <v>45659.0</v>
      </c>
      <c r="K510" s="169" t="s">
        <v>1200</v>
      </c>
    </row>
    <row r="511">
      <c r="A511" s="181">
        <v>14635.0</v>
      </c>
      <c r="B511" s="175" t="s">
        <v>3109</v>
      </c>
      <c r="C511" s="174">
        <v>2022.0</v>
      </c>
      <c r="D511" s="176" t="s">
        <v>52</v>
      </c>
      <c r="E511" s="176" t="s">
        <v>459</v>
      </c>
      <c r="F511" s="177" t="s">
        <v>3464</v>
      </c>
      <c r="G511" s="178">
        <v>45652.0</v>
      </c>
      <c r="H511" s="179">
        <f t="shared" si="1"/>
        <v>28</v>
      </c>
      <c r="I511" s="180" t="s">
        <v>3636</v>
      </c>
      <c r="J511" s="178">
        <v>45680.0</v>
      </c>
      <c r="K511" s="175" t="s">
        <v>2758</v>
      </c>
    </row>
    <row r="512">
      <c r="A512" s="183">
        <v>14636.0</v>
      </c>
      <c r="B512" s="169" t="s">
        <v>1909</v>
      </c>
      <c r="C512" s="168">
        <v>2022.0</v>
      </c>
      <c r="D512" s="142" t="s">
        <v>52</v>
      </c>
      <c r="E512" s="142" t="s">
        <v>3637</v>
      </c>
      <c r="F512" s="170" t="s">
        <v>1910</v>
      </c>
      <c r="G512" s="171">
        <v>45652.0</v>
      </c>
      <c r="H512" s="172">
        <f t="shared" si="1"/>
        <v>0</v>
      </c>
      <c r="I512" s="173" t="s">
        <v>3638</v>
      </c>
      <c r="J512" s="171">
        <v>45652.0</v>
      </c>
      <c r="K512" s="169" t="s">
        <v>2758</v>
      </c>
    </row>
    <row r="513">
      <c r="A513" s="181">
        <v>14637.0</v>
      </c>
      <c r="B513" s="175" t="s">
        <v>586</v>
      </c>
      <c r="C513" s="174">
        <v>2014.0</v>
      </c>
      <c r="D513" s="176" t="s">
        <v>130</v>
      </c>
      <c r="E513" s="176" t="s">
        <v>95</v>
      </c>
      <c r="F513" s="177" t="s">
        <v>587</v>
      </c>
      <c r="G513" s="178">
        <v>45652.0</v>
      </c>
      <c r="H513" s="179">
        <f t="shared" si="1"/>
        <v>0</v>
      </c>
      <c r="I513" s="180" t="s">
        <v>3639</v>
      </c>
      <c r="J513" s="178">
        <v>45652.0</v>
      </c>
      <c r="K513" s="175" t="s">
        <v>2758</v>
      </c>
    </row>
    <row r="514">
      <c r="A514" s="183">
        <v>14649.0</v>
      </c>
      <c r="B514" s="169" t="s">
        <v>2970</v>
      </c>
      <c r="C514" s="168">
        <v>2014.0</v>
      </c>
      <c r="D514" s="142" t="s">
        <v>105</v>
      </c>
      <c r="E514" s="142" t="s">
        <v>21</v>
      </c>
      <c r="F514" s="170" t="s">
        <v>2971</v>
      </c>
      <c r="G514" s="171">
        <v>45653.0</v>
      </c>
      <c r="H514" s="172">
        <f t="shared" si="1"/>
        <v>17</v>
      </c>
      <c r="I514" s="173" t="s">
        <v>3640</v>
      </c>
      <c r="J514" s="171">
        <v>45670.0</v>
      </c>
      <c r="K514" s="169" t="s">
        <v>31</v>
      </c>
    </row>
    <row r="515">
      <c r="A515" s="181">
        <v>14651.0</v>
      </c>
      <c r="B515" s="175" t="s">
        <v>1005</v>
      </c>
      <c r="C515" s="174">
        <v>2022.0</v>
      </c>
      <c r="D515" s="176" t="s">
        <v>52</v>
      </c>
      <c r="E515" s="176" t="s">
        <v>235</v>
      </c>
      <c r="F515" s="177" t="s">
        <v>1006</v>
      </c>
      <c r="G515" s="178">
        <v>45656.0</v>
      </c>
      <c r="H515" s="179">
        <f t="shared" si="1"/>
        <v>3</v>
      </c>
      <c r="I515" s="180" t="s">
        <v>3641</v>
      </c>
      <c r="J515" s="178">
        <v>45659.0</v>
      </c>
      <c r="K515" s="175" t="s">
        <v>2758</v>
      </c>
      <c r="L515" s="282"/>
      <c r="M515" s="282"/>
      <c r="N515" s="282"/>
      <c r="O515" s="282"/>
      <c r="P515" s="282"/>
      <c r="Q515" s="282"/>
      <c r="R515" s="282"/>
      <c r="S515" s="282"/>
      <c r="T515" s="282"/>
      <c r="U515" s="282"/>
      <c r="V515" s="282"/>
      <c r="W515" s="282"/>
      <c r="X515" s="282"/>
      <c r="Y515" s="282"/>
      <c r="Z515" s="282"/>
      <c r="AA515" s="282"/>
      <c r="AB515" s="282"/>
      <c r="AC515" s="282"/>
      <c r="AD515" s="282"/>
    </row>
    <row r="516">
      <c r="A516" s="183">
        <v>14652.0</v>
      </c>
      <c r="B516" s="169" t="s">
        <v>1840</v>
      </c>
      <c r="C516" s="168">
        <v>2019.0</v>
      </c>
      <c r="D516" s="142" t="s">
        <v>14</v>
      </c>
      <c r="E516" s="142" t="s">
        <v>399</v>
      </c>
      <c r="F516" s="170" t="s">
        <v>1841</v>
      </c>
      <c r="G516" s="171">
        <v>45656.0</v>
      </c>
      <c r="H516" s="172">
        <f t="shared" si="1"/>
        <v>9</v>
      </c>
      <c r="I516" s="173" t="s">
        <v>3642</v>
      </c>
      <c r="J516" s="171">
        <v>45665.0</v>
      </c>
      <c r="K516" s="169" t="s">
        <v>2758</v>
      </c>
    </row>
    <row r="517">
      <c r="A517" s="181">
        <v>14653.0</v>
      </c>
      <c r="B517" s="175" t="s">
        <v>2807</v>
      </c>
      <c r="C517" s="174">
        <v>2018.0</v>
      </c>
      <c r="D517" s="176" t="s">
        <v>52</v>
      </c>
      <c r="E517" s="176" t="s">
        <v>459</v>
      </c>
      <c r="F517" s="177" t="s">
        <v>2808</v>
      </c>
      <c r="G517" s="178">
        <v>45656.0</v>
      </c>
      <c r="H517" s="179">
        <f t="shared" si="1"/>
        <v>18</v>
      </c>
      <c r="I517" s="180" t="s">
        <v>3643</v>
      </c>
      <c r="J517" s="178">
        <v>45674.0</v>
      </c>
      <c r="K517" s="175" t="s">
        <v>2758</v>
      </c>
    </row>
    <row r="518">
      <c r="A518" s="183">
        <v>14661.0</v>
      </c>
      <c r="B518" s="142" t="s">
        <v>2835</v>
      </c>
      <c r="C518" s="168">
        <v>2017.0</v>
      </c>
      <c r="D518" s="142" t="s">
        <v>14</v>
      </c>
      <c r="E518" s="142" t="s">
        <v>725</v>
      </c>
      <c r="F518" s="170" t="s">
        <v>2836</v>
      </c>
      <c r="G518" s="171">
        <v>45660.0</v>
      </c>
      <c r="H518" s="172">
        <f t="shared" si="1"/>
        <v>32</v>
      </c>
      <c r="I518" s="211" t="s">
        <v>3644</v>
      </c>
      <c r="J518" s="268">
        <v>45692.0</v>
      </c>
      <c r="K518" s="169" t="s">
        <v>2758</v>
      </c>
    </row>
    <row r="519">
      <c r="A519" s="181">
        <v>14662.0</v>
      </c>
      <c r="B519" s="176" t="s">
        <v>723</v>
      </c>
      <c r="C519" s="174">
        <v>2018.0</v>
      </c>
      <c r="D519" s="176" t="s">
        <v>14</v>
      </c>
      <c r="E519" s="176" t="s">
        <v>725</v>
      </c>
      <c r="F519" s="177" t="s">
        <v>726</v>
      </c>
      <c r="G519" s="178">
        <v>45660.0</v>
      </c>
      <c r="H519" s="179">
        <f t="shared" si="1"/>
        <v>21</v>
      </c>
      <c r="I519" s="180" t="s">
        <v>3645</v>
      </c>
      <c r="J519" s="178">
        <v>45681.0</v>
      </c>
      <c r="K519" s="175" t="s">
        <v>2758</v>
      </c>
    </row>
    <row r="520">
      <c r="A520" s="183">
        <v>14663.0</v>
      </c>
      <c r="B520" s="169" t="s">
        <v>869</v>
      </c>
      <c r="C520" s="168">
        <v>2022.0</v>
      </c>
      <c r="D520" s="142" t="s">
        <v>14</v>
      </c>
      <c r="E520" s="142" t="s">
        <v>70</v>
      </c>
      <c r="F520" s="170" t="s">
        <v>870</v>
      </c>
      <c r="G520" s="171">
        <v>45660.0</v>
      </c>
      <c r="H520" s="172">
        <f t="shared" si="1"/>
        <v>0</v>
      </c>
      <c r="I520" s="173" t="s">
        <v>3479</v>
      </c>
      <c r="J520" s="171">
        <v>45660.0</v>
      </c>
      <c r="K520" s="169" t="s">
        <v>2758</v>
      </c>
    </row>
    <row r="521">
      <c r="A521" s="181">
        <v>14667.0</v>
      </c>
      <c r="B521" s="176" t="s">
        <v>3646</v>
      </c>
      <c r="C521" s="174">
        <v>2014.0</v>
      </c>
      <c r="D521" s="176" t="s">
        <v>105</v>
      </c>
      <c r="E521" s="176" t="s">
        <v>2788</v>
      </c>
      <c r="F521" s="177" t="s">
        <v>3647</v>
      </c>
      <c r="G521" s="178">
        <v>45663.0</v>
      </c>
      <c r="H521" s="179">
        <f t="shared" si="1"/>
        <v>45</v>
      </c>
      <c r="I521" s="182" t="s">
        <v>3648</v>
      </c>
      <c r="J521" s="178">
        <v>45708.0</v>
      </c>
      <c r="K521" s="175" t="s">
        <v>31</v>
      </c>
    </row>
    <row r="522">
      <c r="A522" s="183">
        <v>14667.0</v>
      </c>
      <c r="B522" s="142" t="s">
        <v>3646</v>
      </c>
      <c r="C522" s="168">
        <v>2014.0</v>
      </c>
      <c r="D522" s="142" t="s">
        <v>105</v>
      </c>
      <c r="E522" s="142" t="s">
        <v>2788</v>
      </c>
      <c r="F522" s="170" t="s">
        <v>3647</v>
      </c>
      <c r="G522" s="171">
        <v>45793.0</v>
      </c>
      <c r="H522" s="172">
        <f t="shared" si="1"/>
        <v>11</v>
      </c>
      <c r="I522" s="211" t="s">
        <v>3649</v>
      </c>
      <c r="J522" s="268">
        <v>45804.0</v>
      </c>
      <c r="K522" s="169" t="s">
        <v>2758</v>
      </c>
    </row>
    <row r="523">
      <c r="A523" s="181">
        <v>14668.0</v>
      </c>
      <c r="B523" s="175" t="s">
        <v>3076</v>
      </c>
      <c r="C523" s="174">
        <v>2018.0</v>
      </c>
      <c r="D523" s="176" t="s">
        <v>14</v>
      </c>
      <c r="E523" s="176" t="s">
        <v>855</v>
      </c>
      <c r="F523" s="177" t="s">
        <v>3077</v>
      </c>
      <c r="G523" s="178">
        <v>45663.0</v>
      </c>
      <c r="H523" s="179">
        <f t="shared" si="1"/>
        <v>10</v>
      </c>
      <c r="I523" s="180" t="s">
        <v>3650</v>
      </c>
      <c r="J523" s="178">
        <v>45673.0</v>
      </c>
      <c r="K523" s="175" t="s">
        <v>2758</v>
      </c>
    </row>
    <row r="524">
      <c r="A524" s="183">
        <v>14670.0</v>
      </c>
      <c r="B524" s="169" t="s">
        <v>3651</v>
      </c>
      <c r="C524" s="168">
        <v>2014.0</v>
      </c>
      <c r="D524" s="142" t="s">
        <v>3307</v>
      </c>
      <c r="E524" s="142" t="s">
        <v>855</v>
      </c>
      <c r="F524" s="170" t="s">
        <v>3652</v>
      </c>
      <c r="G524" s="171">
        <v>45663.0</v>
      </c>
      <c r="H524" s="172">
        <f t="shared" si="1"/>
        <v>7</v>
      </c>
      <c r="I524" s="173" t="s">
        <v>3653</v>
      </c>
      <c r="J524" s="171">
        <v>45670.0</v>
      </c>
      <c r="K524" s="169" t="s">
        <v>31</v>
      </c>
    </row>
    <row r="525">
      <c r="A525" s="181">
        <v>14673.0</v>
      </c>
      <c r="B525" s="175" t="s">
        <v>829</v>
      </c>
      <c r="C525" s="174">
        <v>2022.0</v>
      </c>
      <c r="D525" s="176" t="s">
        <v>52</v>
      </c>
      <c r="E525" s="176" t="s">
        <v>95</v>
      </c>
      <c r="F525" s="177" t="s">
        <v>830</v>
      </c>
      <c r="G525" s="178">
        <v>45663.0</v>
      </c>
      <c r="H525" s="179">
        <f t="shared" si="1"/>
        <v>3</v>
      </c>
      <c r="I525" s="180" t="s">
        <v>3654</v>
      </c>
      <c r="J525" s="178">
        <v>45666.0</v>
      </c>
      <c r="K525" s="175" t="s">
        <v>84</v>
      </c>
      <c r="L525" s="242"/>
      <c r="M525" s="242"/>
      <c r="N525" s="242"/>
      <c r="O525" s="242"/>
      <c r="P525" s="242"/>
      <c r="Q525" s="242"/>
      <c r="R525" s="242"/>
      <c r="S525" s="242"/>
      <c r="T525" s="242"/>
      <c r="U525" s="242"/>
      <c r="V525" s="242"/>
      <c r="W525" s="242"/>
      <c r="X525" s="242"/>
      <c r="Y525" s="242"/>
      <c r="Z525" s="242"/>
      <c r="AA525" s="242"/>
      <c r="AB525" s="242"/>
      <c r="AC525" s="242"/>
    </row>
    <row r="526">
      <c r="A526" s="168">
        <v>14677.0</v>
      </c>
      <c r="B526" s="283" t="s">
        <v>2005</v>
      </c>
      <c r="C526" s="168">
        <v>2011.0</v>
      </c>
      <c r="D526" s="142" t="s">
        <v>367</v>
      </c>
      <c r="E526" s="142" t="s">
        <v>405</v>
      </c>
      <c r="F526" s="170" t="s">
        <v>2006</v>
      </c>
      <c r="G526" s="171">
        <v>45663.0</v>
      </c>
      <c r="H526" s="172">
        <f t="shared" si="1"/>
        <v>10</v>
      </c>
      <c r="I526" s="284" t="s">
        <v>133</v>
      </c>
      <c r="J526" s="171">
        <v>45673.0</v>
      </c>
      <c r="K526" s="169" t="s">
        <v>2758</v>
      </c>
    </row>
    <row r="527">
      <c r="A527" s="181">
        <v>14683.0</v>
      </c>
      <c r="B527" s="175" t="s">
        <v>1467</v>
      </c>
      <c r="C527" s="174">
        <v>2019.0</v>
      </c>
      <c r="D527" s="176" t="s">
        <v>14</v>
      </c>
      <c r="E527" s="176" t="s">
        <v>235</v>
      </c>
      <c r="F527" s="177" t="s">
        <v>1468</v>
      </c>
      <c r="G527" s="178">
        <v>45664.0</v>
      </c>
      <c r="H527" s="179">
        <f t="shared" si="1"/>
        <v>1</v>
      </c>
      <c r="I527" s="180" t="s">
        <v>3655</v>
      </c>
      <c r="J527" s="178">
        <v>45665.0</v>
      </c>
      <c r="K527" s="175" t="s">
        <v>31</v>
      </c>
    </row>
    <row r="528">
      <c r="A528" s="183">
        <v>14684.0</v>
      </c>
      <c r="B528" s="169" t="s">
        <v>705</v>
      </c>
      <c r="C528" s="168">
        <v>2022.0</v>
      </c>
      <c r="D528" s="142" t="s">
        <v>52</v>
      </c>
      <c r="E528" s="142" t="s">
        <v>169</v>
      </c>
      <c r="F528" s="170" t="s">
        <v>706</v>
      </c>
      <c r="G528" s="171">
        <v>45664.0</v>
      </c>
      <c r="H528" s="172">
        <f t="shared" si="1"/>
        <v>0</v>
      </c>
      <c r="I528" s="173" t="s">
        <v>3656</v>
      </c>
      <c r="J528" s="171">
        <v>45664.0</v>
      </c>
      <c r="K528" s="169" t="s">
        <v>2758</v>
      </c>
    </row>
    <row r="529">
      <c r="A529" s="181">
        <v>14686.0</v>
      </c>
      <c r="B529" s="175" t="s">
        <v>1894</v>
      </c>
      <c r="C529" s="174">
        <v>2015.0</v>
      </c>
      <c r="D529" s="176" t="s">
        <v>75</v>
      </c>
      <c r="E529" s="176" t="s">
        <v>28</v>
      </c>
      <c r="F529" s="177" t="s">
        <v>1896</v>
      </c>
      <c r="G529" s="178">
        <v>45664.0</v>
      </c>
      <c r="H529" s="179">
        <f t="shared" si="1"/>
        <v>0</v>
      </c>
      <c r="I529" s="180" t="s">
        <v>133</v>
      </c>
      <c r="J529" s="178">
        <v>45664.0</v>
      </c>
      <c r="K529" s="175" t="s">
        <v>2758</v>
      </c>
    </row>
    <row r="530">
      <c r="A530" s="183">
        <v>14695.0</v>
      </c>
      <c r="B530" s="169" t="s">
        <v>3163</v>
      </c>
      <c r="C530" s="168">
        <v>2020.0</v>
      </c>
      <c r="D530" s="142" t="s">
        <v>14</v>
      </c>
      <c r="E530" s="142" t="s">
        <v>855</v>
      </c>
      <c r="F530" s="170" t="s">
        <v>3164</v>
      </c>
      <c r="G530" s="171">
        <v>45665.0</v>
      </c>
      <c r="H530" s="172">
        <f t="shared" si="1"/>
        <v>22</v>
      </c>
      <c r="I530" s="173" t="s">
        <v>3252</v>
      </c>
      <c r="J530" s="171">
        <v>45687.0</v>
      </c>
      <c r="K530" s="169" t="s">
        <v>2758</v>
      </c>
    </row>
    <row r="531">
      <c r="A531" s="181">
        <v>14702.0</v>
      </c>
      <c r="B531" s="175" t="s">
        <v>954</v>
      </c>
      <c r="C531" s="174">
        <v>2015.0</v>
      </c>
      <c r="D531" s="176" t="s">
        <v>52</v>
      </c>
      <c r="E531" s="176" t="s">
        <v>368</v>
      </c>
      <c r="F531" s="177" t="s">
        <v>3657</v>
      </c>
      <c r="G531" s="178">
        <v>45665.0</v>
      </c>
      <c r="H531" s="179">
        <f t="shared" si="1"/>
        <v>2</v>
      </c>
      <c r="I531" s="267" t="s">
        <v>3658</v>
      </c>
      <c r="J531" s="178">
        <v>45667.0</v>
      </c>
      <c r="K531" s="175" t="s">
        <v>17</v>
      </c>
    </row>
    <row r="532">
      <c r="A532" s="183">
        <v>14709.0</v>
      </c>
      <c r="B532" s="142" t="s">
        <v>2964</v>
      </c>
      <c r="C532" s="168">
        <v>2017.0</v>
      </c>
      <c r="D532" s="142" t="s">
        <v>14</v>
      </c>
      <c r="E532" s="142" t="s">
        <v>805</v>
      </c>
      <c r="F532" s="170" t="s">
        <v>3659</v>
      </c>
      <c r="G532" s="171">
        <v>45666.0</v>
      </c>
      <c r="H532" s="172">
        <f t="shared" si="1"/>
        <v>6</v>
      </c>
      <c r="I532" s="173" t="s">
        <v>3660</v>
      </c>
      <c r="J532" s="171">
        <v>45672.0</v>
      </c>
      <c r="K532" s="169" t="s">
        <v>2758</v>
      </c>
    </row>
    <row r="533">
      <c r="A533" s="181">
        <v>14710.0</v>
      </c>
      <c r="B533" s="175" t="s">
        <v>1065</v>
      </c>
      <c r="C533" s="174">
        <v>2013.0</v>
      </c>
      <c r="D533" s="176" t="s">
        <v>105</v>
      </c>
      <c r="E533" s="176" t="s">
        <v>805</v>
      </c>
      <c r="F533" s="177" t="s">
        <v>1066</v>
      </c>
      <c r="G533" s="178">
        <v>45666.0</v>
      </c>
      <c r="H533" s="179">
        <f t="shared" si="1"/>
        <v>0</v>
      </c>
      <c r="I533" s="180" t="s">
        <v>3661</v>
      </c>
      <c r="J533" s="178">
        <v>45666.0</v>
      </c>
      <c r="K533" s="175" t="s">
        <v>2758</v>
      </c>
    </row>
    <row r="534">
      <c r="A534" s="183">
        <v>14711.0</v>
      </c>
      <c r="B534" s="142" t="s">
        <v>388</v>
      </c>
      <c r="C534" s="168">
        <v>2010.0</v>
      </c>
      <c r="D534" s="142" t="s">
        <v>2705</v>
      </c>
      <c r="E534" s="142" t="s">
        <v>70</v>
      </c>
      <c r="F534" s="170" t="s">
        <v>389</v>
      </c>
      <c r="G534" s="171">
        <v>45731.0</v>
      </c>
      <c r="H534" s="172">
        <f t="shared" si="1"/>
        <v>38</v>
      </c>
      <c r="I534" s="211" t="s">
        <v>3662</v>
      </c>
      <c r="J534" s="268">
        <v>45769.0</v>
      </c>
      <c r="K534" s="169" t="s">
        <v>2758</v>
      </c>
    </row>
    <row r="535">
      <c r="A535" s="181">
        <v>14713.0</v>
      </c>
      <c r="B535" s="175" t="s">
        <v>1126</v>
      </c>
      <c r="C535" s="174">
        <v>2022.0</v>
      </c>
      <c r="D535" s="176" t="s">
        <v>52</v>
      </c>
      <c r="E535" s="176" t="s">
        <v>173</v>
      </c>
      <c r="F535" s="177" t="s">
        <v>1127</v>
      </c>
      <c r="G535" s="178">
        <v>45666.0</v>
      </c>
      <c r="H535" s="179">
        <f t="shared" si="1"/>
        <v>0</v>
      </c>
      <c r="I535" s="180" t="s">
        <v>3201</v>
      </c>
      <c r="J535" s="178">
        <v>45666.0</v>
      </c>
      <c r="K535" s="175" t="s">
        <v>2758</v>
      </c>
    </row>
    <row r="536">
      <c r="A536" s="183">
        <v>14714.0</v>
      </c>
      <c r="B536" s="169" t="s">
        <v>859</v>
      </c>
      <c r="C536" s="168">
        <v>2022.0</v>
      </c>
      <c r="D536" s="142" t="s">
        <v>52</v>
      </c>
      <c r="E536" s="142" t="s">
        <v>207</v>
      </c>
      <c r="F536" s="170" t="s">
        <v>861</v>
      </c>
      <c r="G536" s="171">
        <v>45666.0</v>
      </c>
      <c r="H536" s="172">
        <f t="shared" si="1"/>
        <v>0</v>
      </c>
      <c r="I536" s="173" t="s">
        <v>707</v>
      </c>
      <c r="J536" s="171">
        <v>45666.0</v>
      </c>
      <c r="K536" s="169" t="s">
        <v>2758</v>
      </c>
    </row>
    <row r="537">
      <c r="A537" s="181">
        <v>14716.0</v>
      </c>
      <c r="B537" s="175" t="s">
        <v>829</v>
      </c>
      <c r="C537" s="174">
        <v>2022.0</v>
      </c>
      <c r="D537" s="176" t="s">
        <v>52</v>
      </c>
      <c r="E537" s="176" t="s">
        <v>99</v>
      </c>
      <c r="F537" s="177" t="s">
        <v>830</v>
      </c>
      <c r="G537" s="178">
        <v>45666.0</v>
      </c>
      <c r="H537" s="179">
        <f t="shared" si="1"/>
        <v>0</v>
      </c>
      <c r="I537" s="180" t="s">
        <v>707</v>
      </c>
      <c r="J537" s="178">
        <v>45666.0</v>
      </c>
      <c r="K537" s="175" t="s">
        <v>2758</v>
      </c>
    </row>
    <row r="538">
      <c r="A538" s="183">
        <v>14717.0</v>
      </c>
      <c r="B538" s="169" t="s">
        <v>1716</v>
      </c>
      <c r="C538" s="168">
        <v>2015.0</v>
      </c>
      <c r="D538" s="142" t="s">
        <v>130</v>
      </c>
      <c r="E538" s="142" t="s">
        <v>3663</v>
      </c>
      <c r="F538" s="170" t="s">
        <v>3161</v>
      </c>
      <c r="G538" s="171">
        <v>45666.0</v>
      </c>
      <c r="H538" s="172">
        <f t="shared" si="1"/>
        <v>5</v>
      </c>
      <c r="I538" s="173" t="s">
        <v>30</v>
      </c>
      <c r="J538" s="171">
        <v>45671.0</v>
      </c>
      <c r="K538" s="169" t="s">
        <v>31</v>
      </c>
    </row>
    <row r="539">
      <c r="A539" s="181">
        <v>14725.0</v>
      </c>
      <c r="B539" s="176" t="s">
        <v>366</v>
      </c>
      <c r="C539" s="174">
        <v>2011.0</v>
      </c>
      <c r="D539" s="142" t="s">
        <v>367</v>
      </c>
      <c r="E539" s="176" t="s">
        <v>2802</v>
      </c>
      <c r="F539" s="177" t="s">
        <v>369</v>
      </c>
      <c r="G539" s="178">
        <v>45667.0</v>
      </c>
      <c r="H539" s="179">
        <f t="shared" si="1"/>
        <v>27</v>
      </c>
      <c r="I539" s="180" t="s">
        <v>31</v>
      </c>
      <c r="J539" s="178">
        <v>45694.0</v>
      </c>
      <c r="K539" s="175" t="s">
        <v>31</v>
      </c>
    </row>
    <row r="540">
      <c r="A540" s="183">
        <v>14725.0</v>
      </c>
      <c r="B540" s="169" t="s">
        <v>3664</v>
      </c>
      <c r="C540" s="168">
        <v>2010.0</v>
      </c>
      <c r="D540" s="142" t="s">
        <v>367</v>
      </c>
      <c r="E540" s="142" t="s">
        <v>399</v>
      </c>
      <c r="F540" s="170" t="s">
        <v>369</v>
      </c>
      <c r="G540" s="171">
        <v>45785.0</v>
      </c>
      <c r="H540" s="172">
        <f t="shared" si="1"/>
        <v>0</v>
      </c>
      <c r="I540" s="173" t="s">
        <v>3308</v>
      </c>
      <c r="J540" s="171">
        <v>45785.0</v>
      </c>
      <c r="K540" s="169" t="s">
        <v>2758</v>
      </c>
    </row>
    <row r="541">
      <c r="A541" s="181">
        <v>14726.0</v>
      </c>
      <c r="B541" s="175" t="s">
        <v>413</v>
      </c>
      <c r="C541" s="174">
        <v>2018.0</v>
      </c>
      <c r="D541" s="176" t="s">
        <v>14</v>
      </c>
      <c r="E541" s="176" t="s">
        <v>399</v>
      </c>
      <c r="F541" s="177" t="s">
        <v>414</v>
      </c>
      <c r="G541" s="178">
        <v>45667.0</v>
      </c>
      <c r="H541" s="179">
        <f t="shared" si="1"/>
        <v>6</v>
      </c>
      <c r="I541" s="180" t="s">
        <v>3665</v>
      </c>
      <c r="J541" s="178">
        <v>45673.0</v>
      </c>
      <c r="K541" s="175" t="s">
        <v>2758</v>
      </c>
    </row>
    <row r="542">
      <c r="A542" s="183">
        <v>14728.0</v>
      </c>
      <c r="B542" s="169" t="s">
        <v>2749</v>
      </c>
      <c r="C542" s="168">
        <v>2010.0</v>
      </c>
      <c r="D542" s="142" t="s">
        <v>367</v>
      </c>
      <c r="E542" s="142" t="s">
        <v>47</v>
      </c>
      <c r="F542" s="170" t="s">
        <v>2751</v>
      </c>
      <c r="G542" s="171">
        <v>45670.0</v>
      </c>
      <c r="H542" s="172">
        <f t="shared" si="1"/>
        <v>0</v>
      </c>
      <c r="I542" s="173" t="s">
        <v>133</v>
      </c>
      <c r="J542" s="171">
        <v>45670.0</v>
      </c>
      <c r="K542" s="169" t="s">
        <v>2758</v>
      </c>
    </row>
    <row r="543">
      <c r="A543" s="181">
        <v>14729.0</v>
      </c>
      <c r="B543" s="175" t="s">
        <v>1414</v>
      </c>
      <c r="C543" s="174">
        <v>2022.0</v>
      </c>
      <c r="D543" s="176" t="s">
        <v>52</v>
      </c>
      <c r="E543" s="176" t="s">
        <v>99</v>
      </c>
      <c r="F543" s="177" t="s">
        <v>532</v>
      </c>
      <c r="G543" s="178">
        <v>45670.0</v>
      </c>
      <c r="H543" s="179">
        <f t="shared" si="1"/>
        <v>11</v>
      </c>
      <c r="I543" s="180" t="s">
        <v>3062</v>
      </c>
      <c r="J543" s="178">
        <v>45681.0</v>
      </c>
      <c r="K543" s="175" t="s">
        <v>2758</v>
      </c>
    </row>
    <row r="544">
      <c r="A544" s="183">
        <v>14731.0</v>
      </c>
      <c r="B544" s="169" t="s">
        <v>1591</v>
      </c>
      <c r="C544" s="168">
        <v>2014.0</v>
      </c>
      <c r="D544" s="142" t="s">
        <v>130</v>
      </c>
      <c r="E544" s="142" t="s">
        <v>125</v>
      </c>
      <c r="F544" s="170" t="s">
        <v>3175</v>
      </c>
      <c r="G544" s="171">
        <v>45670.0</v>
      </c>
      <c r="H544" s="172">
        <f t="shared" si="1"/>
        <v>2</v>
      </c>
      <c r="I544" s="173" t="s">
        <v>3666</v>
      </c>
      <c r="J544" s="171">
        <v>45672.0</v>
      </c>
      <c r="K544" s="169" t="s">
        <v>31</v>
      </c>
    </row>
    <row r="545">
      <c r="A545" s="181">
        <v>14743.0</v>
      </c>
      <c r="B545" s="175" t="s">
        <v>3150</v>
      </c>
      <c r="C545" s="174">
        <v>2021.0</v>
      </c>
      <c r="D545" s="176" t="s">
        <v>52</v>
      </c>
      <c r="E545" s="176" t="s">
        <v>630</v>
      </c>
      <c r="F545" s="177" t="s">
        <v>3152</v>
      </c>
      <c r="G545" s="178">
        <v>45671.0</v>
      </c>
      <c r="H545" s="179">
        <f t="shared" si="1"/>
        <v>0</v>
      </c>
      <c r="I545" s="180" t="s">
        <v>3667</v>
      </c>
      <c r="J545" s="178">
        <v>45671.0</v>
      </c>
      <c r="K545" s="175" t="s">
        <v>2758</v>
      </c>
    </row>
    <row r="546">
      <c r="A546" s="183">
        <v>14744.0</v>
      </c>
      <c r="B546" s="169" t="s">
        <v>1622</v>
      </c>
      <c r="C546" s="168">
        <v>2022.0</v>
      </c>
      <c r="D546" s="142" t="s">
        <v>52</v>
      </c>
      <c r="E546" s="142" t="s">
        <v>866</v>
      </c>
      <c r="F546" s="170" t="s">
        <v>1623</v>
      </c>
      <c r="G546" s="171">
        <v>45671.0</v>
      </c>
      <c r="H546" s="172">
        <f t="shared" si="1"/>
        <v>0</v>
      </c>
      <c r="I546" s="173" t="s">
        <v>3668</v>
      </c>
      <c r="J546" s="171">
        <v>45671.0</v>
      </c>
      <c r="K546" s="169" t="s">
        <v>2758</v>
      </c>
    </row>
    <row r="547">
      <c r="A547" s="249">
        <v>14748.0</v>
      </c>
      <c r="B547" s="250" t="s">
        <v>1454</v>
      </c>
      <c r="C547" s="251">
        <v>2022.0</v>
      </c>
      <c r="D547" s="250" t="s">
        <v>52</v>
      </c>
      <c r="E547" s="250" t="s">
        <v>125</v>
      </c>
      <c r="F547" s="264" t="s">
        <v>989</v>
      </c>
      <c r="G547" s="252">
        <v>45674.0</v>
      </c>
      <c r="H547" s="179">
        <f t="shared" si="1"/>
        <v>7</v>
      </c>
      <c r="I547" s="253" t="s">
        <v>3669</v>
      </c>
      <c r="J547" s="285">
        <v>45681.0</v>
      </c>
      <c r="K547" s="266" t="s">
        <v>2758</v>
      </c>
    </row>
    <row r="548">
      <c r="A548" s="249">
        <v>14757.0</v>
      </c>
      <c r="B548" s="250" t="s">
        <v>2424</v>
      </c>
      <c r="C548" s="251">
        <v>2022.0</v>
      </c>
      <c r="D548" s="250" t="s">
        <v>52</v>
      </c>
      <c r="E548" s="250" t="s">
        <v>459</v>
      </c>
      <c r="F548" s="264" t="s">
        <v>3625</v>
      </c>
      <c r="G548" s="252">
        <v>45672.0</v>
      </c>
      <c r="H548" s="172">
        <f t="shared" si="1"/>
        <v>9</v>
      </c>
      <c r="I548" s="253" t="s">
        <v>3670</v>
      </c>
      <c r="J548" s="285">
        <v>45681.0</v>
      </c>
      <c r="K548" s="266" t="s">
        <v>2758</v>
      </c>
    </row>
    <row r="549">
      <c r="A549" s="181">
        <v>14762.0</v>
      </c>
      <c r="B549" s="176" t="s">
        <v>2521</v>
      </c>
      <c r="C549" s="174">
        <v>2015.0</v>
      </c>
      <c r="D549" s="176" t="s">
        <v>14</v>
      </c>
      <c r="E549" s="176" t="s">
        <v>2029</v>
      </c>
      <c r="F549" s="177" t="s">
        <v>2522</v>
      </c>
      <c r="G549" s="178">
        <v>45673.0</v>
      </c>
      <c r="H549" s="179">
        <f t="shared" si="1"/>
        <v>40</v>
      </c>
      <c r="I549" s="182" t="s">
        <v>3252</v>
      </c>
      <c r="J549" s="269">
        <v>45713.0</v>
      </c>
      <c r="K549" s="175" t="s">
        <v>31</v>
      </c>
    </row>
    <row r="550">
      <c r="A550" s="183">
        <v>14763.0</v>
      </c>
      <c r="B550" s="169" t="s">
        <v>3671</v>
      </c>
      <c r="C550" s="168">
        <v>2014.0</v>
      </c>
      <c r="D550" s="142" t="s">
        <v>130</v>
      </c>
      <c r="E550" s="142" t="s">
        <v>2029</v>
      </c>
      <c r="F550" s="170" t="s">
        <v>3672</v>
      </c>
      <c r="G550" s="171">
        <v>45673.0</v>
      </c>
      <c r="H550" s="172">
        <f t="shared" si="1"/>
        <v>0</v>
      </c>
      <c r="I550" s="173" t="s">
        <v>3673</v>
      </c>
      <c r="J550" s="171">
        <v>45673.0</v>
      </c>
      <c r="K550" s="169" t="s">
        <v>2758</v>
      </c>
    </row>
    <row r="551">
      <c r="A551" s="181">
        <v>14764.0</v>
      </c>
      <c r="B551" s="175" t="s">
        <v>1641</v>
      </c>
      <c r="C551" s="174">
        <v>2017.0</v>
      </c>
      <c r="D551" s="176" t="s">
        <v>52</v>
      </c>
      <c r="E551" s="176" t="s">
        <v>912</v>
      </c>
      <c r="F551" s="177" t="s">
        <v>1642</v>
      </c>
      <c r="G551" s="178">
        <v>45674.0</v>
      </c>
      <c r="H551" s="179">
        <f t="shared" si="1"/>
        <v>0</v>
      </c>
      <c r="I551" s="180" t="s">
        <v>3674</v>
      </c>
      <c r="J551" s="178">
        <v>45674.0</v>
      </c>
      <c r="K551" s="175" t="s">
        <v>84</v>
      </c>
    </row>
    <row r="552">
      <c r="A552" s="183">
        <v>14764.0</v>
      </c>
      <c r="B552" s="169" t="s">
        <v>1641</v>
      </c>
      <c r="C552" s="168">
        <v>2018.0</v>
      </c>
      <c r="D552" s="142" t="s">
        <v>52</v>
      </c>
      <c r="E552" s="142" t="s">
        <v>912</v>
      </c>
      <c r="F552" s="170" t="s">
        <v>1642</v>
      </c>
      <c r="G552" s="171">
        <v>45674.0</v>
      </c>
      <c r="H552" s="172">
        <f t="shared" si="1"/>
        <v>12</v>
      </c>
      <c r="I552" s="173" t="s">
        <v>3675</v>
      </c>
      <c r="J552" s="171">
        <v>45686.0</v>
      </c>
      <c r="K552" s="169" t="s">
        <v>2758</v>
      </c>
    </row>
    <row r="553">
      <c r="A553" s="181">
        <v>14767.0</v>
      </c>
      <c r="B553" s="175" t="s">
        <v>3676</v>
      </c>
      <c r="C553" s="174">
        <v>2018.0</v>
      </c>
      <c r="D553" s="176" t="s">
        <v>14</v>
      </c>
      <c r="E553" s="176" t="s">
        <v>125</v>
      </c>
      <c r="F553" s="177" t="s">
        <v>3677</v>
      </c>
      <c r="G553" s="178">
        <v>45674.0</v>
      </c>
      <c r="H553" s="179">
        <f t="shared" si="1"/>
        <v>0</v>
      </c>
      <c r="I553" s="180" t="s">
        <v>3678</v>
      </c>
      <c r="J553" s="178">
        <v>45674.0</v>
      </c>
      <c r="K553" s="175" t="s">
        <v>2758</v>
      </c>
    </row>
    <row r="554">
      <c r="A554" s="183">
        <v>14770.0</v>
      </c>
      <c r="B554" s="142" t="s">
        <v>3063</v>
      </c>
      <c r="C554" s="168">
        <v>2014.0</v>
      </c>
      <c r="D554" s="142" t="s">
        <v>197</v>
      </c>
      <c r="E554" s="142" t="s">
        <v>1738</v>
      </c>
      <c r="F554" s="170" t="s">
        <v>3064</v>
      </c>
      <c r="G554" s="171">
        <v>45674.0</v>
      </c>
      <c r="H554" s="172">
        <f t="shared" si="1"/>
        <v>6</v>
      </c>
      <c r="I554" s="211" t="s">
        <v>3679</v>
      </c>
      <c r="J554" s="171">
        <v>45680.0</v>
      </c>
      <c r="K554" s="169" t="s">
        <v>2758</v>
      </c>
    </row>
    <row r="555">
      <c r="A555" s="181">
        <v>14771.0</v>
      </c>
      <c r="B555" s="175" t="s">
        <v>3680</v>
      </c>
      <c r="C555" s="174">
        <v>2015.0</v>
      </c>
      <c r="D555" s="176" t="s">
        <v>130</v>
      </c>
      <c r="E555" s="176" t="s">
        <v>125</v>
      </c>
      <c r="F555" s="177" t="s">
        <v>3681</v>
      </c>
      <c r="G555" s="178">
        <v>45674.0</v>
      </c>
      <c r="H555" s="179">
        <f t="shared" si="1"/>
        <v>3</v>
      </c>
      <c r="I555" s="180" t="s">
        <v>668</v>
      </c>
      <c r="J555" s="217">
        <v>45677.0</v>
      </c>
      <c r="K555" s="175" t="s">
        <v>2758</v>
      </c>
    </row>
    <row r="556">
      <c r="A556" s="183">
        <v>14772.0</v>
      </c>
      <c r="B556" s="169" t="s">
        <v>490</v>
      </c>
      <c r="C556" s="168">
        <v>2022.0</v>
      </c>
      <c r="D556" s="142" t="s">
        <v>52</v>
      </c>
      <c r="E556" s="142" t="s">
        <v>125</v>
      </c>
      <c r="F556" s="170" t="s">
        <v>491</v>
      </c>
      <c r="G556" s="171">
        <v>45674.0</v>
      </c>
      <c r="H556" s="172">
        <f t="shared" si="1"/>
        <v>6</v>
      </c>
      <c r="I556" s="173" t="s">
        <v>3682</v>
      </c>
      <c r="J556" s="171">
        <v>45680.0</v>
      </c>
      <c r="K556" s="169" t="s">
        <v>2758</v>
      </c>
    </row>
    <row r="557">
      <c r="A557" s="181">
        <v>14779.0</v>
      </c>
      <c r="B557" s="176" t="s">
        <v>3683</v>
      </c>
      <c r="C557" s="174">
        <v>2014.0</v>
      </c>
      <c r="D557" s="176" t="s">
        <v>2875</v>
      </c>
      <c r="E557" s="176" t="s">
        <v>3684</v>
      </c>
      <c r="F557" s="177" t="s">
        <v>3685</v>
      </c>
      <c r="G557" s="178">
        <v>45678.0</v>
      </c>
      <c r="H557" s="179">
        <f t="shared" si="1"/>
        <v>36</v>
      </c>
      <c r="I557" s="182" t="s">
        <v>3686</v>
      </c>
      <c r="J557" s="269">
        <v>45714.0</v>
      </c>
      <c r="K557" s="175" t="s">
        <v>31</v>
      </c>
    </row>
    <row r="558">
      <c r="A558" s="183">
        <v>14783.0</v>
      </c>
      <c r="B558" s="169" t="s">
        <v>954</v>
      </c>
      <c r="C558" s="168">
        <v>2015.0</v>
      </c>
      <c r="D558" s="142" t="s">
        <v>52</v>
      </c>
      <c r="E558" s="142" t="s">
        <v>399</v>
      </c>
      <c r="F558" s="170" t="s">
        <v>3687</v>
      </c>
      <c r="G558" s="171">
        <v>45677.0</v>
      </c>
      <c r="H558" s="172">
        <f t="shared" si="1"/>
        <v>1</v>
      </c>
      <c r="I558" s="173" t="s">
        <v>3359</v>
      </c>
      <c r="J558" s="171">
        <v>45678.0</v>
      </c>
      <c r="K558" s="169" t="s">
        <v>2758</v>
      </c>
    </row>
    <row r="559">
      <c r="A559" s="181">
        <v>14785.0</v>
      </c>
      <c r="B559" s="175" t="s">
        <v>3688</v>
      </c>
      <c r="C559" s="174">
        <v>2022.0</v>
      </c>
      <c r="D559" s="176" t="s">
        <v>52</v>
      </c>
      <c r="E559" s="176" t="s">
        <v>106</v>
      </c>
      <c r="F559" s="177" t="s">
        <v>3689</v>
      </c>
      <c r="G559" s="178">
        <v>45678.0</v>
      </c>
      <c r="H559" s="179">
        <f t="shared" si="1"/>
        <v>0</v>
      </c>
      <c r="I559" s="180" t="s">
        <v>3690</v>
      </c>
      <c r="J559" s="178">
        <v>45678.0</v>
      </c>
      <c r="K559" s="175" t="s">
        <v>2758</v>
      </c>
      <c r="L559" s="259"/>
      <c r="M559" s="259"/>
      <c r="N559" s="259"/>
      <c r="O559" s="259"/>
      <c r="P559" s="259"/>
      <c r="Q559" s="259"/>
      <c r="R559" s="259"/>
      <c r="S559" s="259"/>
      <c r="T559" s="259"/>
      <c r="U559" s="259"/>
      <c r="V559" s="259"/>
      <c r="W559" s="259"/>
      <c r="X559" s="259"/>
      <c r="Y559" s="259"/>
      <c r="Z559" s="259"/>
      <c r="AA559" s="259"/>
      <c r="AB559" s="259"/>
      <c r="AC559" s="259"/>
      <c r="AD559" s="259"/>
      <c r="AE559" s="259"/>
      <c r="AF559" s="259"/>
      <c r="AG559" s="259"/>
      <c r="AH559" s="259"/>
      <c r="AI559" s="259"/>
      <c r="AJ559" s="259"/>
      <c r="AK559" s="259"/>
      <c r="AL559" s="259"/>
      <c r="AM559" s="259"/>
      <c r="AN559" s="259"/>
      <c r="AO559" s="259"/>
    </row>
    <row r="560">
      <c r="A560" s="183">
        <v>14786.0</v>
      </c>
      <c r="B560" s="169" t="s">
        <v>628</v>
      </c>
      <c r="C560" s="168">
        <v>2022.0</v>
      </c>
      <c r="D560" s="142" t="s">
        <v>52</v>
      </c>
      <c r="E560" s="142" t="s">
        <v>3281</v>
      </c>
      <c r="F560" s="170" t="s">
        <v>631</v>
      </c>
      <c r="G560" s="171">
        <v>45678.0</v>
      </c>
      <c r="H560" s="172">
        <f t="shared" si="1"/>
        <v>0</v>
      </c>
      <c r="I560" s="173" t="s">
        <v>3691</v>
      </c>
      <c r="J560" s="171">
        <v>45678.0</v>
      </c>
      <c r="K560" s="169" t="s">
        <v>31</v>
      </c>
    </row>
    <row r="561">
      <c r="A561" s="181">
        <v>14789.0</v>
      </c>
      <c r="B561" s="175" t="s">
        <v>129</v>
      </c>
      <c r="C561" s="174">
        <v>2014.0</v>
      </c>
      <c r="D561" s="176" t="s">
        <v>130</v>
      </c>
      <c r="E561" s="176" t="s">
        <v>95</v>
      </c>
      <c r="F561" s="177" t="s">
        <v>1481</v>
      </c>
      <c r="G561" s="178">
        <v>45678.0</v>
      </c>
      <c r="H561" s="179">
        <f t="shared" si="1"/>
        <v>0</v>
      </c>
      <c r="I561" s="180" t="s">
        <v>3479</v>
      </c>
      <c r="J561" s="178">
        <v>45678.0</v>
      </c>
      <c r="K561" s="175" t="s">
        <v>2758</v>
      </c>
      <c r="L561" s="242"/>
      <c r="M561" s="242"/>
      <c r="N561" s="242"/>
      <c r="O561" s="242"/>
      <c r="P561" s="242"/>
      <c r="Q561" s="242"/>
      <c r="R561" s="242"/>
      <c r="S561" s="242"/>
      <c r="T561" s="242"/>
      <c r="U561" s="242"/>
      <c r="V561" s="242"/>
      <c r="W561" s="242"/>
      <c r="X561" s="242"/>
      <c r="Y561" s="242"/>
      <c r="Z561" s="242"/>
      <c r="AA561" s="242"/>
      <c r="AB561" s="242"/>
      <c r="AC561" s="242"/>
    </row>
    <row r="562">
      <c r="A562" s="183">
        <v>14797.0</v>
      </c>
      <c r="B562" s="142" t="s">
        <v>3328</v>
      </c>
      <c r="C562" s="168">
        <v>2018.0</v>
      </c>
      <c r="D562" s="142" t="s">
        <v>14</v>
      </c>
      <c r="E562" s="142" t="s">
        <v>28</v>
      </c>
      <c r="F562" s="170" t="s">
        <v>3330</v>
      </c>
      <c r="G562" s="171">
        <v>45679.0</v>
      </c>
      <c r="H562" s="172">
        <f t="shared" si="1"/>
        <v>21</v>
      </c>
      <c r="I562" s="211" t="s">
        <v>3692</v>
      </c>
      <c r="J562" s="268">
        <v>45700.0</v>
      </c>
      <c r="K562" s="169" t="s">
        <v>31</v>
      </c>
    </row>
    <row r="563">
      <c r="A563" s="181">
        <v>14799.0</v>
      </c>
      <c r="B563" s="175" t="s">
        <v>2699</v>
      </c>
      <c r="C563" s="174">
        <v>2010.0</v>
      </c>
      <c r="D563" s="176" t="s">
        <v>367</v>
      </c>
      <c r="E563" s="176" t="s">
        <v>41</v>
      </c>
      <c r="F563" s="177" t="s">
        <v>2701</v>
      </c>
      <c r="G563" s="178">
        <v>45679.0</v>
      </c>
      <c r="H563" s="179">
        <f t="shared" si="1"/>
        <v>0</v>
      </c>
      <c r="I563" s="180" t="s">
        <v>3693</v>
      </c>
      <c r="J563" s="178">
        <v>45679.0</v>
      </c>
      <c r="K563" s="175" t="s">
        <v>2758</v>
      </c>
    </row>
    <row r="564">
      <c r="A564" s="183">
        <v>14800.0</v>
      </c>
      <c r="B564" s="169" t="s">
        <v>767</v>
      </c>
      <c r="C564" s="168">
        <v>2022.0</v>
      </c>
      <c r="D564" s="142" t="s">
        <v>52</v>
      </c>
      <c r="E564" s="142" t="s">
        <v>47</v>
      </c>
      <c r="F564" s="170" t="s">
        <v>768</v>
      </c>
      <c r="G564" s="171">
        <v>45679.0</v>
      </c>
      <c r="H564" s="172">
        <f t="shared" si="1"/>
        <v>0</v>
      </c>
      <c r="I564" s="173" t="s">
        <v>3360</v>
      </c>
      <c r="J564" s="171">
        <v>45679.0</v>
      </c>
      <c r="K564" s="169" t="s">
        <v>2758</v>
      </c>
    </row>
    <row r="565">
      <c r="A565" s="181">
        <v>14804.0</v>
      </c>
      <c r="B565" s="175" t="s">
        <v>1755</v>
      </c>
      <c r="C565" s="174">
        <v>2022.0</v>
      </c>
      <c r="D565" s="176" t="s">
        <v>52</v>
      </c>
      <c r="E565" s="176" t="s">
        <v>582</v>
      </c>
      <c r="F565" s="177" t="s">
        <v>1756</v>
      </c>
      <c r="G565" s="178">
        <v>45679.0</v>
      </c>
      <c r="H565" s="179">
        <f t="shared" si="1"/>
        <v>0</v>
      </c>
      <c r="I565" s="180" t="s">
        <v>3694</v>
      </c>
      <c r="J565" s="178">
        <v>45679.0</v>
      </c>
      <c r="K565" s="175" t="s">
        <v>2758</v>
      </c>
    </row>
    <row r="566">
      <c r="A566" s="183">
        <v>14805.0</v>
      </c>
      <c r="B566" s="169" t="s">
        <v>2923</v>
      </c>
      <c r="C566" s="168">
        <v>2022.0</v>
      </c>
      <c r="D566" s="142" t="s">
        <v>52</v>
      </c>
      <c r="E566" s="142" t="s">
        <v>125</v>
      </c>
      <c r="F566" s="170" t="s">
        <v>2924</v>
      </c>
      <c r="G566" s="171">
        <v>45679.0</v>
      </c>
      <c r="H566" s="172">
        <f t="shared" si="1"/>
        <v>0</v>
      </c>
      <c r="I566" s="173" t="s">
        <v>3695</v>
      </c>
      <c r="J566" s="171">
        <v>45679.0</v>
      </c>
      <c r="K566" s="169" t="s">
        <v>2758</v>
      </c>
    </row>
    <row r="567">
      <c r="A567" s="181">
        <v>14806.0</v>
      </c>
      <c r="B567" s="175" t="s">
        <v>3696</v>
      </c>
      <c r="C567" s="174">
        <v>2015.0</v>
      </c>
      <c r="D567" s="176" t="s">
        <v>52</v>
      </c>
      <c r="E567" s="176" t="s">
        <v>3329</v>
      </c>
      <c r="F567" s="234">
        <v>45976.0</v>
      </c>
      <c r="G567" s="178">
        <v>45679.0</v>
      </c>
      <c r="H567" s="179">
        <f t="shared" si="1"/>
        <v>0</v>
      </c>
      <c r="I567" s="180" t="s">
        <v>3697</v>
      </c>
      <c r="J567" s="178">
        <v>45679.0</v>
      </c>
      <c r="K567" s="175" t="s">
        <v>2758</v>
      </c>
      <c r="L567" s="259"/>
      <c r="M567" s="259"/>
      <c r="N567" s="259"/>
      <c r="O567" s="259"/>
      <c r="P567" s="259"/>
      <c r="Q567" s="259"/>
      <c r="R567" s="259"/>
      <c r="S567" s="259"/>
      <c r="T567" s="259"/>
      <c r="U567" s="259"/>
      <c r="V567" s="259"/>
      <c r="W567" s="259"/>
      <c r="X567" s="259"/>
      <c r="Y567" s="259"/>
      <c r="Z567" s="259"/>
      <c r="AA567" s="259"/>
      <c r="AB567" s="259"/>
      <c r="AC567" s="259"/>
      <c r="AD567" s="259"/>
      <c r="AE567" s="259"/>
      <c r="AF567" s="259"/>
      <c r="AG567" s="259"/>
      <c r="AH567" s="259"/>
      <c r="AI567" s="259"/>
      <c r="AJ567" s="259"/>
      <c r="AK567" s="259"/>
      <c r="AL567" s="259"/>
      <c r="AM567" s="259"/>
      <c r="AN567" s="259"/>
      <c r="AO567" s="259"/>
    </row>
    <row r="568">
      <c r="A568" s="183">
        <v>14808.0</v>
      </c>
      <c r="B568" s="142" t="s">
        <v>3698</v>
      </c>
      <c r="C568" s="168">
        <v>2018.0</v>
      </c>
      <c r="D568" s="142" t="s">
        <v>14</v>
      </c>
      <c r="E568" s="142" t="s">
        <v>70</v>
      </c>
      <c r="F568" s="241">
        <v>45799.0</v>
      </c>
      <c r="G568" s="171">
        <v>45679.0</v>
      </c>
      <c r="H568" s="172">
        <f t="shared" si="1"/>
        <v>30</v>
      </c>
      <c r="I568" s="211" t="s">
        <v>3699</v>
      </c>
      <c r="J568" s="268">
        <v>45709.0</v>
      </c>
      <c r="K568" s="169" t="s">
        <v>2758</v>
      </c>
    </row>
    <row r="569">
      <c r="A569" s="181">
        <v>14809.0</v>
      </c>
      <c r="B569" s="175" t="s">
        <v>2071</v>
      </c>
      <c r="C569" s="174">
        <v>2022.0</v>
      </c>
      <c r="D569" s="176" t="s">
        <v>256</v>
      </c>
      <c r="E569" s="176" t="s">
        <v>47</v>
      </c>
      <c r="F569" s="177" t="s">
        <v>2073</v>
      </c>
      <c r="G569" s="178">
        <v>45679.0</v>
      </c>
      <c r="H569" s="179">
        <f t="shared" si="1"/>
        <v>1</v>
      </c>
      <c r="I569" s="180" t="s">
        <v>3700</v>
      </c>
      <c r="J569" s="178">
        <v>45680.0</v>
      </c>
      <c r="K569" s="175" t="s">
        <v>2758</v>
      </c>
      <c r="L569" s="242"/>
      <c r="M569" s="242"/>
      <c r="N569" s="242"/>
      <c r="O569" s="242"/>
      <c r="P569" s="242"/>
      <c r="Q569" s="242"/>
      <c r="R569" s="242"/>
      <c r="S569" s="242"/>
      <c r="T569" s="242"/>
      <c r="U569" s="242"/>
      <c r="V569" s="242"/>
      <c r="W569" s="242"/>
      <c r="X569" s="242"/>
      <c r="Y569" s="242"/>
      <c r="Z569" s="242"/>
      <c r="AA569" s="242"/>
      <c r="AB569" s="242"/>
      <c r="AC569" s="242"/>
    </row>
    <row r="570">
      <c r="A570" s="183">
        <v>14811.0</v>
      </c>
      <c r="B570" s="169" t="s">
        <v>2256</v>
      </c>
      <c r="C570" s="168">
        <v>2019.0</v>
      </c>
      <c r="D570" s="142" t="s">
        <v>197</v>
      </c>
      <c r="E570" s="142" t="s">
        <v>805</v>
      </c>
      <c r="F570" s="170" t="s">
        <v>2257</v>
      </c>
      <c r="G570" s="171">
        <v>45679.0</v>
      </c>
      <c r="H570" s="172">
        <f t="shared" si="1"/>
        <v>36</v>
      </c>
      <c r="I570" s="173" t="s">
        <v>3701</v>
      </c>
      <c r="J570" s="171">
        <v>45715.0</v>
      </c>
      <c r="K570" s="169" t="s">
        <v>2758</v>
      </c>
    </row>
    <row r="571">
      <c r="A571" s="181">
        <v>14814.0</v>
      </c>
      <c r="B571" s="175" t="s">
        <v>3702</v>
      </c>
      <c r="C571" s="174">
        <v>2022.0</v>
      </c>
      <c r="D571" s="176" t="s">
        <v>52</v>
      </c>
      <c r="E571" s="176" t="s">
        <v>125</v>
      </c>
      <c r="F571" s="177" t="s">
        <v>3703</v>
      </c>
      <c r="G571" s="178">
        <v>45680.0</v>
      </c>
      <c r="H571" s="179">
        <f t="shared" si="1"/>
        <v>0</v>
      </c>
      <c r="I571" s="180" t="s">
        <v>3704</v>
      </c>
      <c r="J571" s="178">
        <v>45680.0</v>
      </c>
      <c r="K571" s="175" t="s">
        <v>84</v>
      </c>
    </row>
    <row r="572">
      <c r="A572" s="183">
        <v>14818.0</v>
      </c>
      <c r="B572" s="169" t="s">
        <v>3705</v>
      </c>
      <c r="C572" s="168">
        <v>2015.0</v>
      </c>
      <c r="D572" s="142" t="s">
        <v>75</v>
      </c>
      <c r="E572" s="142" t="s">
        <v>82</v>
      </c>
      <c r="F572" s="170" t="s">
        <v>3706</v>
      </c>
      <c r="G572" s="171">
        <v>45680.0</v>
      </c>
      <c r="H572" s="172">
        <f t="shared" si="1"/>
        <v>0</v>
      </c>
      <c r="I572" s="173" t="s">
        <v>3707</v>
      </c>
      <c r="J572" s="171">
        <v>45680.0</v>
      </c>
      <c r="K572" s="169" t="s">
        <v>2758</v>
      </c>
    </row>
    <row r="573">
      <c r="A573" s="181">
        <v>14820.0</v>
      </c>
      <c r="B573" s="175" t="s">
        <v>3671</v>
      </c>
      <c r="C573" s="174">
        <v>2014.0</v>
      </c>
      <c r="D573" s="176" t="s">
        <v>130</v>
      </c>
      <c r="E573" s="176" t="s">
        <v>2029</v>
      </c>
      <c r="F573" s="177" t="s">
        <v>3672</v>
      </c>
      <c r="G573" s="178">
        <v>45680.0</v>
      </c>
      <c r="H573" s="179">
        <f t="shared" si="1"/>
        <v>0</v>
      </c>
      <c r="I573" s="180" t="s">
        <v>2265</v>
      </c>
      <c r="J573" s="178">
        <v>45680.0</v>
      </c>
      <c r="K573" s="175" t="s">
        <v>2758</v>
      </c>
    </row>
    <row r="574">
      <c r="A574" s="183">
        <v>14823.0</v>
      </c>
      <c r="B574" s="169" t="s">
        <v>2810</v>
      </c>
      <c r="C574" s="168">
        <v>2011.0</v>
      </c>
      <c r="D574" s="142" t="s">
        <v>367</v>
      </c>
      <c r="E574" s="142" t="s">
        <v>912</v>
      </c>
      <c r="F574" s="170" t="s">
        <v>2811</v>
      </c>
      <c r="G574" s="171">
        <v>45681.0</v>
      </c>
      <c r="H574" s="172">
        <f t="shared" si="1"/>
        <v>4</v>
      </c>
      <c r="I574" s="173" t="s">
        <v>3708</v>
      </c>
      <c r="J574" s="171">
        <v>45685.0</v>
      </c>
      <c r="K574" s="169" t="s">
        <v>2758</v>
      </c>
    </row>
    <row r="575">
      <c r="A575" s="181">
        <v>14824.0</v>
      </c>
      <c r="B575" s="176" t="s">
        <v>3157</v>
      </c>
      <c r="C575" s="174">
        <v>2017.0</v>
      </c>
      <c r="D575" s="176" t="s">
        <v>14</v>
      </c>
      <c r="E575" s="176" t="s">
        <v>459</v>
      </c>
      <c r="F575" s="177" t="s">
        <v>3158</v>
      </c>
      <c r="G575" s="178">
        <v>45681.0</v>
      </c>
      <c r="H575" s="179">
        <f t="shared" si="1"/>
        <v>39</v>
      </c>
      <c r="I575" s="182" t="s">
        <v>3709</v>
      </c>
      <c r="J575" s="269">
        <v>45720.0</v>
      </c>
      <c r="K575" s="175" t="s">
        <v>31</v>
      </c>
    </row>
    <row r="576">
      <c r="A576" s="183">
        <v>14826.0</v>
      </c>
      <c r="B576" s="169" t="s">
        <v>357</v>
      </c>
      <c r="C576" s="168">
        <v>2014.0</v>
      </c>
      <c r="D576" s="142" t="s">
        <v>105</v>
      </c>
      <c r="E576" s="142" t="s">
        <v>53</v>
      </c>
      <c r="F576" s="170" t="s">
        <v>3710</v>
      </c>
      <c r="G576" s="171">
        <v>45681.0</v>
      </c>
      <c r="H576" s="172">
        <f t="shared" si="1"/>
        <v>4</v>
      </c>
      <c r="I576" s="173" t="s">
        <v>1463</v>
      </c>
      <c r="J576" s="171">
        <v>45685.0</v>
      </c>
      <c r="K576" s="169" t="s">
        <v>2758</v>
      </c>
      <c r="L576" s="242"/>
      <c r="M576" s="242"/>
      <c r="N576" s="242"/>
      <c r="O576" s="242"/>
      <c r="P576" s="242"/>
      <c r="Q576" s="242"/>
      <c r="R576" s="242"/>
      <c r="S576" s="242"/>
      <c r="T576" s="242"/>
      <c r="U576" s="242"/>
      <c r="V576" s="242"/>
      <c r="W576" s="242"/>
      <c r="X576" s="242"/>
      <c r="Y576" s="242"/>
      <c r="Z576" s="242"/>
      <c r="AA576" s="242"/>
      <c r="AB576" s="242"/>
      <c r="AC576" s="242"/>
    </row>
    <row r="577">
      <c r="A577" s="181">
        <v>14827.0</v>
      </c>
      <c r="B577" s="175" t="s">
        <v>1388</v>
      </c>
      <c r="C577" s="174">
        <v>2019.0</v>
      </c>
      <c r="D577" s="176" t="s">
        <v>52</v>
      </c>
      <c r="E577" s="176" t="s">
        <v>53</v>
      </c>
      <c r="F577" s="177" t="s">
        <v>1389</v>
      </c>
      <c r="G577" s="178">
        <v>45681.0</v>
      </c>
      <c r="H577" s="179">
        <f t="shared" si="1"/>
        <v>0</v>
      </c>
      <c r="I577" s="180" t="s">
        <v>133</v>
      </c>
      <c r="J577" s="178">
        <v>45681.0</v>
      </c>
      <c r="K577" s="175" t="s">
        <v>2758</v>
      </c>
    </row>
    <row r="578">
      <c r="A578" s="183">
        <v>14830.0</v>
      </c>
      <c r="B578" s="142" t="s">
        <v>713</v>
      </c>
      <c r="C578" s="168">
        <v>2019.0</v>
      </c>
      <c r="D578" s="142" t="s">
        <v>52</v>
      </c>
      <c r="E578" s="142" t="s">
        <v>53</v>
      </c>
      <c r="F578" s="241">
        <v>45764.0</v>
      </c>
      <c r="G578" s="171">
        <v>45681.0</v>
      </c>
      <c r="H578" s="172">
        <f t="shared" si="1"/>
        <v>117</v>
      </c>
      <c r="I578" s="286" t="s">
        <v>3711</v>
      </c>
      <c r="J578" s="268">
        <v>45798.0</v>
      </c>
      <c r="K578" s="169" t="s">
        <v>31</v>
      </c>
    </row>
    <row r="579">
      <c r="A579" s="181">
        <v>14833.0</v>
      </c>
      <c r="B579" s="175" t="s">
        <v>1611</v>
      </c>
      <c r="C579" s="174">
        <v>2014.0</v>
      </c>
      <c r="D579" s="176" t="s">
        <v>3600</v>
      </c>
      <c r="E579" s="176" t="s">
        <v>160</v>
      </c>
      <c r="F579" s="177" t="s">
        <v>3712</v>
      </c>
      <c r="G579" s="178">
        <v>45684.0</v>
      </c>
      <c r="H579" s="179">
        <f t="shared" si="1"/>
        <v>0</v>
      </c>
      <c r="I579" s="180" t="s">
        <v>3713</v>
      </c>
      <c r="J579" s="178">
        <v>45684.0</v>
      </c>
      <c r="K579" s="175" t="s">
        <v>2758</v>
      </c>
    </row>
    <row r="580">
      <c r="A580" s="183">
        <v>14835.0</v>
      </c>
      <c r="B580" s="169" t="s">
        <v>3714</v>
      </c>
      <c r="C580" s="168">
        <v>2015.0</v>
      </c>
      <c r="D580" s="142" t="s">
        <v>52</v>
      </c>
      <c r="E580" s="142" t="s">
        <v>3715</v>
      </c>
      <c r="F580" s="170" t="s">
        <v>125</v>
      </c>
      <c r="G580" s="171">
        <v>45684.0</v>
      </c>
      <c r="H580" s="172">
        <f t="shared" si="1"/>
        <v>57</v>
      </c>
      <c r="I580" s="173" t="s">
        <v>3716</v>
      </c>
      <c r="J580" s="171">
        <v>45741.0</v>
      </c>
      <c r="K580" s="169" t="s">
        <v>2758</v>
      </c>
    </row>
    <row r="581">
      <c r="A581" s="181">
        <v>14836.0</v>
      </c>
      <c r="B581" s="175" t="s">
        <v>3717</v>
      </c>
      <c r="C581" s="174">
        <v>2020.0</v>
      </c>
      <c r="D581" s="176" t="s">
        <v>197</v>
      </c>
      <c r="E581" s="176" t="s">
        <v>125</v>
      </c>
      <c r="F581" s="177" t="s">
        <v>3718</v>
      </c>
      <c r="G581" s="178">
        <v>45684.0</v>
      </c>
      <c r="H581" s="179">
        <f t="shared" si="1"/>
        <v>2</v>
      </c>
      <c r="I581" s="180" t="s">
        <v>284</v>
      </c>
      <c r="J581" s="178">
        <v>45686.0</v>
      </c>
      <c r="K581" s="175" t="s">
        <v>2758</v>
      </c>
    </row>
    <row r="582">
      <c r="A582" s="183">
        <v>14836.0</v>
      </c>
      <c r="B582" s="142" t="s">
        <v>1292</v>
      </c>
      <c r="C582" s="168">
        <v>2019.0</v>
      </c>
      <c r="D582" s="142" t="s">
        <v>197</v>
      </c>
      <c r="E582" s="142" t="s">
        <v>805</v>
      </c>
      <c r="F582" s="170" t="s">
        <v>3718</v>
      </c>
      <c r="G582" s="171">
        <v>45687.0</v>
      </c>
      <c r="H582" s="172">
        <f t="shared" si="1"/>
        <v>25</v>
      </c>
      <c r="I582" s="211" t="s">
        <v>3719</v>
      </c>
      <c r="J582" s="268">
        <v>45712.0</v>
      </c>
      <c r="K582" s="169" t="s">
        <v>31</v>
      </c>
    </row>
    <row r="583">
      <c r="A583" s="181">
        <v>14836.0</v>
      </c>
      <c r="B583" s="175" t="s">
        <v>1292</v>
      </c>
      <c r="C583" s="174">
        <v>2020.0</v>
      </c>
      <c r="D583" s="176" t="s">
        <v>197</v>
      </c>
      <c r="E583" s="176" t="s">
        <v>3448</v>
      </c>
      <c r="F583" s="177" t="s">
        <v>3718</v>
      </c>
      <c r="G583" s="178">
        <v>45790.0</v>
      </c>
      <c r="H583" s="179">
        <f t="shared" si="1"/>
        <v>0</v>
      </c>
      <c r="I583" s="180" t="s">
        <v>3720</v>
      </c>
      <c r="J583" s="178">
        <v>45790.0</v>
      </c>
      <c r="K583" s="175" t="s">
        <v>2758</v>
      </c>
      <c r="L583" s="242"/>
      <c r="M583" s="242"/>
      <c r="N583" s="242"/>
      <c r="O583" s="242"/>
      <c r="P583" s="242"/>
      <c r="Q583" s="242"/>
      <c r="R583" s="242"/>
      <c r="S583" s="242"/>
      <c r="T583" s="242"/>
      <c r="U583" s="242"/>
      <c r="V583" s="242"/>
      <c r="W583" s="242"/>
      <c r="X583" s="242"/>
      <c r="Y583" s="242"/>
      <c r="Z583" s="242"/>
      <c r="AA583" s="242"/>
      <c r="AB583" s="242"/>
      <c r="AC583" s="242"/>
    </row>
    <row r="584">
      <c r="A584" s="183">
        <v>14838.0</v>
      </c>
      <c r="B584" s="142" t="s">
        <v>1462</v>
      </c>
      <c r="C584" s="168">
        <v>2015.0</v>
      </c>
      <c r="D584" s="142" t="s">
        <v>14</v>
      </c>
      <c r="E584" s="142" t="s">
        <v>582</v>
      </c>
      <c r="F584" s="241">
        <v>45762.0</v>
      </c>
      <c r="G584" s="171">
        <v>45684.0</v>
      </c>
      <c r="H584" s="172">
        <f t="shared" si="1"/>
        <v>38</v>
      </c>
      <c r="I584" s="211" t="s">
        <v>3692</v>
      </c>
      <c r="J584" s="171">
        <v>45722.0</v>
      </c>
      <c r="K584" s="169" t="s">
        <v>37</v>
      </c>
      <c r="L584" s="242"/>
      <c r="M584" s="242"/>
      <c r="N584" s="242"/>
      <c r="O584" s="242"/>
      <c r="P584" s="242"/>
      <c r="Q584" s="242"/>
      <c r="R584" s="242"/>
      <c r="S584" s="242"/>
      <c r="T584" s="242"/>
      <c r="U584" s="242"/>
      <c r="V584" s="242"/>
      <c r="W584" s="242"/>
      <c r="X584" s="242"/>
      <c r="Y584" s="242"/>
      <c r="Z584" s="242"/>
      <c r="AA584" s="242"/>
      <c r="AB584" s="242"/>
      <c r="AC584" s="242"/>
    </row>
    <row r="585">
      <c r="A585" s="181">
        <v>14842.0</v>
      </c>
      <c r="B585" s="175" t="s">
        <v>829</v>
      </c>
      <c r="C585" s="174">
        <v>2022.0</v>
      </c>
      <c r="D585" s="176" t="s">
        <v>59</v>
      </c>
      <c r="E585" s="176" t="s">
        <v>531</v>
      </c>
      <c r="F585" s="177" t="s">
        <v>830</v>
      </c>
      <c r="G585" s="178">
        <v>45684.0</v>
      </c>
      <c r="H585" s="179">
        <f t="shared" si="1"/>
        <v>0</v>
      </c>
      <c r="I585" s="180" t="s">
        <v>3721</v>
      </c>
      <c r="J585" s="178">
        <v>45684.0</v>
      </c>
      <c r="K585" s="175" t="s">
        <v>2758</v>
      </c>
    </row>
    <row r="586">
      <c r="A586" s="183">
        <v>14844.0</v>
      </c>
      <c r="B586" s="142" t="s">
        <v>2965</v>
      </c>
      <c r="C586" s="168">
        <v>2019.0</v>
      </c>
      <c r="D586" s="142" t="s">
        <v>197</v>
      </c>
      <c r="E586" s="142" t="s">
        <v>805</v>
      </c>
      <c r="F586" s="170" t="s">
        <v>3722</v>
      </c>
      <c r="G586" s="171">
        <v>45684.0</v>
      </c>
      <c r="H586" s="172">
        <f t="shared" si="1"/>
        <v>30</v>
      </c>
      <c r="I586" s="211" t="s">
        <v>3723</v>
      </c>
      <c r="J586" s="171">
        <v>45714.0</v>
      </c>
      <c r="K586" s="169" t="s">
        <v>31</v>
      </c>
    </row>
    <row r="587">
      <c r="A587" s="181">
        <v>14856.0</v>
      </c>
      <c r="B587" s="175" t="s">
        <v>3412</v>
      </c>
      <c r="C587" s="174">
        <v>2018.0</v>
      </c>
      <c r="D587" s="176" t="s">
        <v>52</v>
      </c>
      <c r="E587" s="176" t="s">
        <v>912</v>
      </c>
      <c r="F587" s="177" t="s">
        <v>3413</v>
      </c>
      <c r="G587" s="178">
        <v>45685.0</v>
      </c>
      <c r="H587" s="179">
        <f t="shared" si="1"/>
        <v>0</v>
      </c>
      <c r="I587" s="180" t="s">
        <v>3724</v>
      </c>
      <c r="J587" s="178">
        <v>45685.0</v>
      </c>
      <c r="K587" s="175" t="s">
        <v>2758</v>
      </c>
    </row>
    <row r="588">
      <c r="A588" s="183">
        <v>14857.0</v>
      </c>
      <c r="B588" s="142" t="s">
        <v>3725</v>
      </c>
      <c r="C588" s="168">
        <v>2020.0</v>
      </c>
      <c r="D588" s="142" t="s">
        <v>14</v>
      </c>
      <c r="E588" s="142" t="s">
        <v>855</v>
      </c>
      <c r="F588" s="170" t="s">
        <v>3726</v>
      </c>
      <c r="G588" s="171">
        <v>45685.0</v>
      </c>
      <c r="H588" s="172">
        <f t="shared" si="1"/>
        <v>3</v>
      </c>
      <c r="I588" s="211" t="s">
        <v>3727</v>
      </c>
      <c r="J588" s="171">
        <v>45688.0</v>
      </c>
      <c r="K588" s="169" t="s">
        <v>2758</v>
      </c>
    </row>
    <row r="589">
      <c r="A589" s="181">
        <v>14859.0</v>
      </c>
      <c r="B589" s="175" t="s">
        <v>3728</v>
      </c>
      <c r="C589" s="174">
        <v>2021.0</v>
      </c>
      <c r="D589" s="176" t="s">
        <v>197</v>
      </c>
      <c r="E589" s="176" t="s">
        <v>2788</v>
      </c>
      <c r="F589" s="177" t="s">
        <v>3729</v>
      </c>
      <c r="G589" s="178">
        <v>45685.0</v>
      </c>
      <c r="H589" s="179">
        <f t="shared" si="1"/>
        <v>23</v>
      </c>
      <c r="I589" s="180" t="s">
        <v>3730</v>
      </c>
      <c r="J589" s="178">
        <v>45708.0</v>
      </c>
      <c r="K589" s="175" t="s">
        <v>2758</v>
      </c>
    </row>
    <row r="590">
      <c r="A590" s="183">
        <v>14861.0</v>
      </c>
      <c r="B590" s="169" t="s">
        <v>3323</v>
      </c>
      <c r="C590" s="168">
        <v>2021.0</v>
      </c>
      <c r="D590" s="142" t="s">
        <v>197</v>
      </c>
      <c r="E590" s="142" t="s">
        <v>2788</v>
      </c>
      <c r="F590" s="170" t="s">
        <v>3731</v>
      </c>
      <c r="G590" s="171">
        <v>45685.0</v>
      </c>
      <c r="H590" s="172">
        <f t="shared" si="1"/>
        <v>27</v>
      </c>
      <c r="I590" s="173" t="s">
        <v>3730</v>
      </c>
      <c r="J590" s="171">
        <v>45712.0</v>
      </c>
      <c r="K590" s="169" t="s">
        <v>2758</v>
      </c>
    </row>
    <row r="591">
      <c r="A591" s="181">
        <v>14862.0</v>
      </c>
      <c r="B591" s="176" t="s">
        <v>3732</v>
      </c>
      <c r="C591" s="174">
        <v>2022.0</v>
      </c>
      <c r="D591" s="176" t="s">
        <v>197</v>
      </c>
      <c r="E591" s="176" t="s">
        <v>2788</v>
      </c>
      <c r="F591" s="177" t="s">
        <v>3733</v>
      </c>
      <c r="G591" s="178">
        <v>45685.0</v>
      </c>
      <c r="H591" s="179">
        <f t="shared" si="1"/>
        <v>28</v>
      </c>
      <c r="I591" s="180" t="s">
        <v>133</v>
      </c>
      <c r="J591" s="178">
        <v>45713.0</v>
      </c>
      <c r="K591" s="175" t="s">
        <v>37</v>
      </c>
    </row>
    <row r="592">
      <c r="A592" s="183">
        <v>14863.0</v>
      </c>
      <c r="B592" s="169" t="s">
        <v>1721</v>
      </c>
      <c r="C592" s="168">
        <v>2022.0</v>
      </c>
      <c r="D592" s="142" t="s">
        <v>52</v>
      </c>
      <c r="E592" s="142" t="s">
        <v>3734</v>
      </c>
      <c r="F592" s="170" t="s">
        <v>1722</v>
      </c>
      <c r="G592" s="171">
        <v>45685.0</v>
      </c>
      <c r="H592" s="172">
        <f t="shared" si="1"/>
        <v>0</v>
      </c>
      <c r="I592" s="173" t="s">
        <v>133</v>
      </c>
      <c r="J592" s="171">
        <v>45685.0</v>
      </c>
      <c r="K592" s="169" t="s">
        <v>2758</v>
      </c>
    </row>
    <row r="593">
      <c r="A593" s="181">
        <v>14868.0</v>
      </c>
      <c r="B593" s="176" t="s">
        <v>2121</v>
      </c>
      <c r="C593" s="174">
        <v>2014.0</v>
      </c>
      <c r="D593" s="176" t="s">
        <v>3735</v>
      </c>
      <c r="E593" s="176" t="s">
        <v>3448</v>
      </c>
      <c r="F593" s="177" t="s">
        <v>3736</v>
      </c>
      <c r="G593" s="178">
        <v>45685.0</v>
      </c>
      <c r="H593" s="179">
        <f t="shared" si="1"/>
        <v>27</v>
      </c>
      <c r="I593" s="182" t="s">
        <v>3737</v>
      </c>
      <c r="J593" s="178">
        <v>45712.0</v>
      </c>
      <c r="K593" s="175" t="s">
        <v>31</v>
      </c>
    </row>
    <row r="594">
      <c r="A594" s="183">
        <v>14870.0</v>
      </c>
      <c r="B594" s="169" t="s">
        <v>1732</v>
      </c>
      <c r="C594" s="168">
        <v>2022.0</v>
      </c>
      <c r="D594" s="142" t="s">
        <v>52</v>
      </c>
      <c r="E594" s="142" t="s">
        <v>183</v>
      </c>
      <c r="F594" s="170" t="s">
        <v>3738</v>
      </c>
      <c r="G594" s="171">
        <v>45685.0</v>
      </c>
      <c r="H594" s="172">
        <f t="shared" si="1"/>
        <v>1</v>
      </c>
      <c r="I594" s="173" t="s">
        <v>2896</v>
      </c>
      <c r="J594" s="171">
        <v>45686.0</v>
      </c>
      <c r="K594" s="169" t="s">
        <v>2758</v>
      </c>
    </row>
    <row r="595">
      <c r="A595" s="181">
        <v>14876.0</v>
      </c>
      <c r="B595" s="175" t="s">
        <v>1046</v>
      </c>
      <c r="C595" s="174">
        <v>2022.0</v>
      </c>
      <c r="D595" s="176" t="s">
        <v>52</v>
      </c>
      <c r="E595" s="176" t="s">
        <v>912</v>
      </c>
      <c r="F595" s="177" t="s">
        <v>1047</v>
      </c>
      <c r="G595" s="178">
        <v>45686.0</v>
      </c>
      <c r="H595" s="179">
        <f t="shared" si="1"/>
        <v>0</v>
      </c>
      <c r="I595" s="180" t="s">
        <v>3201</v>
      </c>
      <c r="J595" s="178">
        <v>45686.0</v>
      </c>
      <c r="K595" s="175" t="s">
        <v>2758</v>
      </c>
    </row>
    <row r="596">
      <c r="A596" s="183">
        <v>14880.0</v>
      </c>
      <c r="B596" s="169" t="s">
        <v>3739</v>
      </c>
      <c r="C596" s="168">
        <v>2011.0</v>
      </c>
      <c r="D596" s="142" t="s">
        <v>2647</v>
      </c>
      <c r="E596" s="142" t="s">
        <v>805</v>
      </c>
      <c r="F596" s="170" t="s">
        <v>3740</v>
      </c>
      <c r="G596" s="171">
        <v>45701.0</v>
      </c>
      <c r="H596" s="172">
        <f t="shared" si="1"/>
        <v>13</v>
      </c>
      <c r="I596" s="173" t="s">
        <v>3213</v>
      </c>
      <c r="J596" s="171">
        <v>45714.0</v>
      </c>
      <c r="K596" s="169" t="s">
        <v>2758</v>
      </c>
    </row>
    <row r="597">
      <c r="A597" s="181">
        <v>14882.0</v>
      </c>
      <c r="B597" s="176" t="s">
        <v>2699</v>
      </c>
      <c r="C597" s="174">
        <v>2011.0</v>
      </c>
      <c r="D597" s="176" t="s">
        <v>367</v>
      </c>
      <c r="E597" s="176" t="s">
        <v>41</v>
      </c>
      <c r="F597" s="177" t="s">
        <v>2701</v>
      </c>
      <c r="G597" s="178">
        <v>45686.0</v>
      </c>
      <c r="H597" s="179">
        <f t="shared" si="1"/>
        <v>41</v>
      </c>
      <c r="I597" s="182" t="s">
        <v>3741</v>
      </c>
      <c r="J597" s="178">
        <v>45727.0</v>
      </c>
      <c r="K597" s="175" t="s">
        <v>2758</v>
      </c>
      <c r="L597" s="242"/>
      <c r="M597" s="242"/>
      <c r="N597" s="242"/>
      <c r="O597" s="242"/>
      <c r="P597" s="242"/>
      <c r="Q597" s="242"/>
      <c r="R597" s="242"/>
      <c r="S597" s="242"/>
      <c r="T597" s="242"/>
      <c r="U597" s="242"/>
      <c r="V597" s="242"/>
      <c r="W597" s="242"/>
      <c r="X597" s="242"/>
      <c r="Y597" s="242"/>
      <c r="Z597" s="242"/>
      <c r="AA597" s="242"/>
      <c r="AB597" s="242"/>
      <c r="AC597" s="242"/>
    </row>
    <row r="598">
      <c r="A598" s="183">
        <v>14887.0</v>
      </c>
      <c r="B598" s="169" t="s">
        <v>2742</v>
      </c>
      <c r="C598" s="168">
        <v>2014.0</v>
      </c>
      <c r="D598" s="142" t="s">
        <v>324</v>
      </c>
      <c r="E598" s="142" t="s">
        <v>82</v>
      </c>
      <c r="F598" s="170" t="s">
        <v>2743</v>
      </c>
      <c r="G598" s="171">
        <v>45687.0</v>
      </c>
      <c r="H598" s="172">
        <f t="shared" si="1"/>
        <v>0</v>
      </c>
      <c r="I598" s="173" t="s">
        <v>3742</v>
      </c>
      <c r="J598" s="171">
        <v>45687.0</v>
      </c>
      <c r="K598" s="169" t="s">
        <v>2758</v>
      </c>
      <c r="L598" s="242"/>
      <c r="M598" s="242"/>
      <c r="N598" s="242"/>
      <c r="O598" s="242"/>
      <c r="P598" s="242"/>
      <c r="Q598" s="242"/>
      <c r="R598" s="242"/>
      <c r="S598" s="242"/>
      <c r="T598" s="242"/>
      <c r="U598" s="242"/>
      <c r="V598" s="242"/>
      <c r="W598" s="242"/>
      <c r="X598" s="242"/>
      <c r="Y598" s="242"/>
      <c r="Z598" s="242"/>
      <c r="AA598" s="242"/>
      <c r="AB598" s="242"/>
      <c r="AC598" s="242"/>
    </row>
    <row r="599">
      <c r="A599" s="181">
        <v>14890.0</v>
      </c>
      <c r="B599" s="175" t="s">
        <v>1840</v>
      </c>
      <c r="C599" s="174">
        <v>2019.0</v>
      </c>
      <c r="D599" s="176" t="s">
        <v>14</v>
      </c>
      <c r="E599" s="176" t="s">
        <v>368</v>
      </c>
      <c r="F599" s="177" t="s">
        <v>1841</v>
      </c>
      <c r="G599" s="178">
        <v>45687.0</v>
      </c>
      <c r="H599" s="179">
        <f t="shared" si="1"/>
        <v>0</v>
      </c>
      <c r="I599" s="180" t="s">
        <v>3743</v>
      </c>
      <c r="J599" s="178">
        <v>45687.0</v>
      </c>
      <c r="K599" s="175" t="s">
        <v>2758</v>
      </c>
    </row>
    <row r="600">
      <c r="A600" s="183">
        <v>14891.0</v>
      </c>
      <c r="B600" s="142" t="s">
        <v>954</v>
      </c>
      <c r="C600" s="168">
        <v>2015.0</v>
      </c>
      <c r="D600" s="142" t="s">
        <v>52</v>
      </c>
      <c r="E600" s="142" t="s">
        <v>2802</v>
      </c>
      <c r="F600" s="170" t="s">
        <v>3744</v>
      </c>
      <c r="G600" s="171">
        <v>45687.0</v>
      </c>
      <c r="H600" s="172">
        <f t="shared" si="1"/>
        <v>1</v>
      </c>
      <c r="I600" s="211" t="s">
        <v>3252</v>
      </c>
      <c r="J600" s="171">
        <v>45688.0</v>
      </c>
      <c r="K600" s="169" t="s">
        <v>31</v>
      </c>
    </row>
    <row r="601">
      <c r="A601" s="181">
        <v>14895.0</v>
      </c>
      <c r="B601" s="175" t="s">
        <v>2424</v>
      </c>
      <c r="C601" s="174">
        <v>2022.0</v>
      </c>
      <c r="D601" s="176" t="s">
        <v>52</v>
      </c>
      <c r="E601" s="176" t="s">
        <v>459</v>
      </c>
      <c r="F601" s="177" t="s">
        <v>3625</v>
      </c>
      <c r="G601" s="178">
        <v>45688.0</v>
      </c>
      <c r="H601" s="179">
        <f t="shared" si="1"/>
        <v>3</v>
      </c>
      <c r="I601" s="180" t="s">
        <v>3745</v>
      </c>
      <c r="J601" s="178">
        <v>45691.0</v>
      </c>
      <c r="K601" s="175" t="s">
        <v>2758</v>
      </c>
    </row>
    <row r="602">
      <c r="A602" s="183">
        <v>14900.0</v>
      </c>
      <c r="B602" s="169" t="s">
        <v>94</v>
      </c>
      <c r="C602" s="168">
        <v>2022.0</v>
      </c>
      <c r="D602" s="142" t="s">
        <v>52</v>
      </c>
      <c r="E602" s="142" t="s">
        <v>173</v>
      </c>
      <c r="F602" s="170" t="s">
        <v>96</v>
      </c>
      <c r="G602" s="171">
        <v>45691.0</v>
      </c>
      <c r="H602" s="172">
        <f t="shared" si="1"/>
        <v>2</v>
      </c>
      <c r="I602" s="173" t="s">
        <v>3746</v>
      </c>
      <c r="J602" s="171">
        <v>45693.0</v>
      </c>
      <c r="K602" s="169" t="s">
        <v>84</v>
      </c>
    </row>
    <row r="603">
      <c r="A603" s="181">
        <v>14907.0</v>
      </c>
      <c r="B603" s="175" t="s">
        <v>3143</v>
      </c>
      <c r="C603" s="174">
        <v>2011.0</v>
      </c>
      <c r="D603" s="176" t="s">
        <v>367</v>
      </c>
      <c r="E603" s="176" t="s">
        <v>47</v>
      </c>
      <c r="F603" s="177" t="s">
        <v>3144</v>
      </c>
      <c r="G603" s="178">
        <v>45691.0</v>
      </c>
      <c r="H603" s="179">
        <f t="shared" si="1"/>
        <v>0</v>
      </c>
      <c r="I603" s="180" t="s">
        <v>3747</v>
      </c>
      <c r="J603" s="178">
        <v>45691.0</v>
      </c>
      <c r="K603" s="175" t="s">
        <v>2758</v>
      </c>
    </row>
    <row r="604">
      <c r="A604" s="183">
        <v>14908.0</v>
      </c>
      <c r="B604" s="169" t="s">
        <v>859</v>
      </c>
      <c r="C604" s="168">
        <v>2022.0</v>
      </c>
      <c r="D604" s="142" t="s">
        <v>52</v>
      </c>
      <c r="E604" s="142" t="s">
        <v>207</v>
      </c>
      <c r="F604" s="170" t="s">
        <v>861</v>
      </c>
      <c r="G604" s="171">
        <v>45691.0</v>
      </c>
      <c r="H604" s="172">
        <f t="shared" si="1"/>
        <v>0</v>
      </c>
      <c r="I604" s="173" t="s">
        <v>579</v>
      </c>
      <c r="J604" s="171">
        <v>45691.0</v>
      </c>
      <c r="K604" s="169" t="s">
        <v>2758</v>
      </c>
    </row>
    <row r="605">
      <c r="A605" s="181">
        <v>14922.0</v>
      </c>
      <c r="B605" s="175" t="s">
        <v>3109</v>
      </c>
      <c r="C605" s="174">
        <v>2022.0</v>
      </c>
      <c r="D605" s="176" t="s">
        <v>52</v>
      </c>
      <c r="E605" s="176" t="s">
        <v>459</v>
      </c>
      <c r="F605" s="177" t="s">
        <v>3464</v>
      </c>
      <c r="G605" s="178">
        <v>45692.0</v>
      </c>
      <c r="H605" s="179">
        <f t="shared" si="1"/>
        <v>0</v>
      </c>
      <c r="I605" s="180" t="s">
        <v>3531</v>
      </c>
      <c r="J605" s="178">
        <v>45692.0</v>
      </c>
      <c r="K605" s="175" t="s">
        <v>2758</v>
      </c>
    </row>
    <row r="606">
      <c r="A606" s="183">
        <v>14928.0</v>
      </c>
      <c r="B606" s="169" t="s">
        <v>3748</v>
      </c>
      <c r="C606" s="168">
        <v>2022.0</v>
      </c>
      <c r="D606" s="142" t="s">
        <v>52</v>
      </c>
      <c r="E606" s="142" t="s">
        <v>452</v>
      </c>
      <c r="F606" s="170" t="s">
        <v>3749</v>
      </c>
      <c r="G606" s="171">
        <v>45728.0</v>
      </c>
      <c r="H606" s="172">
        <f t="shared" si="1"/>
        <v>0</v>
      </c>
      <c r="I606" s="173" t="s">
        <v>3750</v>
      </c>
      <c r="J606" s="171">
        <v>45728.0</v>
      </c>
      <c r="K606" s="169" t="s">
        <v>2758</v>
      </c>
    </row>
    <row r="607">
      <c r="A607" s="181">
        <v>14928.0</v>
      </c>
      <c r="B607" s="175" t="s">
        <v>3748</v>
      </c>
      <c r="C607" s="174">
        <v>2022.0</v>
      </c>
      <c r="D607" s="176" t="s">
        <v>52</v>
      </c>
      <c r="E607" s="176" t="s">
        <v>452</v>
      </c>
      <c r="F607" s="177" t="s">
        <v>3749</v>
      </c>
      <c r="G607" s="178">
        <v>45742.0</v>
      </c>
      <c r="H607" s="179">
        <f t="shared" si="1"/>
        <v>0</v>
      </c>
      <c r="I607" s="180" t="s">
        <v>3751</v>
      </c>
      <c r="J607" s="178">
        <v>45742.0</v>
      </c>
      <c r="K607" s="175" t="s">
        <v>2758</v>
      </c>
    </row>
    <row r="608">
      <c r="A608" s="183">
        <v>14929.0</v>
      </c>
      <c r="B608" s="169" t="s">
        <v>3752</v>
      </c>
      <c r="C608" s="168">
        <v>2014.0</v>
      </c>
      <c r="D608" s="142" t="s">
        <v>188</v>
      </c>
      <c r="E608" s="142" t="s">
        <v>805</v>
      </c>
      <c r="F608" s="170" t="s">
        <v>2178</v>
      </c>
      <c r="G608" s="171">
        <v>45692.0</v>
      </c>
      <c r="H608" s="172">
        <f t="shared" si="1"/>
        <v>0</v>
      </c>
      <c r="I608" s="173" t="s">
        <v>3753</v>
      </c>
      <c r="J608" s="171">
        <v>45692.0</v>
      </c>
      <c r="K608" s="169" t="s">
        <v>2758</v>
      </c>
    </row>
    <row r="609">
      <c r="A609" s="181">
        <v>14933.0</v>
      </c>
      <c r="B609" s="176" t="s">
        <v>1648</v>
      </c>
      <c r="C609" s="174">
        <v>2014.0</v>
      </c>
      <c r="D609" s="176" t="s">
        <v>3754</v>
      </c>
      <c r="E609" s="176" t="s">
        <v>183</v>
      </c>
      <c r="F609" s="177" t="s">
        <v>1649</v>
      </c>
      <c r="G609" s="178">
        <v>45693.0</v>
      </c>
      <c r="H609" s="179">
        <f t="shared" si="1"/>
        <v>7</v>
      </c>
      <c r="I609" s="182" t="s">
        <v>3755</v>
      </c>
      <c r="J609" s="178">
        <v>45700.0</v>
      </c>
      <c r="K609" s="175" t="s">
        <v>2758</v>
      </c>
    </row>
    <row r="610">
      <c r="A610" s="183">
        <v>14937.0</v>
      </c>
      <c r="B610" s="142" t="s">
        <v>2414</v>
      </c>
      <c r="C610" s="168">
        <v>2014.0</v>
      </c>
      <c r="D610" s="142" t="s">
        <v>3735</v>
      </c>
      <c r="E610" s="142" t="s">
        <v>3448</v>
      </c>
      <c r="F610" s="170" t="s">
        <v>3340</v>
      </c>
      <c r="G610" s="171">
        <v>45693.0</v>
      </c>
      <c r="H610" s="172">
        <f t="shared" si="1"/>
        <v>5</v>
      </c>
      <c r="I610" s="211" t="s">
        <v>668</v>
      </c>
      <c r="J610" s="228">
        <v>45698.0</v>
      </c>
      <c r="K610" s="169" t="s">
        <v>2758</v>
      </c>
    </row>
    <row r="611">
      <c r="A611" s="181">
        <v>14938.0</v>
      </c>
      <c r="B611" s="176" t="s">
        <v>1904</v>
      </c>
      <c r="C611" s="174">
        <v>2022.0</v>
      </c>
      <c r="D611" s="176" t="s">
        <v>52</v>
      </c>
      <c r="E611" s="176" t="s">
        <v>805</v>
      </c>
      <c r="F611" s="177" t="s">
        <v>1905</v>
      </c>
      <c r="G611" s="178">
        <v>45693.0</v>
      </c>
      <c r="H611" s="179">
        <f t="shared" si="1"/>
        <v>1</v>
      </c>
      <c r="I611" s="180" t="s">
        <v>668</v>
      </c>
      <c r="J611" s="178">
        <v>45694.0</v>
      </c>
      <c r="K611" s="175" t="s">
        <v>84</v>
      </c>
    </row>
    <row r="612">
      <c r="A612" s="183">
        <v>14941.0</v>
      </c>
      <c r="B612" s="142" t="s">
        <v>147</v>
      </c>
      <c r="C612" s="168">
        <v>2014.0</v>
      </c>
      <c r="D612" s="142" t="s">
        <v>2875</v>
      </c>
      <c r="E612" s="142" t="s">
        <v>21</v>
      </c>
      <c r="F612" s="170" t="s">
        <v>3450</v>
      </c>
      <c r="G612" s="171">
        <v>45693.0</v>
      </c>
      <c r="H612" s="172">
        <f t="shared" si="1"/>
        <v>2</v>
      </c>
      <c r="I612" s="211" t="s">
        <v>3756</v>
      </c>
      <c r="J612" s="268">
        <v>45695.0</v>
      </c>
      <c r="K612" s="169" t="s">
        <v>31</v>
      </c>
    </row>
    <row r="613">
      <c r="A613" s="181">
        <v>14942.0</v>
      </c>
      <c r="B613" s="175" t="s">
        <v>260</v>
      </c>
      <c r="C613" s="174">
        <v>2022.0</v>
      </c>
      <c r="D613" s="176" t="s">
        <v>75</v>
      </c>
      <c r="E613" s="176" t="s">
        <v>240</v>
      </c>
      <c r="F613" s="177" t="s">
        <v>261</v>
      </c>
      <c r="G613" s="178">
        <v>45692.0</v>
      </c>
      <c r="H613" s="179">
        <f t="shared" si="1"/>
        <v>2</v>
      </c>
      <c r="I613" s="180" t="s">
        <v>3757</v>
      </c>
      <c r="J613" s="178">
        <v>45694.0</v>
      </c>
      <c r="K613" s="175" t="s">
        <v>2758</v>
      </c>
    </row>
    <row r="614">
      <c r="A614" s="183">
        <v>14942.0</v>
      </c>
      <c r="B614" s="169" t="s">
        <v>260</v>
      </c>
      <c r="C614" s="168">
        <v>2019.0</v>
      </c>
      <c r="D614" s="142" t="s">
        <v>75</v>
      </c>
      <c r="E614" s="142" t="s">
        <v>240</v>
      </c>
      <c r="F614" s="170" t="s">
        <v>261</v>
      </c>
      <c r="G614" s="171">
        <v>45693.0</v>
      </c>
      <c r="H614" s="172">
        <f t="shared" si="1"/>
        <v>0</v>
      </c>
      <c r="I614" s="173" t="s">
        <v>3758</v>
      </c>
      <c r="J614" s="171">
        <v>45693.0</v>
      </c>
      <c r="K614" s="169" t="s">
        <v>2758</v>
      </c>
    </row>
    <row r="615">
      <c r="A615" s="181">
        <v>14950.0</v>
      </c>
      <c r="B615" s="175" t="s">
        <v>3759</v>
      </c>
      <c r="C615" s="174">
        <v>2018.0</v>
      </c>
      <c r="D615" s="176" t="s">
        <v>14</v>
      </c>
      <c r="E615" s="176" t="s">
        <v>805</v>
      </c>
      <c r="F615" s="177" t="s">
        <v>3760</v>
      </c>
      <c r="G615" s="178">
        <v>45694.0</v>
      </c>
      <c r="H615" s="179">
        <f t="shared" si="1"/>
        <v>5</v>
      </c>
      <c r="I615" s="180" t="s">
        <v>668</v>
      </c>
      <c r="J615" s="178">
        <v>45699.0</v>
      </c>
      <c r="K615" s="175" t="s">
        <v>2758</v>
      </c>
    </row>
    <row r="616">
      <c r="A616" s="183">
        <v>14952.0</v>
      </c>
      <c r="B616" s="142" t="s">
        <v>2900</v>
      </c>
      <c r="C616" s="168">
        <v>2018.0</v>
      </c>
      <c r="D616" s="142" t="s">
        <v>14</v>
      </c>
      <c r="E616" s="142" t="s">
        <v>3448</v>
      </c>
      <c r="F616" s="170" t="s">
        <v>3761</v>
      </c>
      <c r="G616" s="171">
        <v>45694.0</v>
      </c>
      <c r="H616" s="172">
        <f t="shared" si="1"/>
        <v>6</v>
      </c>
      <c r="I616" s="173" t="s">
        <v>30</v>
      </c>
      <c r="J616" s="171">
        <v>45700.0</v>
      </c>
      <c r="K616" s="169" t="s">
        <v>31</v>
      </c>
    </row>
    <row r="617">
      <c r="A617" s="181">
        <v>14952.0</v>
      </c>
      <c r="B617" s="175" t="s">
        <v>2900</v>
      </c>
      <c r="C617" s="174">
        <v>2018.0</v>
      </c>
      <c r="D617" s="176" t="s">
        <v>14</v>
      </c>
      <c r="E617" s="176" t="s">
        <v>3448</v>
      </c>
      <c r="F617" s="177" t="s">
        <v>2901</v>
      </c>
      <c r="G617" s="178">
        <v>45790.0</v>
      </c>
      <c r="H617" s="179">
        <f t="shared" si="1"/>
        <v>0</v>
      </c>
      <c r="I617" s="180" t="s">
        <v>3762</v>
      </c>
      <c r="J617" s="178">
        <v>45790.0</v>
      </c>
      <c r="K617" s="175" t="s">
        <v>2758</v>
      </c>
    </row>
    <row r="618" ht="16.5" customHeight="1">
      <c r="A618" s="183">
        <v>14953.0</v>
      </c>
      <c r="B618" s="142" t="s">
        <v>2832</v>
      </c>
      <c r="C618" s="168">
        <v>2014.0</v>
      </c>
      <c r="D618" s="142" t="s">
        <v>105</v>
      </c>
      <c r="E618" s="142" t="s">
        <v>3448</v>
      </c>
      <c r="F618" s="170" t="s">
        <v>2833</v>
      </c>
      <c r="G618" s="171">
        <v>45694.0</v>
      </c>
      <c r="H618" s="172">
        <f t="shared" si="1"/>
        <v>6</v>
      </c>
      <c r="I618" s="173" t="s">
        <v>30</v>
      </c>
      <c r="J618" s="171">
        <v>45700.0</v>
      </c>
      <c r="K618" s="169" t="s">
        <v>31</v>
      </c>
    </row>
    <row r="619">
      <c r="A619" s="181">
        <v>14954.0</v>
      </c>
      <c r="B619" s="175" t="s">
        <v>1318</v>
      </c>
      <c r="C619" s="174">
        <v>2023.0</v>
      </c>
      <c r="D619" s="176" t="s">
        <v>590</v>
      </c>
      <c r="E619" s="176" t="s">
        <v>405</v>
      </c>
      <c r="F619" s="177" t="s">
        <v>1320</v>
      </c>
      <c r="G619" s="178">
        <v>45694.0</v>
      </c>
      <c r="H619" s="179">
        <f t="shared" si="1"/>
        <v>0</v>
      </c>
      <c r="I619" s="180" t="s">
        <v>3763</v>
      </c>
      <c r="J619" s="178">
        <v>45694.0</v>
      </c>
      <c r="K619" s="175" t="s">
        <v>2758</v>
      </c>
    </row>
    <row r="620">
      <c r="A620" s="183">
        <v>14958.0</v>
      </c>
      <c r="B620" s="169" t="s">
        <v>450</v>
      </c>
      <c r="C620" s="168">
        <v>2020.0</v>
      </c>
      <c r="D620" s="142" t="s">
        <v>451</v>
      </c>
      <c r="E620" s="142" t="s">
        <v>70</v>
      </c>
      <c r="F620" s="170" t="s">
        <v>453</v>
      </c>
      <c r="G620" s="171">
        <v>45694.0</v>
      </c>
      <c r="H620" s="172">
        <f t="shared" si="1"/>
        <v>0</v>
      </c>
      <c r="I620" s="173" t="s">
        <v>707</v>
      </c>
      <c r="J620" s="171">
        <v>45694.0</v>
      </c>
      <c r="K620" s="169" t="s">
        <v>2758</v>
      </c>
      <c r="L620" s="242"/>
      <c r="M620" s="242"/>
      <c r="N620" s="242"/>
      <c r="O620" s="242"/>
      <c r="P620" s="242"/>
      <c r="Q620" s="242"/>
      <c r="R620" s="242"/>
      <c r="S620" s="242"/>
      <c r="T620" s="242"/>
      <c r="U620" s="242"/>
      <c r="V620" s="242"/>
      <c r="W620" s="242"/>
      <c r="X620" s="242"/>
      <c r="Y620" s="242"/>
      <c r="Z620" s="242"/>
      <c r="AA620" s="242"/>
      <c r="AB620" s="242"/>
      <c r="AC620" s="242"/>
    </row>
    <row r="621">
      <c r="A621" s="181">
        <v>14964.0</v>
      </c>
      <c r="B621" s="175" t="s">
        <v>3764</v>
      </c>
      <c r="C621" s="174">
        <v>2022.0</v>
      </c>
      <c r="D621" s="176" t="s">
        <v>14</v>
      </c>
      <c r="E621" s="176" t="s">
        <v>2333</v>
      </c>
      <c r="F621" s="177" t="s">
        <v>3765</v>
      </c>
      <c r="G621" s="178">
        <v>45695.0</v>
      </c>
      <c r="H621" s="179">
        <f t="shared" si="1"/>
        <v>0</v>
      </c>
      <c r="I621" s="180" t="s">
        <v>3766</v>
      </c>
      <c r="J621" s="178">
        <v>45695.0</v>
      </c>
      <c r="K621" s="175" t="s">
        <v>2758</v>
      </c>
    </row>
    <row r="622">
      <c r="A622" s="183">
        <v>14965.0</v>
      </c>
      <c r="B622" s="169" t="s">
        <v>3150</v>
      </c>
      <c r="C622" s="168">
        <v>2022.0</v>
      </c>
      <c r="D622" s="142" t="s">
        <v>52</v>
      </c>
      <c r="E622" s="142" t="s">
        <v>630</v>
      </c>
      <c r="F622" s="170" t="s">
        <v>3152</v>
      </c>
      <c r="G622" s="171">
        <v>45695.0</v>
      </c>
      <c r="H622" s="172">
        <f t="shared" si="1"/>
        <v>0</v>
      </c>
      <c r="I622" s="173" t="s">
        <v>533</v>
      </c>
      <c r="J622" s="171">
        <v>45695.0</v>
      </c>
      <c r="K622" s="169" t="s">
        <v>2758</v>
      </c>
    </row>
    <row r="623">
      <c r="A623" s="181">
        <v>14979.0</v>
      </c>
      <c r="B623" s="175" t="s">
        <v>859</v>
      </c>
      <c r="C623" s="174">
        <v>2022.0</v>
      </c>
      <c r="D623" s="176" t="s">
        <v>52</v>
      </c>
      <c r="E623" s="176" t="s">
        <v>805</v>
      </c>
      <c r="F623" s="177" t="s">
        <v>861</v>
      </c>
      <c r="G623" s="178">
        <v>45698.0</v>
      </c>
      <c r="H623" s="179">
        <f t="shared" si="1"/>
        <v>1</v>
      </c>
      <c r="I623" s="180" t="s">
        <v>3767</v>
      </c>
      <c r="J623" s="178">
        <v>45699.0</v>
      </c>
      <c r="K623" s="175" t="s">
        <v>2758</v>
      </c>
    </row>
    <row r="624">
      <c r="A624" s="168">
        <v>14980.0</v>
      </c>
      <c r="B624" s="169" t="s">
        <v>3046</v>
      </c>
      <c r="C624" s="168">
        <v>2021.0</v>
      </c>
      <c r="D624" s="142" t="s">
        <v>197</v>
      </c>
      <c r="E624" s="142" t="s">
        <v>855</v>
      </c>
      <c r="F624" s="170" t="s">
        <v>3047</v>
      </c>
      <c r="G624" s="171">
        <v>45698.0</v>
      </c>
      <c r="H624" s="172">
        <f t="shared" si="1"/>
        <v>0</v>
      </c>
      <c r="I624" s="173" t="s">
        <v>3768</v>
      </c>
      <c r="J624" s="171">
        <v>45698.0</v>
      </c>
      <c r="K624" s="169" t="s">
        <v>2758</v>
      </c>
    </row>
    <row r="625">
      <c r="A625" s="174">
        <v>14985.0</v>
      </c>
      <c r="B625" s="175" t="s">
        <v>3042</v>
      </c>
      <c r="C625" s="174">
        <v>2021.0</v>
      </c>
      <c r="D625" s="176" t="s">
        <v>197</v>
      </c>
      <c r="E625" s="176" t="s">
        <v>855</v>
      </c>
      <c r="F625" s="177" t="s">
        <v>3043</v>
      </c>
      <c r="G625" s="178">
        <v>45699.0</v>
      </c>
      <c r="H625" s="179">
        <f t="shared" si="1"/>
        <v>0</v>
      </c>
      <c r="I625" s="180" t="s">
        <v>3769</v>
      </c>
      <c r="J625" s="178">
        <v>45699.0</v>
      </c>
      <c r="K625" s="175" t="s">
        <v>2758</v>
      </c>
    </row>
    <row r="626">
      <c r="A626" s="183">
        <v>14986.0</v>
      </c>
      <c r="B626" s="142" t="s">
        <v>3372</v>
      </c>
      <c r="C626" s="168">
        <v>2013.0</v>
      </c>
      <c r="D626" s="142" t="s">
        <v>2875</v>
      </c>
      <c r="E626" s="142" t="s">
        <v>630</v>
      </c>
      <c r="F626" s="170" t="s">
        <v>3374</v>
      </c>
      <c r="G626" s="171">
        <v>45699.0</v>
      </c>
      <c r="H626" s="172">
        <f t="shared" si="1"/>
        <v>28</v>
      </c>
      <c r="I626" s="211" t="s">
        <v>3770</v>
      </c>
      <c r="J626" s="268">
        <v>45727.0</v>
      </c>
      <c r="K626" s="169" t="s">
        <v>31</v>
      </c>
    </row>
    <row r="627">
      <c r="A627" s="174">
        <v>14987.0</v>
      </c>
      <c r="B627" s="176" t="s">
        <v>3210</v>
      </c>
      <c r="C627" s="174">
        <v>2006.0</v>
      </c>
      <c r="D627" s="176" t="s">
        <v>3211</v>
      </c>
      <c r="E627" s="176" t="s">
        <v>725</v>
      </c>
      <c r="F627" s="177" t="s">
        <v>3212</v>
      </c>
      <c r="G627" s="178">
        <v>45699.0</v>
      </c>
      <c r="H627" s="179">
        <f t="shared" si="1"/>
        <v>1</v>
      </c>
      <c r="I627" s="182" t="s">
        <v>3771</v>
      </c>
      <c r="J627" s="269">
        <v>45700.0</v>
      </c>
      <c r="K627" s="175" t="s">
        <v>2758</v>
      </c>
    </row>
    <row r="628">
      <c r="A628" s="183">
        <v>14988.0</v>
      </c>
      <c r="B628" s="169" t="s">
        <v>535</v>
      </c>
      <c r="C628" s="168">
        <v>2020.0</v>
      </c>
      <c r="D628" s="142" t="s">
        <v>81</v>
      </c>
      <c r="E628" s="142" t="s">
        <v>3772</v>
      </c>
      <c r="F628" s="170" t="s">
        <v>537</v>
      </c>
      <c r="G628" s="171">
        <v>45699.0</v>
      </c>
      <c r="H628" s="172">
        <f t="shared" si="1"/>
        <v>1</v>
      </c>
      <c r="I628" s="173" t="s">
        <v>3773</v>
      </c>
      <c r="J628" s="171">
        <v>45700.0</v>
      </c>
      <c r="K628" s="169" t="s">
        <v>31</v>
      </c>
    </row>
    <row r="629">
      <c r="A629" s="181">
        <v>14993.0</v>
      </c>
      <c r="B629" s="176" t="s">
        <v>3774</v>
      </c>
      <c r="C629" s="174">
        <v>2018.0</v>
      </c>
      <c r="D629" s="176" t="s">
        <v>14</v>
      </c>
      <c r="E629" s="176" t="s">
        <v>337</v>
      </c>
      <c r="F629" s="177" t="s">
        <v>3775</v>
      </c>
      <c r="G629" s="178">
        <v>45699.0</v>
      </c>
      <c r="H629" s="179">
        <f t="shared" si="1"/>
        <v>34</v>
      </c>
      <c r="I629" s="182" t="s">
        <v>3776</v>
      </c>
      <c r="J629" s="178">
        <v>45733.0</v>
      </c>
      <c r="K629" s="175" t="s">
        <v>2758</v>
      </c>
    </row>
    <row r="630">
      <c r="A630" s="183">
        <v>14994.0</v>
      </c>
      <c r="B630" s="142" t="s">
        <v>3777</v>
      </c>
      <c r="C630" s="168">
        <v>2013.0</v>
      </c>
      <c r="D630" s="142" t="s">
        <v>105</v>
      </c>
      <c r="E630" s="142" t="s">
        <v>337</v>
      </c>
      <c r="F630" s="170" t="s">
        <v>3778</v>
      </c>
      <c r="G630" s="171">
        <v>45699.0</v>
      </c>
      <c r="H630" s="172">
        <f t="shared" si="1"/>
        <v>7</v>
      </c>
      <c r="I630" s="287" t="s">
        <v>3779</v>
      </c>
      <c r="J630" s="171">
        <v>45706.0</v>
      </c>
      <c r="K630" s="169" t="s">
        <v>2758</v>
      </c>
      <c r="L630" s="242"/>
      <c r="M630" s="242"/>
      <c r="N630" s="242"/>
      <c r="O630" s="242"/>
      <c r="P630" s="242"/>
      <c r="Q630" s="242"/>
      <c r="R630" s="242"/>
      <c r="S630" s="242"/>
      <c r="T630" s="242"/>
      <c r="U630" s="242"/>
      <c r="V630" s="242"/>
      <c r="W630" s="242"/>
      <c r="X630" s="242"/>
      <c r="Y630" s="242"/>
      <c r="Z630" s="242"/>
      <c r="AA630" s="242"/>
      <c r="AB630" s="242"/>
      <c r="AC630" s="242"/>
    </row>
    <row r="631">
      <c r="A631" s="181">
        <v>14996.0</v>
      </c>
      <c r="B631" s="175" t="s">
        <v>462</v>
      </c>
      <c r="C631" s="174">
        <v>2022.0</v>
      </c>
      <c r="D631" s="176" t="s">
        <v>136</v>
      </c>
      <c r="E631" s="176" t="s">
        <v>82</v>
      </c>
      <c r="F631" s="177" t="s">
        <v>463</v>
      </c>
      <c r="G631" s="178">
        <v>45700.0</v>
      </c>
      <c r="H631" s="179">
        <f t="shared" si="1"/>
        <v>0</v>
      </c>
      <c r="I631" s="180" t="s">
        <v>3780</v>
      </c>
      <c r="J631" s="178">
        <v>45700.0</v>
      </c>
      <c r="K631" s="175" t="s">
        <v>2758</v>
      </c>
    </row>
    <row r="632">
      <c r="A632" s="183">
        <v>15000.0</v>
      </c>
      <c r="B632" s="169" t="s">
        <v>3052</v>
      </c>
      <c r="C632" s="168">
        <v>2022.0</v>
      </c>
      <c r="D632" s="142" t="s">
        <v>52</v>
      </c>
      <c r="E632" s="142" t="s">
        <v>70</v>
      </c>
      <c r="F632" s="170" t="s">
        <v>3053</v>
      </c>
      <c r="G632" s="171">
        <v>45700.0</v>
      </c>
      <c r="H632" s="172">
        <f t="shared" si="1"/>
        <v>0</v>
      </c>
      <c r="I632" s="173" t="s">
        <v>3781</v>
      </c>
      <c r="J632" s="171">
        <v>45700.0</v>
      </c>
      <c r="K632" s="169" t="s">
        <v>2758</v>
      </c>
    </row>
    <row r="633">
      <c r="A633" s="181">
        <v>15011.0</v>
      </c>
      <c r="B633" s="175" t="s">
        <v>2028</v>
      </c>
      <c r="C633" s="174">
        <v>2022.0</v>
      </c>
      <c r="D633" s="176" t="s">
        <v>52</v>
      </c>
      <c r="E633" s="176" t="s">
        <v>3782</v>
      </c>
      <c r="F633" s="177" t="s">
        <v>3783</v>
      </c>
      <c r="G633" s="178">
        <v>45701.0</v>
      </c>
      <c r="H633" s="179">
        <f t="shared" si="1"/>
        <v>0</v>
      </c>
      <c r="I633" s="180" t="s">
        <v>3784</v>
      </c>
      <c r="J633" s="178">
        <v>45701.0</v>
      </c>
      <c r="K633" s="175" t="s">
        <v>2758</v>
      </c>
    </row>
    <row r="634" ht="16.5" customHeight="1">
      <c r="A634" s="183">
        <v>15012.0</v>
      </c>
      <c r="B634" s="169" t="s">
        <v>1641</v>
      </c>
      <c r="C634" s="288">
        <v>2018.0</v>
      </c>
      <c r="D634" s="142" t="s">
        <v>52</v>
      </c>
      <c r="E634" s="142" t="s">
        <v>912</v>
      </c>
      <c r="F634" s="170" t="s">
        <v>1642</v>
      </c>
      <c r="G634" s="171">
        <v>45701.0</v>
      </c>
      <c r="H634" s="172">
        <f t="shared" si="1"/>
        <v>34</v>
      </c>
      <c r="I634" s="173" t="s">
        <v>3785</v>
      </c>
      <c r="J634" s="171">
        <v>45735.0</v>
      </c>
      <c r="K634" s="169" t="s">
        <v>31</v>
      </c>
    </row>
    <row r="635">
      <c r="A635" s="181">
        <v>15013.0</v>
      </c>
      <c r="B635" s="175" t="s">
        <v>3150</v>
      </c>
      <c r="C635" s="174">
        <v>2022.0</v>
      </c>
      <c r="D635" s="176" t="s">
        <v>52</v>
      </c>
      <c r="E635" s="176" t="s">
        <v>3786</v>
      </c>
      <c r="F635" s="289" t="s">
        <v>3152</v>
      </c>
      <c r="G635" s="178">
        <v>45701.0</v>
      </c>
      <c r="H635" s="179">
        <f t="shared" si="1"/>
        <v>0</v>
      </c>
      <c r="I635" s="180" t="s">
        <v>3787</v>
      </c>
      <c r="J635" s="178">
        <v>45701.0</v>
      </c>
      <c r="K635" s="175" t="s">
        <v>2758</v>
      </c>
    </row>
    <row r="636">
      <c r="A636" s="183">
        <v>15025.0</v>
      </c>
      <c r="B636" s="142" t="s">
        <v>2096</v>
      </c>
      <c r="C636" s="168">
        <v>2022.0</v>
      </c>
      <c r="D636" s="142" t="s">
        <v>52</v>
      </c>
      <c r="E636" s="142" t="s">
        <v>235</v>
      </c>
      <c r="F636" s="170" t="s">
        <v>2097</v>
      </c>
      <c r="G636" s="171">
        <v>45702.0</v>
      </c>
      <c r="H636" s="172">
        <f t="shared" si="1"/>
        <v>3</v>
      </c>
      <c r="I636" s="173" t="s">
        <v>31</v>
      </c>
      <c r="J636" s="171">
        <v>45705.0</v>
      </c>
      <c r="K636" s="169" t="s">
        <v>31</v>
      </c>
    </row>
    <row r="637">
      <c r="A637" s="181">
        <v>15025.0</v>
      </c>
      <c r="B637" s="175" t="s">
        <v>2096</v>
      </c>
      <c r="C637" s="174">
        <v>2022.0</v>
      </c>
      <c r="D637" s="176" t="s">
        <v>52</v>
      </c>
      <c r="E637" s="176" t="s">
        <v>235</v>
      </c>
      <c r="F637" s="177" t="s">
        <v>2097</v>
      </c>
      <c r="G637" s="178">
        <v>45737.0</v>
      </c>
      <c r="H637" s="179">
        <f t="shared" si="1"/>
        <v>5</v>
      </c>
      <c r="I637" s="278" t="s">
        <v>3788</v>
      </c>
      <c r="J637" s="178">
        <v>45742.0</v>
      </c>
      <c r="K637" s="175" t="s">
        <v>84</v>
      </c>
    </row>
    <row r="638">
      <c r="A638" s="183">
        <v>15031.0</v>
      </c>
      <c r="B638" s="169" t="s">
        <v>825</v>
      </c>
      <c r="C638" s="168">
        <v>2022.0</v>
      </c>
      <c r="D638" s="142" t="s">
        <v>136</v>
      </c>
      <c r="E638" s="142" t="s">
        <v>125</v>
      </c>
      <c r="F638" s="170" t="s">
        <v>827</v>
      </c>
      <c r="G638" s="171">
        <v>45705.0</v>
      </c>
      <c r="H638" s="172">
        <f t="shared" si="1"/>
        <v>0</v>
      </c>
      <c r="I638" s="173" t="s">
        <v>668</v>
      </c>
      <c r="J638" s="171">
        <v>45705.0</v>
      </c>
      <c r="K638" s="169" t="s">
        <v>2758</v>
      </c>
    </row>
    <row r="639">
      <c r="A639" s="181">
        <v>15032.0</v>
      </c>
      <c r="B639" s="176" t="s">
        <v>3789</v>
      </c>
      <c r="C639" s="174">
        <v>2018.0</v>
      </c>
      <c r="D639" s="176" t="s">
        <v>14</v>
      </c>
      <c r="E639" s="176" t="s">
        <v>855</v>
      </c>
      <c r="F639" s="177" t="s">
        <v>3790</v>
      </c>
      <c r="G639" s="178">
        <v>45705.0</v>
      </c>
      <c r="H639" s="179">
        <f t="shared" si="1"/>
        <v>28</v>
      </c>
      <c r="I639" s="182" t="s">
        <v>3791</v>
      </c>
      <c r="J639" s="269">
        <v>45733.0</v>
      </c>
      <c r="K639" s="175" t="s">
        <v>31</v>
      </c>
    </row>
    <row r="640">
      <c r="A640" s="183">
        <v>15034.0</v>
      </c>
      <c r="B640" s="169" t="s">
        <v>2153</v>
      </c>
      <c r="C640" s="168">
        <v>2022.0</v>
      </c>
      <c r="D640" s="142" t="s">
        <v>52</v>
      </c>
      <c r="E640" s="142" t="s">
        <v>125</v>
      </c>
      <c r="F640" s="170" t="s">
        <v>2154</v>
      </c>
      <c r="G640" s="171">
        <v>45705.0</v>
      </c>
      <c r="H640" s="172">
        <f t="shared" si="1"/>
        <v>2</v>
      </c>
      <c r="I640" s="173" t="s">
        <v>3792</v>
      </c>
      <c r="J640" s="171">
        <v>45707.0</v>
      </c>
      <c r="K640" s="169" t="s">
        <v>2758</v>
      </c>
    </row>
    <row r="641">
      <c r="A641" s="181">
        <v>15037.0</v>
      </c>
      <c r="B641" s="176" t="s">
        <v>3425</v>
      </c>
      <c r="C641" s="174">
        <v>2020.0</v>
      </c>
      <c r="D641" s="176" t="s">
        <v>14</v>
      </c>
      <c r="E641" s="176" t="s">
        <v>855</v>
      </c>
      <c r="F641" s="177" t="s">
        <v>3426</v>
      </c>
      <c r="G641" s="178">
        <v>45705.0</v>
      </c>
      <c r="H641" s="179">
        <f t="shared" si="1"/>
        <v>29</v>
      </c>
      <c r="I641" s="182" t="s">
        <v>1016</v>
      </c>
      <c r="J641" s="178">
        <v>45734.0</v>
      </c>
      <c r="K641" s="175" t="s">
        <v>31</v>
      </c>
    </row>
    <row r="642">
      <c r="A642" s="168">
        <v>15037.0</v>
      </c>
      <c r="B642" s="169" t="s">
        <v>3793</v>
      </c>
      <c r="C642" s="168">
        <v>2019.0</v>
      </c>
      <c r="D642" s="142" t="s">
        <v>14</v>
      </c>
      <c r="E642" s="142" t="s">
        <v>855</v>
      </c>
      <c r="F642" s="170">
        <v>56.0</v>
      </c>
      <c r="G642" s="171">
        <v>45764.0</v>
      </c>
      <c r="H642" s="172">
        <f t="shared" si="1"/>
        <v>6</v>
      </c>
      <c r="I642" s="173" t="s">
        <v>133</v>
      </c>
      <c r="J642" s="171">
        <v>45770.0</v>
      </c>
      <c r="K642" s="169" t="s">
        <v>84</v>
      </c>
    </row>
    <row r="643">
      <c r="A643" s="181">
        <v>15039.0</v>
      </c>
      <c r="B643" s="175" t="s">
        <v>1322</v>
      </c>
      <c r="C643" s="174">
        <v>2021.0</v>
      </c>
      <c r="D643" s="176" t="s">
        <v>197</v>
      </c>
      <c r="E643" s="176" t="s">
        <v>855</v>
      </c>
      <c r="F643" s="177" t="s">
        <v>1323</v>
      </c>
      <c r="G643" s="178">
        <v>45705.0</v>
      </c>
      <c r="H643" s="179">
        <f t="shared" si="1"/>
        <v>1</v>
      </c>
      <c r="I643" s="180" t="s">
        <v>3794</v>
      </c>
      <c r="J643" s="178">
        <v>45706.0</v>
      </c>
      <c r="K643" s="175" t="s">
        <v>2758</v>
      </c>
      <c r="L643" s="242"/>
      <c r="M643" s="242"/>
      <c r="N643" s="242"/>
      <c r="O643" s="242"/>
      <c r="P643" s="242"/>
      <c r="Q643" s="242"/>
      <c r="R643" s="242"/>
      <c r="S643" s="242"/>
      <c r="T643" s="242"/>
      <c r="U643" s="242"/>
      <c r="V643" s="242"/>
      <c r="W643" s="242"/>
      <c r="X643" s="242"/>
      <c r="Y643" s="242"/>
      <c r="Z643" s="242"/>
      <c r="AA643" s="242"/>
      <c r="AB643" s="242"/>
      <c r="AC643" s="242"/>
    </row>
    <row r="644">
      <c r="A644" s="183">
        <v>15041.0</v>
      </c>
      <c r="B644" s="142" t="s">
        <v>3063</v>
      </c>
      <c r="C644" s="168">
        <v>2014.0</v>
      </c>
      <c r="D644" s="142" t="s">
        <v>197</v>
      </c>
      <c r="E644" s="142" t="s">
        <v>866</v>
      </c>
      <c r="F644" s="170" t="s">
        <v>3064</v>
      </c>
      <c r="G644" s="171">
        <v>45705.0</v>
      </c>
      <c r="H644" s="172">
        <f t="shared" si="1"/>
        <v>28</v>
      </c>
      <c r="I644" s="211" t="s">
        <v>3795</v>
      </c>
      <c r="J644" s="268">
        <v>45733.0</v>
      </c>
      <c r="K644" s="169" t="s">
        <v>2758</v>
      </c>
    </row>
    <row r="645">
      <c r="A645" s="181">
        <v>15043.0</v>
      </c>
      <c r="B645" s="176" t="s">
        <v>1858</v>
      </c>
      <c r="C645" s="174">
        <v>2020.0</v>
      </c>
      <c r="D645" s="176" t="s">
        <v>105</v>
      </c>
      <c r="E645" s="176" t="s">
        <v>459</v>
      </c>
      <c r="F645" s="234">
        <v>45792.0</v>
      </c>
      <c r="G645" s="178">
        <v>45705.0</v>
      </c>
      <c r="H645" s="179">
        <f t="shared" si="1"/>
        <v>3</v>
      </c>
      <c r="I645" s="182" t="s">
        <v>3796</v>
      </c>
      <c r="J645" s="269">
        <v>45708.0</v>
      </c>
      <c r="K645" s="175" t="s">
        <v>31</v>
      </c>
    </row>
    <row r="646">
      <c r="A646" s="183">
        <v>15043.0</v>
      </c>
      <c r="B646" s="142" t="s">
        <v>1858</v>
      </c>
      <c r="C646" s="168">
        <v>2020.0</v>
      </c>
      <c r="D646" s="142" t="s">
        <v>105</v>
      </c>
      <c r="E646" s="142" t="s">
        <v>459</v>
      </c>
      <c r="F646" s="241">
        <v>45792.0</v>
      </c>
      <c r="G646" s="171">
        <v>45827.0</v>
      </c>
      <c r="H646" s="172">
        <f t="shared" si="1"/>
        <v>0</v>
      </c>
      <c r="I646" s="211" t="s">
        <v>3797</v>
      </c>
      <c r="J646" s="268">
        <v>45827.0</v>
      </c>
      <c r="K646" s="169" t="s">
        <v>2758</v>
      </c>
      <c r="L646" s="242"/>
      <c r="M646" s="242"/>
      <c r="N646" s="242"/>
      <c r="O646" s="242"/>
      <c r="P646" s="242"/>
      <c r="Q646" s="242"/>
      <c r="R646" s="242"/>
      <c r="S646" s="242"/>
      <c r="T646" s="242"/>
      <c r="U646" s="242"/>
      <c r="V646" s="242"/>
      <c r="W646" s="242"/>
      <c r="X646" s="242"/>
      <c r="Y646" s="242"/>
      <c r="Z646" s="242"/>
      <c r="AA646" s="242"/>
      <c r="AB646" s="242"/>
      <c r="AC646" s="242"/>
    </row>
    <row r="647">
      <c r="A647" s="181">
        <v>15044.0</v>
      </c>
      <c r="B647" s="176" t="s">
        <v>3798</v>
      </c>
      <c r="C647" s="174">
        <v>2020.0</v>
      </c>
      <c r="D647" s="176" t="s">
        <v>105</v>
      </c>
      <c r="E647" s="176" t="s">
        <v>459</v>
      </c>
      <c r="F647" s="177" t="s">
        <v>1304</v>
      </c>
      <c r="G647" s="178">
        <v>45705.0</v>
      </c>
      <c r="H647" s="179">
        <f t="shared" si="1"/>
        <v>8</v>
      </c>
      <c r="I647" s="182" t="s">
        <v>3799</v>
      </c>
      <c r="J647" s="178">
        <v>45713.0</v>
      </c>
      <c r="K647" s="175" t="s">
        <v>31</v>
      </c>
    </row>
    <row r="648">
      <c r="A648" s="183">
        <v>15045.0</v>
      </c>
      <c r="B648" s="142" t="s">
        <v>3800</v>
      </c>
      <c r="C648" s="168">
        <v>2017.0</v>
      </c>
      <c r="D648" s="142" t="s">
        <v>14</v>
      </c>
      <c r="E648" s="263" t="s">
        <v>459</v>
      </c>
      <c r="F648" s="170" t="s">
        <v>3801</v>
      </c>
      <c r="G648" s="171">
        <v>45705.0</v>
      </c>
      <c r="H648" s="172">
        <f t="shared" si="1"/>
        <v>37</v>
      </c>
      <c r="I648" s="211" t="s">
        <v>3802</v>
      </c>
      <c r="J648" s="268">
        <v>45742.0</v>
      </c>
      <c r="K648" s="169" t="s">
        <v>31</v>
      </c>
    </row>
    <row r="649">
      <c r="A649" s="181">
        <v>15054.0</v>
      </c>
      <c r="B649" s="176" t="s">
        <v>2988</v>
      </c>
      <c r="C649" s="174">
        <v>2020.0</v>
      </c>
      <c r="D649" s="176" t="s">
        <v>14</v>
      </c>
      <c r="E649" s="176" t="s">
        <v>2788</v>
      </c>
      <c r="F649" s="177" t="s">
        <v>2989</v>
      </c>
      <c r="G649" s="178">
        <v>45706.0</v>
      </c>
      <c r="H649" s="179">
        <f t="shared" si="1"/>
        <v>28</v>
      </c>
      <c r="I649" s="290" t="s">
        <v>3803</v>
      </c>
      <c r="J649" s="178">
        <v>45734.0</v>
      </c>
      <c r="K649" s="175" t="s">
        <v>2758</v>
      </c>
    </row>
    <row r="650">
      <c r="A650" s="183">
        <v>15056.0</v>
      </c>
      <c r="B650" s="169" t="s">
        <v>1840</v>
      </c>
      <c r="C650" s="168">
        <v>2019.0</v>
      </c>
      <c r="D650" s="142" t="s">
        <v>14</v>
      </c>
      <c r="E650" s="142" t="s">
        <v>3804</v>
      </c>
      <c r="F650" s="170" t="s">
        <v>1841</v>
      </c>
      <c r="G650" s="171">
        <v>45707.0</v>
      </c>
      <c r="H650" s="172">
        <f t="shared" si="1"/>
        <v>0</v>
      </c>
      <c r="I650" s="173" t="s">
        <v>3805</v>
      </c>
      <c r="J650" s="171">
        <v>45707.0</v>
      </c>
      <c r="K650" s="169" t="s">
        <v>17</v>
      </c>
    </row>
    <row r="651">
      <c r="A651" s="181">
        <v>15058.0</v>
      </c>
      <c r="B651" s="175" t="s">
        <v>1922</v>
      </c>
      <c r="C651" s="174">
        <v>2022.0</v>
      </c>
      <c r="D651" s="176" t="s">
        <v>52</v>
      </c>
      <c r="E651" s="176" t="s">
        <v>418</v>
      </c>
      <c r="F651" s="177" t="s">
        <v>1923</v>
      </c>
      <c r="G651" s="178">
        <v>45707.0</v>
      </c>
      <c r="H651" s="179">
        <f t="shared" si="1"/>
        <v>0</v>
      </c>
      <c r="I651" s="180" t="s">
        <v>3806</v>
      </c>
      <c r="J651" s="178">
        <v>45707.0</v>
      </c>
      <c r="K651" s="175" t="s">
        <v>2758</v>
      </c>
    </row>
    <row r="652">
      <c r="A652" s="183">
        <v>15059.0</v>
      </c>
      <c r="B652" s="142" t="s">
        <v>3807</v>
      </c>
      <c r="C652" s="168">
        <v>2014.0</v>
      </c>
      <c r="D652" s="142" t="s">
        <v>2875</v>
      </c>
      <c r="E652" s="142" t="s">
        <v>3808</v>
      </c>
      <c r="F652" s="170" t="s">
        <v>3809</v>
      </c>
      <c r="G652" s="171">
        <v>45707.0</v>
      </c>
      <c r="H652" s="172">
        <f t="shared" si="1"/>
        <v>36</v>
      </c>
      <c r="I652" s="211" t="s">
        <v>3810</v>
      </c>
      <c r="J652" s="268">
        <v>45743.0</v>
      </c>
      <c r="K652" s="169" t="s">
        <v>31</v>
      </c>
    </row>
    <row r="653">
      <c r="A653" s="181">
        <v>15061.0</v>
      </c>
      <c r="B653" s="175" t="s">
        <v>422</v>
      </c>
      <c r="C653" s="174">
        <v>2013.0</v>
      </c>
      <c r="D653" s="176" t="s">
        <v>105</v>
      </c>
      <c r="E653" s="176" t="s">
        <v>1123</v>
      </c>
      <c r="F653" s="177" t="s">
        <v>423</v>
      </c>
      <c r="G653" s="178">
        <v>45707.0</v>
      </c>
      <c r="H653" s="179">
        <f t="shared" si="1"/>
        <v>0</v>
      </c>
      <c r="I653" s="180" t="s">
        <v>3811</v>
      </c>
      <c r="J653" s="178">
        <v>45707.0</v>
      </c>
      <c r="K653" s="175" t="s">
        <v>2758</v>
      </c>
    </row>
    <row r="654">
      <c r="A654" s="183">
        <v>15064.0</v>
      </c>
      <c r="B654" s="169" t="s">
        <v>3052</v>
      </c>
      <c r="C654" s="168">
        <v>2022.0</v>
      </c>
      <c r="D654" s="142" t="s">
        <v>52</v>
      </c>
      <c r="E654" s="142" t="s">
        <v>3535</v>
      </c>
      <c r="F654" s="170" t="s">
        <v>2154</v>
      </c>
      <c r="G654" s="171">
        <v>45707.0</v>
      </c>
      <c r="H654" s="172">
        <f t="shared" si="1"/>
        <v>0</v>
      </c>
      <c r="I654" s="173" t="s">
        <v>3812</v>
      </c>
      <c r="J654" s="171">
        <v>45707.0</v>
      </c>
      <c r="K654" s="169" t="s">
        <v>37</v>
      </c>
    </row>
    <row r="655">
      <c r="A655" s="181">
        <v>15067.0</v>
      </c>
      <c r="B655" s="176" t="s">
        <v>3044</v>
      </c>
      <c r="C655" s="174">
        <v>2022.0</v>
      </c>
      <c r="D655" s="291" t="s">
        <v>14</v>
      </c>
      <c r="E655" s="176" t="s">
        <v>855</v>
      </c>
      <c r="F655" s="177" t="s">
        <v>3045</v>
      </c>
      <c r="G655" s="178">
        <v>45707.0</v>
      </c>
      <c r="H655" s="179">
        <f t="shared" si="1"/>
        <v>27</v>
      </c>
      <c r="I655" s="182" t="s">
        <v>3813</v>
      </c>
      <c r="J655" s="269">
        <v>45734.0</v>
      </c>
      <c r="K655" s="175" t="s">
        <v>2758</v>
      </c>
    </row>
    <row r="656">
      <c r="A656" s="183">
        <v>15073.0</v>
      </c>
      <c r="B656" s="169" t="s">
        <v>39</v>
      </c>
      <c r="C656" s="168">
        <v>2022.0</v>
      </c>
      <c r="D656" s="142" t="s">
        <v>52</v>
      </c>
      <c r="E656" s="142" t="s">
        <v>41</v>
      </c>
      <c r="F656" s="170" t="s">
        <v>42</v>
      </c>
      <c r="G656" s="171">
        <v>45708.0</v>
      </c>
      <c r="H656" s="172">
        <f t="shared" si="1"/>
        <v>0</v>
      </c>
      <c r="I656" s="173" t="s">
        <v>3814</v>
      </c>
      <c r="J656" s="171">
        <v>45708.0</v>
      </c>
      <c r="K656" s="169" t="s">
        <v>2758</v>
      </c>
    </row>
    <row r="657">
      <c r="A657" s="181">
        <v>15076.0</v>
      </c>
      <c r="B657" s="175" t="s">
        <v>1622</v>
      </c>
      <c r="C657" s="174">
        <v>2022.0</v>
      </c>
      <c r="D657" s="176" t="s">
        <v>52</v>
      </c>
      <c r="E657" s="176" t="s">
        <v>866</v>
      </c>
      <c r="F657" s="177" t="s">
        <v>1623</v>
      </c>
      <c r="G657" s="178">
        <v>45708.0</v>
      </c>
      <c r="H657" s="179">
        <f t="shared" si="1"/>
        <v>0</v>
      </c>
      <c r="I657" s="180" t="s">
        <v>133</v>
      </c>
      <c r="J657" s="178">
        <v>45708.0</v>
      </c>
      <c r="K657" s="175" t="s">
        <v>2758</v>
      </c>
    </row>
    <row r="658">
      <c r="A658" s="183">
        <v>15082.0</v>
      </c>
      <c r="B658" s="142" t="s">
        <v>159</v>
      </c>
      <c r="C658" s="168">
        <v>2015.0</v>
      </c>
      <c r="D658" s="142" t="s">
        <v>14</v>
      </c>
      <c r="E658" s="142" t="s">
        <v>160</v>
      </c>
      <c r="F658" s="170" t="s">
        <v>161</v>
      </c>
      <c r="G658" s="171">
        <v>45708.0</v>
      </c>
      <c r="H658" s="172">
        <f t="shared" si="1"/>
        <v>29</v>
      </c>
      <c r="I658" s="211" t="s">
        <v>3252</v>
      </c>
      <c r="J658" s="268">
        <v>45737.0</v>
      </c>
      <c r="K658" s="169" t="s">
        <v>31</v>
      </c>
      <c r="L658" s="242"/>
      <c r="M658" s="242"/>
      <c r="N658" s="242"/>
      <c r="O658" s="242"/>
      <c r="P658" s="242"/>
      <c r="Q658" s="242"/>
      <c r="R658" s="242"/>
      <c r="S658" s="242"/>
      <c r="T658" s="242"/>
      <c r="U658" s="242"/>
      <c r="V658" s="242"/>
      <c r="W658" s="242"/>
      <c r="X658" s="242"/>
      <c r="Y658" s="242"/>
      <c r="Z658" s="242"/>
      <c r="AA658" s="242"/>
      <c r="AB658" s="242"/>
      <c r="AC658" s="242"/>
    </row>
    <row r="659">
      <c r="A659" s="181">
        <v>15092.0</v>
      </c>
      <c r="B659" s="175" t="s">
        <v>1922</v>
      </c>
      <c r="C659" s="174">
        <v>2021.0</v>
      </c>
      <c r="D659" s="176" t="s">
        <v>52</v>
      </c>
      <c r="E659" s="176" t="s">
        <v>418</v>
      </c>
      <c r="F659" s="177" t="s">
        <v>1923</v>
      </c>
      <c r="G659" s="178">
        <v>45709.0</v>
      </c>
      <c r="H659" s="179">
        <f t="shared" si="1"/>
        <v>0</v>
      </c>
      <c r="I659" s="180" t="s">
        <v>3815</v>
      </c>
      <c r="J659" s="178">
        <v>45709.0</v>
      </c>
      <c r="K659" s="175" t="s">
        <v>2758</v>
      </c>
    </row>
    <row r="660">
      <c r="A660" s="183">
        <v>15094.0</v>
      </c>
      <c r="B660" s="169" t="s">
        <v>2048</v>
      </c>
      <c r="C660" s="168">
        <v>2022.0</v>
      </c>
      <c r="D660" s="142" t="s">
        <v>52</v>
      </c>
      <c r="E660" s="142" t="s">
        <v>125</v>
      </c>
      <c r="F660" s="170" t="s">
        <v>2049</v>
      </c>
      <c r="G660" s="171">
        <v>45709.0</v>
      </c>
      <c r="H660" s="172">
        <f t="shared" si="1"/>
        <v>3</v>
      </c>
      <c r="I660" s="173" t="s">
        <v>3816</v>
      </c>
      <c r="J660" s="171">
        <v>45712.0</v>
      </c>
      <c r="K660" s="169" t="s">
        <v>37</v>
      </c>
      <c r="L660" s="242"/>
      <c r="M660" s="242"/>
      <c r="N660" s="242"/>
      <c r="O660" s="242"/>
      <c r="P660" s="242"/>
      <c r="Q660" s="242"/>
      <c r="R660" s="242"/>
      <c r="S660" s="242"/>
      <c r="T660" s="242"/>
      <c r="U660" s="242"/>
      <c r="V660" s="242"/>
      <c r="W660" s="242"/>
      <c r="X660" s="242"/>
      <c r="Y660" s="242"/>
      <c r="Z660" s="242"/>
      <c r="AA660" s="242"/>
      <c r="AB660" s="242"/>
      <c r="AC660" s="242"/>
    </row>
    <row r="661">
      <c r="A661" s="181">
        <v>15095.0</v>
      </c>
      <c r="B661" s="175" t="s">
        <v>474</v>
      </c>
      <c r="C661" s="174">
        <v>2010.0</v>
      </c>
      <c r="D661" s="176" t="s">
        <v>367</v>
      </c>
      <c r="E661" s="176" t="s">
        <v>47</v>
      </c>
      <c r="F661" s="177" t="s">
        <v>476</v>
      </c>
      <c r="G661" s="178">
        <v>45709.0</v>
      </c>
      <c r="H661" s="179">
        <f t="shared" si="1"/>
        <v>0</v>
      </c>
      <c r="I661" s="180" t="s">
        <v>2265</v>
      </c>
      <c r="J661" s="178">
        <v>45709.0</v>
      </c>
      <c r="K661" s="175" t="s">
        <v>2758</v>
      </c>
      <c r="L661" s="242"/>
      <c r="M661" s="242"/>
      <c r="N661" s="242"/>
      <c r="O661" s="242"/>
      <c r="P661" s="242"/>
      <c r="Q661" s="242"/>
      <c r="R661" s="242"/>
      <c r="S661" s="242"/>
      <c r="T661" s="242"/>
      <c r="U661" s="242"/>
      <c r="V661" s="242"/>
      <c r="W661" s="242"/>
      <c r="X661" s="242"/>
      <c r="Y661" s="242"/>
      <c r="Z661" s="242"/>
      <c r="AA661" s="242"/>
      <c r="AB661" s="242"/>
      <c r="AC661" s="242"/>
    </row>
    <row r="662">
      <c r="A662" s="183">
        <v>15099.0</v>
      </c>
      <c r="B662" s="169" t="s">
        <v>3574</v>
      </c>
      <c r="C662" s="168">
        <v>2009.0</v>
      </c>
      <c r="D662" s="142" t="s">
        <v>2629</v>
      </c>
      <c r="E662" s="142" t="s">
        <v>47</v>
      </c>
      <c r="F662" s="170" t="s">
        <v>3575</v>
      </c>
      <c r="G662" s="171">
        <v>45709.0</v>
      </c>
      <c r="H662" s="172">
        <f t="shared" si="1"/>
        <v>0</v>
      </c>
      <c r="I662" s="173" t="s">
        <v>133</v>
      </c>
      <c r="J662" s="171">
        <v>45709.0</v>
      </c>
      <c r="K662" s="169" t="s">
        <v>2758</v>
      </c>
    </row>
    <row r="663">
      <c r="A663" s="181">
        <v>15102.0</v>
      </c>
      <c r="B663" s="175" t="s">
        <v>192</v>
      </c>
      <c r="C663" s="174">
        <v>2014.0</v>
      </c>
      <c r="D663" s="176" t="s">
        <v>3130</v>
      </c>
      <c r="E663" s="176" t="s">
        <v>240</v>
      </c>
      <c r="F663" s="177" t="s">
        <v>193</v>
      </c>
      <c r="G663" s="178">
        <v>45712.0</v>
      </c>
      <c r="H663" s="179">
        <f t="shared" si="1"/>
        <v>0</v>
      </c>
      <c r="I663" s="180" t="s">
        <v>3817</v>
      </c>
      <c r="J663" s="178">
        <v>45712.0</v>
      </c>
      <c r="K663" s="175" t="s">
        <v>2758</v>
      </c>
      <c r="L663" s="242"/>
      <c r="M663" s="242"/>
      <c r="N663" s="242"/>
      <c r="O663" s="242"/>
      <c r="P663" s="242"/>
      <c r="Q663" s="242"/>
      <c r="R663" s="242"/>
      <c r="S663" s="242"/>
      <c r="T663" s="242"/>
      <c r="U663" s="242"/>
      <c r="V663" s="242"/>
      <c r="W663" s="242"/>
      <c r="X663" s="242"/>
      <c r="Y663" s="242"/>
      <c r="Z663" s="242"/>
      <c r="AA663" s="242"/>
      <c r="AB663" s="242"/>
      <c r="AC663" s="242"/>
    </row>
    <row r="664">
      <c r="A664" s="183">
        <v>15104.0</v>
      </c>
      <c r="B664" s="169" t="s">
        <v>1046</v>
      </c>
      <c r="C664" s="168">
        <v>2022.0</v>
      </c>
      <c r="D664" s="142" t="s">
        <v>52</v>
      </c>
      <c r="E664" s="142" t="s">
        <v>912</v>
      </c>
      <c r="F664" s="170" t="s">
        <v>1047</v>
      </c>
      <c r="G664" s="171">
        <v>45712.0</v>
      </c>
      <c r="H664" s="172">
        <f t="shared" si="1"/>
        <v>0</v>
      </c>
      <c r="I664" s="173" t="s">
        <v>3818</v>
      </c>
      <c r="J664" s="171">
        <v>45712.0</v>
      </c>
      <c r="K664" s="169" t="s">
        <v>2758</v>
      </c>
    </row>
    <row r="665">
      <c r="A665" s="181">
        <v>15111.0</v>
      </c>
      <c r="B665" s="175" t="s">
        <v>2727</v>
      </c>
      <c r="C665" s="174">
        <v>2011.0</v>
      </c>
      <c r="D665" s="176" t="s">
        <v>2647</v>
      </c>
      <c r="E665" s="176" t="s">
        <v>277</v>
      </c>
      <c r="F665" s="177" t="s">
        <v>2728</v>
      </c>
      <c r="G665" s="178">
        <v>45713.0</v>
      </c>
      <c r="H665" s="179">
        <f t="shared" si="1"/>
        <v>0</v>
      </c>
      <c r="I665" s="180" t="s">
        <v>2163</v>
      </c>
      <c r="J665" s="178">
        <v>45713.0</v>
      </c>
      <c r="K665" s="175" t="s">
        <v>2758</v>
      </c>
    </row>
    <row r="666">
      <c r="A666" s="183">
        <v>15112.0</v>
      </c>
      <c r="B666" s="169" t="s">
        <v>3819</v>
      </c>
      <c r="C666" s="168">
        <v>2022.0</v>
      </c>
      <c r="D666" s="142" t="s">
        <v>52</v>
      </c>
      <c r="E666" s="142" t="s">
        <v>82</v>
      </c>
      <c r="F666" s="235" t="s">
        <v>3820</v>
      </c>
      <c r="G666" s="171">
        <v>45713.0</v>
      </c>
      <c r="H666" s="172">
        <f t="shared" si="1"/>
        <v>0</v>
      </c>
      <c r="I666" s="173" t="s">
        <v>3821</v>
      </c>
      <c r="J666" s="171">
        <v>45713.0</v>
      </c>
      <c r="K666" s="169" t="s">
        <v>2758</v>
      </c>
    </row>
    <row r="667">
      <c r="A667" s="181">
        <v>15117.0</v>
      </c>
      <c r="B667" s="175" t="s">
        <v>2217</v>
      </c>
      <c r="C667" s="174">
        <v>2020.0</v>
      </c>
      <c r="D667" s="176" t="s">
        <v>75</v>
      </c>
      <c r="E667" s="176" t="s">
        <v>405</v>
      </c>
      <c r="F667" s="177" t="s">
        <v>2218</v>
      </c>
      <c r="G667" s="178">
        <v>45713.0</v>
      </c>
      <c r="H667" s="179">
        <f t="shared" si="1"/>
        <v>0</v>
      </c>
      <c r="I667" s="180" t="s">
        <v>3822</v>
      </c>
      <c r="J667" s="178">
        <v>45713.0</v>
      </c>
      <c r="K667" s="175" t="s">
        <v>2758</v>
      </c>
    </row>
    <row r="668">
      <c r="A668" s="183">
        <v>15119.0</v>
      </c>
      <c r="B668" s="142" t="s">
        <v>3577</v>
      </c>
      <c r="C668" s="168">
        <v>2013.0</v>
      </c>
      <c r="D668" s="142" t="s">
        <v>105</v>
      </c>
      <c r="E668" s="142" t="s">
        <v>855</v>
      </c>
      <c r="F668" s="170" t="s">
        <v>3578</v>
      </c>
      <c r="G668" s="171">
        <v>45714.0</v>
      </c>
      <c r="H668" s="172">
        <f t="shared" si="1"/>
        <v>23</v>
      </c>
      <c r="I668" s="211" t="s">
        <v>3823</v>
      </c>
      <c r="J668" s="268">
        <v>45737.0</v>
      </c>
      <c r="K668" s="169" t="s">
        <v>31</v>
      </c>
    </row>
    <row r="669">
      <c r="A669" s="181">
        <v>15120.0</v>
      </c>
      <c r="B669" s="176" t="s">
        <v>3076</v>
      </c>
      <c r="C669" s="174">
        <v>2018.0</v>
      </c>
      <c r="D669" s="176" t="s">
        <v>14</v>
      </c>
      <c r="E669" s="176" t="s">
        <v>855</v>
      </c>
      <c r="F669" s="177" t="s">
        <v>3077</v>
      </c>
      <c r="G669" s="178">
        <v>45714.0</v>
      </c>
      <c r="H669" s="179">
        <f t="shared" si="1"/>
        <v>28</v>
      </c>
      <c r="I669" s="182" t="s">
        <v>3252</v>
      </c>
      <c r="J669" s="269">
        <v>45742.0</v>
      </c>
      <c r="K669" s="175" t="s">
        <v>31</v>
      </c>
    </row>
    <row r="670">
      <c r="A670" s="183">
        <v>15124.0</v>
      </c>
      <c r="B670" s="142" t="s">
        <v>2980</v>
      </c>
      <c r="C670" s="168">
        <v>2018.0</v>
      </c>
      <c r="D670" s="142" t="s">
        <v>14</v>
      </c>
      <c r="E670" s="142" t="s">
        <v>855</v>
      </c>
      <c r="F670" s="170" t="s">
        <v>2981</v>
      </c>
      <c r="G670" s="171">
        <v>45714.0</v>
      </c>
      <c r="H670" s="172">
        <f t="shared" si="1"/>
        <v>8</v>
      </c>
      <c r="I670" s="211" t="s">
        <v>3824</v>
      </c>
      <c r="J670" s="171">
        <v>45722.0</v>
      </c>
      <c r="K670" s="169" t="s">
        <v>2758</v>
      </c>
      <c r="L670" s="242"/>
      <c r="M670" s="242"/>
      <c r="N670" s="242"/>
      <c r="O670" s="242"/>
      <c r="P670" s="242"/>
      <c r="Q670" s="242"/>
      <c r="R670" s="242"/>
      <c r="S670" s="242"/>
      <c r="T670" s="242"/>
      <c r="U670" s="242"/>
      <c r="V670" s="242"/>
      <c r="W670" s="242"/>
      <c r="X670" s="242"/>
      <c r="Y670" s="242"/>
      <c r="Z670" s="242"/>
      <c r="AA670" s="242"/>
      <c r="AB670" s="242"/>
      <c r="AC670" s="242"/>
    </row>
    <row r="671">
      <c r="A671" s="181">
        <v>15125.0</v>
      </c>
      <c r="B671" s="175" t="s">
        <v>2002</v>
      </c>
      <c r="C671" s="174">
        <v>2022.0</v>
      </c>
      <c r="D671" s="176" t="s">
        <v>52</v>
      </c>
      <c r="E671" s="176" t="s">
        <v>3825</v>
      </c>
      <c r="F671" s="177" t="s">
        <v>2003</v>
      </c>
      <c r="G671" s="178">
        <v>45713.0</v>
      </c>
      <c r="H671" s="179">
        <f t="shared" si="1"/>
        <v>0</v>
      </c>
      <c r="I671" s="180" t="s">
        <v>3826</v>
      </c>
      <c r="J671" s="178">
        <v>45713.0</v>
      </c>
      <c r="K671" s="175" t="s">
        <v>2758</v>
      </c>
      <c r="L671" s="242"/>
      <c r="M671" s="242"/>
      <c r="N671" s="242"/>
      <c r="O671" s="242"/>
      <c r="P671" s="242"/>
      <c r="Q671" s="242"/>
      <c r="R671" s="242"/>
      <c r="S671" s="242"/>
      <c r="T671" s="242"/>
      <c r="U671" s="242"/>
      <c r="V671" s="242"/>
      <c r="W671" s="242"/>
      <c r="X671" s="242"/>
      <c r="Y671" s="242"/>
      <c r="Z671" s="242"/>
      <c r="AA671" s="242"/>
      <c r="AB671" s="242"/>
      <c r="AC671" s="242"/>
      <c r="AD671" s="242"/>
      <c r="AE671" s="242"/>
      <c r="AF671" s="242"/>
      <c r="AG671" s="242"/>
      <c r="AH671" s="242"/>
      <c r="AI671" s="242"/>
      <c r="AJ671" s="242"/>
      <c r="AK671" s="242"/>
      <c r="AL671" s="242"/>
      <c r="AM671" s="242"/>
      <c r="AN671" s="242"/>
      <c r="AO671" s="242"/>
    </row>
    <row r="672">
      <c r="A672" s="183">
        <v>15135.0</v>
      </c>
      <c r="B672" s="142" t="s">
        <v>605</v>
      </c>
      <c r="C672" s="168">
        <v>2020.0</v>
      </c>
      <c r="D672" s="142" t="s">
        <v>14</v>
      </c>
      <c r="E672" s="142" t="s">
        <v>805</v>
      </c>
      <c r="F672" s="170" t="s">
        <v>3475</v>
      </c>
      <c r="G672" s="171">
        <v>45714.0</v>
      </c>
      <c r="H672" s="172">
        <f t="shared" si="1"/>
        <v>33</v>
      </c>
      <c r="I672" s="211" t="s">
        <v>668</v>
      </c>
      <c r="J672" s="228">
        <v>45747.0</v>
      </c>
      <c r="K672" s="169" t="s">
        <v>31</v>
      </c>
    </row>
    <row r="673">
      <c r="A673" s="174">
        <v>15136.0</v>
      </c>
      <c r="B673" s="175" t="s">
        <v>3827</v>
      </c>
      <c r="C673" s="174">
        <v>2018.0</v>
      </c>
      <c r="D673" s="176" t="s">
        <v>14</v>
      </c>
      <c r="E673" s="176" t="s">
        <v>912</v>
      </c>
      <c r="F673" s="177" t="s">
        <v>2506</v>
      </c>
      <c r="G673" s="178">
        <v>45722.0</v>
      </c>
      <c r="H673" s="179">
        <f t="shared" si="1"/>
        <v>0</v>
      </c>
      <c r="I673" s="180" t="s">
        <v>3828</v>
      </c>
      <c r="J673" s="178">
        <v>45722.0</v>
      </c>
      <c r="K673" s="175" t="s">
        <v>2758</v>
      </c>
    </row>
    <row r="674">
      <c r="A674" s="168">
        <v>15139.0</v>
      </c>
      <c r="B674" s="169" t="s">
        <v>1518</v>
      </c>
      <c r="C674" s="168">
        <v>2018.0</v>
      </c>
      <c r="D674" s="142" t="s">
        <v>14</v>
      </c>
      <c r="E674" s="142" t="s">
        <v>912</v>
      </c>
      <c r="F674" s="170" t="s">
        <v>1519</v>
      </c>
      <c r="G674" s="171">
        <v>45722.0</v>
      </c>
      <c r="H674" s="172">
        <f t="shared" si="1"/>
        <v>0</v>
      </c>
      <c r="I674" s="173" t="s">
        <v>3828</v>
      </c>
      <c r="J674" s="171">
        <v>45722.0</v>
      </c>
      <c r="K674" s="169" t="s">
        <v>2758</v>
      </c>
      <c r="L674" s="242"/>
      <c r="M674" s="242"/>
      <c r="N674" s="242"/>
      <c r="O674" s="242"/>
      <c r="P674" s="242"/>
      <c r="Q674" s="242"/>
      <c r="R674" s="242"/>
      <c r="S674" s="242"/>
      <c r="T674" s="242"/>
      <c r="U674" s="242"/>
      <c r="V674" s="242"/>
      <c r="W674" s="242"/>
      <c r="X674" s="242"/>
      <c r="Y674" s="242"/>
      <c r="Z674" s="242"/>
      <c r="AA674" s="242"/>
      <c r="AB674" s="242"/>
      <c r="AC674" s="242"/>
    </row>
    <row r="675">
      <c r="A675" s="249">
        <v>15140.0</v>
      </c>
      <c r="B675" s="250" t="s">
        <v>2066</v>
      </c>
      <c r="C675" s="251">
        <v>2017.0</v>
      </c>
      <c r="D675" s="250" t="s">
        <v>2793</v>
      </c>
      <c r="E675" s="250" t="s">
        <v>912</v>
      </c>
      <c r="F675" s="264" t="s">
        <v>2068</v>
      </c>
      <c r="G675" s="252">
        <v>45714.0</v>
      </c>
      <c r="H675" s="179">
        <f t="shared" si="1"/>
        <v>29</v>
      </c>
      <c r="I675" s="253" t="s">
        <v>3829</v>
      </c>
      <c r="J675" s="285">
        <v>45743.0</v>
      </c>
      <c r="K675" s="266" t="s">
        <v>31</v>
      </c>
    </row>
    <row r="676">
      <c r="A676" s="183">
        <v>15140.0</v>
      </c>
      <c r="B676" s="169" t="s">
        <v>2066</v>
      </c>
      <c r="C676" s="168">
        <v>2018.0</v>
      </c>
      <c r="D676" s="142" t="s">
        <v>2624</v>
      </c>
      <c r="E676" s="142" t="s">
        <v>912</v>
      </c>
      <c r="F676" s="170" t="s">
        <v>2068</v>
      </c>
      <c r="G676" s="171">
        <v>45870.0</v>
      </c>
      <c r="H676" s="172">
        <f t="shared" si="1"/>
        <v>17</v>
      </c>
      <c r="I676" s="173" t="s">
        <v>3830</v>
      </c>
      <c r="J676" s="171">
        <v>45887.0</v>
      </c>
      <c r="K676" s="169" t="s">
        <v>31</v>
      </c>
    </row>
    <row r="677">
      <c r="A677" s="181">
        <v>15143.0</v>
      </c>
      <c r="B677" s="175" t="s">
        <v>2071</v>
      </c>
      <c r="C677" s="174">
        <v>2022.0</v>
      </c>
      <c r="D677" s="176" t="s">
        <v>256</v>
      </c>
      <c r="E677" s="176" t="s">
        <v>47</v>
      </c>
      <c r="F677" s="177" t="s">
        <v>3831</v>
      </c>
      <c r="G677" s="178">
        <v>45714.0</v>
      </c>
      <c r="H677" s="179">
        <f t="shared" si="1"/>
        <v>16</v>
      </c>
      <c r="I677" s="180" t="s">
        <v>3832</v>
      </c>
      <c r="J677" s="178">
        <v>45730.0</v>
      </c>
      <c r="K677" s="175" t="s">
        <v>2758</v>
      </c>
    </row>
    <row r="678">
      <c r="A678" s="183">
        <v>15144.0</v>
      </c>
      <c r="B678" s="169" t="s">
        <v>441</v>
      </c>
      <c r="C678" s="168">
        <v>2022.0</v>
      </c>
      <c r="D678" s="142" t="s">
        <v>3146</v>
      </c>
      <c r="E678" s="142" t="s">
        <v>442</v>
      </c>
      <c r="F678" s="170" t="s">
        <v>3833</v>
      </c>
      <c r="G678" s="171">
        <v>45715.0</v>
      </c>
      <c r="H678" s="172">
        <f t="shared" si="1"/>
        <v>0</v>
      </c>
      <c r="I678" s="173" t="s">
        <v>3834</v>
      </c>
      <c r="J678" s="171">
        <v>45715.0</v>
      </c>
      <c r="K678" s="169" t="s">
        <v>2758</v>
      </c>
    </row>
    <row r="679">
      <c r="A679" s="174">
        <v>15148.0</v>
      </c>
      <c r="B679" s="175" t="s">
        <v>1800</v>
      </c>
      <c r="C679" s="174">
        <v>2022.0</v>
      </c>
      <c r="D679" s="176" t="s">
        <v>52</v>
      </c>
      <c r="E679" s="176" t="s">
        <v>173</v>
      </c>
      <c r="F679" s="177" t="s">
        <v>1801</v>
      </c>
      <c r="G679" s="178">
        <v>45715.0</v>
      </c>
      <c r="H679" s="179">
        <f t="shared" si="1"/>
        <v>0</v>
      </c>
      <c r="I679" s="180" t="s">
        <v>3835</v>
      </c>
      <c r="J679" s="178">
        <v>45715.0</v>
      </c>
      <c r="K679" s="175" t="s">
        <v>2758</v>
      </c>
    </row>
    <row r="680">
      <c r="A680" s="183">
        <v>15151.0</v>
      </c>
      <c r="B680" s="169" t="s">
        <v>39</v>
      </c>
      <c r="C680" s="168">
        <v>2022.0</v>
      </c>
      <c r="D680" s="142" t="s">
        <v>52</v>
      </c>
      <c r="E680" s="142" t="s">
        <v>41</v>
      </c>
      <c r="F680" s="170" t="s">
        <v>42</v>
      </c>
      <c r="G680" s="171">
        <v>45715.0</v>
      </c>
      <c r="H680" s="172">
        <f t="shared" si="1"/>
        <v>12</v>
      </c>
      <c r="I680" s="173" t="s">
        <v>3836</v>
      </c>
      <c r="J680" s="171">
        <v>45727.0</v>
      </c>
      <c r="K680" s="169" t="s">
        <v>2758</v>
      </c>
    </row>
    <row r="681">
      <c r="A681" s="181">
        <v>15154.0</v>
      </c>
      <c r="B681" s="175" t="s">
        <v>3837</v>
      </c>
      <c r="C681" s="174">
        <v>2018.0</v>
      </c>
      <c r="D681" s="176" t="s">
        <v>14</v>
      </c>
      <c r="E681" s="176" t="s">
        <v>1194</v>
      </c>
      <c r="F681" s="177" t="s">
        <v>3838</v>
      </c>
      <c r="G681" s="178">
        <v>45715.0</v>
      </c>
      <c r="H681" s="179">
        <f t="shared" si="1"/>
        <v>0</v>
      </c>
      <c r="I681" s="180" t="s">
        <v>3839</v>
      </c>
      <c r="J681" s="178">
        <v>45715.0</v>
      </c>
      <c r="K681" s="175" t="s">
        <v>2758</v>
      </c>
    </row>
    <row r="682">
      <c r="A682" s="183">
        <v>15155.0</v>
      </c>
      <c r="B682" s="169" t="s">
        <v>2890</v>
      </c>
      <c r="C682" s="168">
        <v>2014.0</v>
      </c>
      <c r="D682" s="142" t="s">
        <v>188</v>
      </c>
      <c r="E682" s="142" t="s">
        <v>405</v>
      </c>
      <c r="F682" s="170" t="s">
        <v>2891</v>
      </c>
      <c r="G682" s="171">
        <v>45716.0</v>
      </c>
      <c r="H682" s="172">
        <f t="shared" si="1"/>
        <v>0</v>
      </c>
      <c r="I682" s="173" t="s">
        <v>3840</v>
      </c>
      <c r="J682" s="228">
        <v>45716.0</v>
      </c>
      <c r="K682" s="169" t="s">
        <v>2758</v>
      </c>
    </row>
    <row r="683">
      <c r="A683" s="181">
        <v>15156.0</v>
      </c>
      <c r="B683" s="175" t="s">
        <v>2890</v>
      </c>
      <c r="C683" s="174">
        <v>2014.0</v>
      </c>
      <c r="D683" s="176" t="s">
        <v>105</v>
      </c>
      <c r="E683" s="176" t="s">
        <v>2746</v>
      </c>
      <c r="F683" s="177" t="s">
        <v>3841</v>
      </c>
      <c r="G683" s="178">
        <v>45715.0</v>
      </c>
      <c r="H683" s="179">
        <f t="shared" si="1"/>
        <v>0</v>
      </c>
      <c r="I683" s="180" t="s">
        <v>3842</v>
      </c>
      <c r="J683" s="178">
        <v>45715.0</v>
      </c>
      <c r="K683" s="175" t="s">
        <v>2758</v>
      </c>
    </row>
    <row r="684">
      <c r="A684" s="183">
        <v>15160.0</v>
      </c>
      <c r="B684" s="169" t="s">
        <v>705</v>
      </c>
      <c r="C684" s="168">
        <v>2022.0</v>
      </c>
      <c r="D684" s="142" t="s">
        <v>52</v>
      </c>
      <c r="E684" s="142" t="s">
        <v>169</v>
      </c>
      <c r="F684" s="170" t="s">
        <v>706</v>
      </c>
      <c r="G684" s="171">
        <v>45715.0</v>
      </c>
      <c r="H684" s="172">
        <f t="shared" si="1"/>
        <v>0</v>
      </c>
      <c r="I684" s="173" t="s">
        <v>3843</v>
      </c>
      <c r="J684" s="171">
        <v>45715.0</v>
      </c>
      <c r="K684" s="169" t="s">
        <v>2758</v>
      </c>
    </row>
    <row r="685">
      <c r="A685" s="174">
        <v>15165.0</v>
      </c>
      <c r="B685" s="175" t="s">
        <v>3844</v>
      </c>
      <c r="C685" s="174">
        <v>2022.0</v>
      </c>
      <c r="D685" s="176" t="s">
        <v>14</v>
      </c>
      <c r="E685" s="176" t="s">
        <v>610</v>
      </c>
      <c r="F685" s="177" t="s">
        <v>3845</v>
      </c>
      <c r="G685" s="178">
        <v>45716.0</v>
      </c>
      <c r="H685" s="179">
        <f t="shared" si="1"/>
        <v>0</v>
      </c>
      <c r="I685" s="180" t="s">
        <v>3846</v>
      </c>
      <c r="J685" s="178">
        <v>45716.0</v>
      </c>
      <c r="K685" s="175" t="s">
        <v>2758</v>
      </c>
    </row>
    <row r="686">
      <c r="A686" s="168">
        <v>15166.0</v>
      </c>
      <c r="B686" s="169" t="s">
        <v>1622</v>
      </c>
      <c r="C686" s="168">
        <v>2022.0</v>
      </c>
      <c r="D686" s="142" t="s">
        <v>52</v>
      </c>
      <c r="E686" s="142" t="s">
        <v>866</v>
      </c>
      <c r="F686" s="170" t="s">
        <v>1623</v>
      </c>
      <c r="G686" s="171">
        <v>45716.0</v>
      </c>
      <c r="H686" s="172">
        <f t="shared" si="1"/>
        <v>0</v>
      </c>
      <c r="I686" s="173" t="s">
        <v>3847</v>
      </c>
      <c r="J686" s="171">
        <v>45716.0</v>
      </c>
      <c r="K686" s="169" t="s">
        <v>2758</v>
      </c>
    </row>
    <row r="687">
      <c r="A687" s="174">
        <v>15168.0</v>
      </c>
      <c r="B687" s="175" t="s">
        <v>2974</v>
      </c>
      <c r="C687" s="174">
        <v>2017.0</v>
      </c>
      <c r="D687" s="176" t="s">
        <v>105</v>
      </c>
      <c r="E687" s="176" t="s">
        <v>160</v>
      </c>
      <c r="F687" s="177" t="s">
        <v>2975</v>
      </c>
      <c r="G687" s="178">
        <v>45716.0</v>
      </c>
      <c r="H687" s="179">
        <f t="shared" si="1"/>
        <v>0</v>
      </c>
      <c r="I687" s="180" t="s">
        <v>2963</v>
      </c>
      <c r="J687" s="178">
        <v>45716.0</v>
      </c>
      <c r="K687" s="175" t="s">
        <v>2758</v>
      </c>
      <c r="L687" s="242"/>
      <c r="M687" s="242"/>
      <c r="N687" s="242"/>
      <c r="O687" s="242"/>
      <c r="P687" s="242"/>
      <c r="Q687" s="242"/>
      <c r="R687" s="242"/>
      <c r="S687" s="242"/>
      <c r="T687" s="242"/>
      <c r="U687" s="242"/>
      <c r="V687" s="242"/>
      <c r="W687" s="242"/>
      <c r="X687" s="242"/>
      <c r="Y687" s="242"/>
      <c r="Z687" s="242"/>
      <c r="AA687" s="242"/>
      <c r="AB687" s="242"/>
      <c r="AC687" s="242"/>
    </row>
    <row r="688">
      <c r="A688" s="183">
        <v>15169.0</v>
      </c>
      <c r="B688" s="142" t="s">
        <v>2711</v>
      </c>
      <c r="C688" s="168">
        <v>2009.0</v>
      </c>
      <c r="D688" s="142" t="s">
        <v>2629</v>
      </c>
      <c r="E688" s="142" t="s">
        <v>319</v>
      </c>
      <c r="F688" s="170" t="s">
        <v>2712</v>
      </c>
      <c r="G688" s="171">
        <v>45716.0</v>
      </c>
      <c r="H688" s="172">
        <f t="shared" si="1"/>
        <v>31</v>
      </c>
      <c r="I688" s="211" t="s">
        <v>3848</v>
      </c>
      <c r="J688" s="268">
        <v>45747.0</v>
      </c>
      <c r="K688" s="169" t="s">
        <v>2758</v>
      </c>
      <c r="L688" s="242"/>
      <c r="M688" s="242"/>
      <c r="N688" s="242"/>
      <c r="O688" s="242"/>
      <c r="P688" s="242"/>
      <c r="Q688" s="242"/>
      <c r="R688" s="242"/>
      <c r="S688" s="242"/>
      <c r="T688" s="242"/>
      <c r="U688" s="242"/>
      <c r="V688" s="242"/>
      <c r="W688" s="242"/>
      <c r="X688" s="242"/>
      <c r="Y688" s="242"/>
      <c r="Z688" s="242"/>
      <c r="AA688" s="242"/>
      <c r="AB688" s="242"/>
      <c r="AC688" s="242"/>
      <c r="AD688" s="242"/>
      <c r="AE688" s="242"/>
      <c r="AF688" s="242"/>
      <c r="AG688" s="242"/>
      <c r="AH688" s="242"/>
      <c r="AI688" s="242"/>
      <c r="AJ688" s="242"/>
      <c r="AK688" s="242"/>
      <c r="AL688" s="242"/>
      <c r="AM688" s="242"/>
      <c r="AN688" s="242"/>
      <c r="AO688" s="242"/>
    </row>
    <row r="689" ht="16.5" customHeight="1">
      <c r="A689" s="181">
        <v>15170.0</v>
      </c>
      <c r="B689" s="176" t="s">
        <v>3210</v>
      </c>
      <c r="C689" s="174">
        <v>2006.0</v>
      </c>
      <c r="D689" s="176" t="s">
        <v>3211</v>
      </c>
      <c r="E689" s="176" t="s">
        <v>725</v>
      </c>
      <c r="F689" s="177" t="s">
        <v>3212</v>
      </c>
      <c r="G689" s="178">
        <v>45716.0</v>
      </c>
      <c r="H689" s="179">
        <f t="shared" si="1"/>
        <v>21</v>
      </c>
      <c r="I689" s="180" t="s">
        <v>3849</v>
      </c>
      <c r="J689" s="178">
        <v>45737.0</v>
      </c>
      <c r="K689" s="175" t="s">
        <v>2758</v>
      </c>
      <c r="L689" s="259"/>
      <c r="M689" s="259"/>
      <c r="N689" s="259"/>
      <c r="O689" s="259"/>
      <c r="P689" s="259"/>
      <c r="Q689" s="259"/>
      <c r="R689" s="259"/>
      <c r="S689" s="259"/>
      <c r="T689" s="259"/>
      <c r="U689" s="259"/>
      <c r="V689" s="259"/>
      <c r="W689" s="259"/>
      <c r="X689" s="259"/>
      <c r="Y689" s="259"/>
      <c r="Z689" s="259"/>
      <c r="AA689" s="259"/>
      <c r="AB689" s="259"/>
      <c r="AC689" s="259"/>
      <c r="AD689" s="292"/>
      <c r="AE689" s="292"/>
      <c r="AF689" s="292"/>
      <c r="AG689" s="292"/>
      <c r="AH689" s="292"/>
      <c r="AI689" s="292"/>
      <c r="AJ689" s="292"/>
      <c r="AK689" s="292"/>
      <c r="AL689" s="292"/>
      <c r="AM689" s="292"/>
      <c r="AN689" s="292"/>
      <c r="AO689" s="292"/>
    </row>
    <row r="690" ht="17.25" customHeight="1">
      <c r="A690" s="183">
        <v>15173.0</v>
      </c>
      <c r="B690" s="169" t="s">
        <v>1503</v>
      </c>
      <c r="C690" s="168">
        <v>2022.0</v>
      </c>
      <c r="D690" s="142" t="s">
        <v>14</v>
      </c>
      <c r="E690" s="142" t="s">
        <v>610</v>
      </c>
      <c r="F690" s="170" t="s">
        <v>1504</v>
      </c>
      <c r="G690" s="171">
        <v>45716.0</v>
      </c>
      <c r="H690" s="172">
        <f t="shared" si="1"/>
        <v>0</v>
      </c>
      <c r="I690" s="173" t="s">
        <v>3850</v>
      </c>
      <c r="J690" s="171">
        <v>45716.0</v>
      </c>
      <c r="K690" s="169" t="s">
        <v>2758</v>
      </c>
    </row>
    <row r="691">
      <c r="A691" s="181">
        <v>15177.0</v>
      </c>
      <c r="B691" s="175" t="s">
        <v>965</v>
      </c>
      <c r="C691" s="174">
        <v>2022.0</v>
      </c>
      <c r="D691" s="176" t="s">
        <v>52</v>
      </c>
      <c r="E691" s="176" t="s">
        <v>399</v>
      </c>
      <c r="F691" s="177" t="s">
        <v>966</v>
      </c>
      <c r="G691" s="178">
        <v>45716.0</v>
      </c>
      <c r="H691" s="179">
        <f t="shared" si="1"/>
        <v>0</v>
      </c>
      <c r="I691" s="180" t="s">
        <v>3851</v>
      </c>
      <c r="J691" s="178">
        <v>45716.0</v>
      </c>
      <c r="K691" s="175" t="s">
        <v>2758</v>
      </c>
    </row>
    <row r="692">
      <c r="A692" s="183">
        <v>15178.0</v>
      </c>
      <c r="B692" s="169" t="s">
        <v>1500</v>
      </c>
      <c r="C692" s="168">
        <v>2014.0</v>
      </c>
      <c r="D692" s="142" t="s">
        <v>136</v>
      </c>
      <c r="E692" s="142" t="s">
        <v>207</v>
      </c>
      <c r="F692" s="170" t="s">
        <v>1501</v>
      </c>
      <c r="G692" s="171">
        <v>45716.0</v>
      </c>
      <c r="H692" s="172">
        <f t="shared" si="1"/>
        <v>0</v>
      </c>
      <c r="I692" s="173" t="s">
        <v>133</v>
      </c>
      <c r="J692" s="171">
        <v>45716.0</v>
      </c>
      <c r="K692" s="169" t="s">
        <v>2758</v>
      </c>
    </row>
    <row r="693" ht="16.5" customHeight="1">
      <c r="A693" s="181">
        <v>15181.0</v>
      </c>
      <c r="B693" s="176" t="s">
        <v>2779</v>
      </c>
      <c r="C693" s="174">
        <v>2014.0</v>
      </c>
      <c r="D693" s="176" t="s">
        <v>188</v>
      </c>
      <c r="E693" s="176" t="s">
        <v>855</v>
      </c>
      <c r="F693" s="177" t="s">
        <v>2780</v>
      </c>
      <c r="G693" s="178">
        <v>45716.0</v>
      </c>
      <c r="H693" s="179">
        <f t="shared" si="1"/>
        <v>34</v>
      </c>
      <c r="I693" s="182" t="s">
        <v>3852</v>
      </c>
      <c r="J693" s="269">
        <v>45750.0</v>
      </c>
      <c r="K693" s="175" t="s">
        <v>31</v>
      </c>
    </row>
    <row r="694" ht="16.5" customHeight="1">
      <c r="A694" s="183">
        <v>15182.0</v>
      </c>
      <c r="B694" s="142" t="s">
        <v>2090</v>
      </c>
      <c r="C694" s="168">
        <v>2018.0</v>
      </c>
      <c r="D694" s="142" t="s">
        <v>14</v>
      </c>
      <c r="E694" s="142" t="s">
        <v>2664</v>
      </c>
      <c r="F694" s="170" t="s">
        <v>3400</v>
      </c>
      <c r="G694" s="171">
        <v>45716.0</v>
      </c>
      <c r="H694" s="172">
        <f t="shared" si="1"/>
        <v>4</v>
      </c>
      <c r="I694" s="211" t="s">
        <v>3853</v>
      </c>
      <c r="J694" s="171">
        <v>45720.0</v>
      </c>
      <c r="K694" s="169" t="s">
        <v>2758</v>
      </c>
    </row>
    <row r="695" ht="14.25" customHeight="1">
      <c r="A695" s="183">
        <v>15192.0</v>
      </c>
      <c r="B695" s="142" t="s">
        <v>1137</v>
      </c>
      <c r="C695" s="168">
        <v>2018.0</v>
      </c>
      <c r="D695" s="142" t="s">
        <v>3854</v>
      </c>
      <c r="E695" s="142" t="s">
        <v>805</v>
      </c>
      <c r="F695" s="170" t="s">
        <v>1138</v>
      </c>
      <c r="G695" s="171">
        <v>45723.0</v>
      </c>
      <c r="H695" s="179">
        <f t="shared" si="1"/>
        <v>41</v>
      </c>
      <c r="I695" s="211" t="s">
        <v>3855</v>
      </c>
      <c r="J695" s="269">
        <v>45764.0</v>
      </c>
      <c r="K695" s="175" t="s">
        <v>31</v>
      </c>
    </row>
    <row r="696" ht="16.5" customHeight="1">
      <c r="A696" s="183">
        <v>15199.0</v>
      </c>
      <c r="B696" s="169" t="s">
        <v>1970</v>
      </c>
      <c r="C696" s="168">
        <v>2017.0</v>
      </c>
      <c r="D696" s="142" t="s">
        <v>14</v>
      </c>
      <c r="E696" s="142" t="s">
        <v>277</v>
      </c>
      <c r="F696" s="170" t="s">
        <v>1971</v>
      </c>
      <c r="G696" s="171">
        <v>45722.0</v>
      </c>
      <c r="H696" s="172">
        <f t="shared" si="1"/>
        <v>0</v>
      </c>
      <c r="I696" s="173" t="s">
        <v>3191</v>
      </c>
      <c r="J696" s="171">
        <v>45722.0</v>
      </c>
      <c r="K696" s="169" t="s">
        <v>2758</v>
      </c>
    </row>
    <row r="697">
      <c r="A697" s="181">
        <v>15201.0</v>
      </c>
      <c r="B697" s="176" t="s">
        <v>181</v>
      </c>
      <c r="C697" s="174">
        <v>2017.0</v>
      </c>
      <c r="D697" s="176" t="s">
        <v>14</v>
      </c>
      <c r="E697" s="176" t="s">
        <v>183</v>
      </c>
      <c r="F697" s="177" t="s">
        <v>184</v>
      </c>
      <c r="G697" s="178">
        <v>45722.0</v>
      </c>
      <c r="H697" s="179">
        <f t="shared" si="1"/>
        <v>29</v>
      </c>
      <c r="I697" s="182" t="s">
        <v>3856</v>
      </c>
      <c r="J697" s="269">
        <v>45751.0</v>
      </c>
      <c r="K697" s="175" t="s">
        <v>2758</v>
      </c>
    </row>
    <row r="698">
      <c r="A698" s="168">
        <v>15204.0</v>
      </c>
      <c r="B698" s="169" t="s">
        <v>2620</v>
      </c>
      <c r="C698" s="168">
        <v>2022.0</v>
      </c>
      <c r="D698" s="142" t="s">
        <v>52</v>
      </c>
      <c r="E698" s="142" t="s">
        <v>235</v>
      </c>
      <c r="F698" s="170" t="s">
        <v>2621</v>
      </c>
      <c r="G698" s="171">
        <v>45722.0</v>
      </c>
      <c r="H698" s="172">
        <f t="shared" si="1"/>
        <v>0</v>
      </c>
      <c r="I698" s="173" t="s">
        <v>3857</v>
      </c>
      <c r="J698" s="171">
        <v>45722.0</v>
      </c>
      <c r="K698" s="169" t="s">
        <v>2758</v>
      </c>
    </row>
    <row r="699">
      <c r="A699" s="181">
        <v>15207.0</v>
      </c>
      <c r="B699" s="176" t="s">
        <v>2885</v>
      </c>
      <c r="C699" s="174">
        <v>2015.0</v>
      </c>
      <c r="D699" s="176" t="s">
        <v>14</v>
      </c>
      <c r="E699" s="176" t="s">
        <v>3858</v>
      </c>
      <c r="F699" s="177" t="s">
        <v>2886</v>
      </c>
      <c r="G699" s="178">
        <v>45723.0</v>
      </c>
      <c r="H699" s="179">
        <f t="shared" si="1"/>
        <v>3</v>
      </c>
      <c r="I699" s="182" t="s">
        <v>3859</v>
      </c>
      <c r="J699" s="178">
        <v>45726.0</v>
      </c>
      <c r="K699" s="175" t="s">
        <v>2758</v>
      </c>
    </row>
    <row r="700">
      <c r="A700" s="183">
        <v>15213.0</v>
      </c>
      <c r="B700" s="169" t="s">
        <v>341</v>
      </c>
      <c r="C700" s="168">
        <v>2022.0</v>
      </c>
      <c r="D700" s="142" t="s">
        <v>52</v>
      </c>
      <c r="E700" s="142" t="s">
        <v>82</v>
      </c>
      <c r="F700" s="170" t="s">
        <v>342</v>
      </c>
      <c r="G700" s="171">
        <v>45726.0</v>
      </c>
      <c r="H700" s="172">
        <f t="shared" si="1"/>
        <v>0</v>
      </c>
      <c r="I700" s="173" t="s">
        <v>3860</v>
      </c>
      <c r="J700" s="171">
        <v>45726.0</v>
      </c>
      <c r="K700" s="169" t="s">
        <v>2758</v>
      </c>
    </row>
    <row r="701">
      <c r="A701" s="181">
        <v>15217.0</v>
      </c>
      <c r="B701" s="176" t="s">
        <v>961</v>
      </c>
      <c r="C701" s="174">
        <v>2018.0</v>
      </c>
      <c r="D701" s="176" t="s">
        <v>14</v>
      </c>
      <c r="E701" s="176" t="s">
        <v>805</v>
      </c>
      <c r="F701" s="177" t="s">
        <v>963</v>
      </c>
      <c r="G701" s="178">
        <v>45726.0</v>
      </c>
      <c r="H701" s="179">
        <f t="shared" si="1"/>
        <v>50</v>
      </c>
      <c r="I701" s="182" t="s">
        <v>3861</v>
      </c>
      <c r="J701" s="269">
        <v>45776.0</v>
      </c>
      <c r="K701" s="175" t="s">
        <v>31</v>
      </c>
    </row>
    <row r="702">
      <c r="A702" s="183">
        <v>15218.0</v>
      </c>
      <c r="B702" s="142" t="s">
        <v>910</v>
      </c>
      <c r="C702" s="168">
        <v>2018.0</v>
      </c>
      <c r="D702" s="142" t="s">
        <v>14</v>
      </c>
      <c r="E702" s="142" t="s">
        <v>912</v>
      </c>
      <c r="F702" s="170" t="s">
        <v>913</v>
      </c>
      <c r="G702" s="171">
        <v>45726.0</v>
      </c>
      <c r="H702" s="172">
        <f t="shared" si="1"/>
        <v>17</v>
      </c>
      <c r="I702" s="211" t="s">
        <v>3862</v>
      </c>
      <c r="J702" s="268">
        <v>45743.0</v>
      </c>
      <c r="K702" s="169" t="s">
        <v>2758</v>
      </c>
    </row>
    <row r="703">
      <c r="A703" s="181">
        <v>15222.0</v>
      </c>
      <c r="B703" s="175" t="s">
        <v>1755</v>
      </c>
      <c r="C703" s="174">
        <v>2022.0</v>
      </c>
      <c r="D703" s="176" t="s">
        <v>52</v>
      </c>
      <c r="E703" s="176" t="s">
        <v>319</v>
      </c>
      <c r="F703" s="177" t="s">
        <v>1756</v>
      </c>
      <c r="G703" s="178">
        <v>45726.0</v>
      </c>
      <c r="H703" s="179">
        <f t="shared" si="1"/>
        <v>0</v>
      </c>
      <c r="I703" s="180" t="s">
        <v>3863</v>
      </c>
      <c r="J703" s="178">
        <v>45726.0</v>
      </c>
      <c r="K703" s="175" t="s">
        <v>2758</v>
      </c>
    </row>
    <row r="704">
      <c r="A704" s="183">
        <v>15225.0</v>
      </c>
      <c r="B704" s="169" t="s">
        <v>2974</v>
      </c>
      <c r="C704" s="168">
        <v>2017.0</v>
      </c>
      <c r="D704" s="142" t="s">
        <v>52</v>
      </c>
      <c r="E704" s="142" t="s">
        <v>160</v>
      </c>
      <c r="F704" s="170" t="s">
        <v>2975</v>
      </c>
      <c r="G704" s="171">
        <v>45726.0</v>
      </c>
      <c r="H704" s="172">
        <f t="shared" si="1"/>
        <v>1</v>
      </c>
      <c r="I704" s="173" t="s">
        <v>3864</v>
      </c>
      <c r="J704" s="171">
        <v>45727.0</v>
      </c>
      <c r="K704" s="169" t="s">
        <v>2758</v>
      </c>
    </row>
    <row r="705">
      <c r="A705" s="174">
        <v>15228.0</v>
      </c>
      <c r="B705" s="175" t="s">
        <v>19</v>
      </c>
      <c r="C705" s="174">
        <v>2022.0</v>
      </c>
      <c r="D705" s="176" t="s">
        <v>52</v>
      </c>
      <c r="E705" s="176" t="s">
        <v>21</v>
      </c>
      <c r="F705" s="177" t="s">
        <v>22</v>
      </c>
      <c r="G705" s="178">
        <v>45729.0</v>
      </c>
      <c r="H705" s="179">
        <f t="shared" si="1"/>
        <v>0</v>
      </c>
      <c r="I705" s="180" t="s">
        <v>3865</v>
      </c>
      <c r="J705" s="178">
        <v>45729.0</v>
      </c>
      <c r="K705" s="175" t="s">
        <v>2758</v>
      </c>
    </row>
    <row r="706">
      <c r="A706" s="183">
        <v>15229.0</v>
      </c>
      <c r="B706" s="169" t="s">
        <v>3866</v>
      </c>
      <c r="C706" s="168">
        <v>2010.0</v>
      </c>
      <c r="D706" s="142" t="s">
        <v>2654</v>
      </c>
      <c r="E706" s="142" t="s">
        <v>337</v>
      </c>
      <c r="F706" s="170" t="s">
        <v>3867</v>
      </c>
      <c r="G706" s="171">
        <v>45727.0</v>
      </c>
      <c r="H706" s="172">
        <f t="shared" si="1"/>
        <v>1</v>
      </c>
      <c r="I706" s="173" t="s">
        <v>3868</v>
      </c>
      <c r="J706" s="171">
        <v>45728.0</v>
      </c>
      <c r="K706" s="169" t="s">
        <v>2627</v>
      </c>
    </row>
    <row r="707">
      <c r="A707" s="181">
        <v>15230.0</v>
      </c>
      <c r="B707" s="175" t="s">
        <v>2908</v>
      </c>
      <c r="C707" s="174">
        <v>2014.0</v>
      </c>
      <c r="D707" s="176" t="s">
        <v>197</v>
      </c>
      <c r="E707" s="176" t="s">
        <v>418</v>
      </c>
      <c r="F707" s="177" t="s">
        <v>2909</v>
      </c>
      <c r="G707" s="178">
        <v>45727.0</v>
      </c>
      <c r="H707" s="179">
        <f t="shared" si="1"/>
        <v>0</v>
      </c>
      <c r="I707" s="180" t="s">
        <v>133</v>
      </c>
      <c r="J707" s="178">
        <v>45727.0</v>
      </c>
      <c r="K707" s="175" t="s">
        <v>2758</v>
      </c>
      <c r="L707" s="242"/>
      <c r="M707" s="242"/>
      <c r="N707" s="242"/>
      <c r="O707" s="242"/>
      <c r="P707" s="242"/>
      <c r="Q707" s="242"/>
      <c r="R707" s="242"/>
      <c r="S707" s="242"/>
      <c r="T707" s="242"/>
      <c r="U707" s="242"/>
      <c r="V707" s="242"/>
      <c r="W707" s="242"/>
      <c r="X707" s="242"/>
      <c r="Y707" s="242"/>
      <c r="Z707" s="242"/>
      <c r="AA707" s="242"/>
      <c r="AB707" s="242"/>
      <c r="AC707" s="242"/>
      <c r="AD707" s="242"/>
      <c r="AE707" s="242"/>
      <c r="AF707" s="242"/>
      <c r="AG707" s="242"/>
      <c r="AH707" s="242"/>
      <c r="AI707" s="242"/>
      <c r="AJ707" s="242"/>
      <c r="AK707" s="242"/>
      <c r="AL707" s="242"/>
      <c r="AM707" s="242"/>
      <c r="AN707" s="242"/>
      <c r="AO707" s="242"/>
    </row>
    <row r="708">
      <c r="A708" s="183">
        <v>15231.0</v>
      </c>
      <c r="B708" s="142" t="s">
        <v>3869</v>
      </c>
      <c r="C708" s="168">
        <v>2018.0</v>
      </c>
      <c r="D708" s="142" t="s">
        <v>14</v>
      </c>
      <c r="E708" s="142" t="s">
        <v>337</v>
      </c>
      <c r="F708" s="170" t="s">
        <v>3870</v>
      </c>
      <c r="G708" s="171">
        <v>45727.0</v>
      </c>
      <c r="H708" s="172">
        <f t="shared" si="1"/>
        <v>49</v>
      </c>
      <c r="I708" s="211" t="s">
        <v>3871</v>
      </c>
      <c r="J708" s="268">
        <v>45776.0</v>
      </c>
      <c r="K708" s="169" t="s">
        <v>31</v>
      </c>
      <c r="L708" s="242"/>
      <c r="M708" s="242"/>
      <c r="N708" s="242"/>
      <c r="O708" s="242"/>
      <c r="P708" s="242"/>
      <c r="Q708" s="242"/>
      <c r="R708" s="242"/>
      <c r="S708" s="242"/>
      <c r="T708" s="242"/>
      <c r="U708" s="242"/>
      <c r="V708" s="242"/>
      <c r="W708" s="242"/>
      <c r="X708" s="242"/>
      <c r="Y708" s="242"/>
      <c r="Z708" s="242"/>
      <c r="AA708" s="242"/>
      <c r="AB708" s="242"/>
      <c r="AC708" s="242"/>
      <c r="AD708" s="242"/>
      <c r="AE708" s="242"/>
      <c r="AF708" s="242"/>
      <c r="AG708" s="242"/>
      <c r="AH708" s="242"/>
      <c r="AI708" s="242"/>
      <c r="AJ708" s="242"/>
      <c r="AK708" s="242"/>
      <c r="AL708" s="242"/>
      <c r="AM708" s="242"/>
      <c r="AN708" s="242"/>
      <c r="AO708" s="242"/>
    </row>
    <row r="709">
      <c r="A709" s="181">
        <v>15232.0</v>
      </c>
      <c r="B709" s="175" t="s">
        <v>3872</v>
      </c>
      <c r="C709" s="174">
        <v>2010.0</v>
      </c>
      <c r="D709" s="176" t="s">
        <v>75</v>
      </c>
      <c r="E709" s="176" t="s">
        <v>337</v>
      </c>
      <c r="F709" s="177" t="s">
        <v>3873</v>
      </c>
      <c r="G709" s="178">
        <v>45726.0</v>
      </c>
      <c r="H709" s="179">
        <f t="shared" si="1"/>
        <v>11</v>
      </c>
      <c r="I709" s="180" t="s">
        <v>668</v>
      </c>
      <c r="J709" s="178">
        <v>45737.0</v>
      </c>
      <c r="K709" s="175" t="s">
        <v>31</v>
      </c>
    </row>
    <row r="710">
      <c r="A710" s="183">
        <v>15236.0</v>
      </c>
      <c r="B710" s="142" t="s">
        <v>3874</v>
      </c>
      <c r="C710" s="168">
        <v>2010.0</v>
      </c>
      <c r="D710" s="142" t="s">
        <v>75</v>
      </c>
      <c r="E710" s="142" t="s">
        <v>337</v>
      </c>
      <c r="F710" s="170" t="s">
        <v>3875</v>
      </c>
      <c r="G710" s="171">
        <v>45727.0</v>
      </c>
      <c r="H710" s="172">
        <f t="shared" si="1"/>
        <v>23</v>
      </c>
      <c r="I710" s="211" t="s">
        <v>2744</v>
      </c>
      <c r="J710" s="268">
        <v>45750.0</v>
      </c>
      <c r="K710" s="169" t="s">
        <v>31</v>
      </c>
    </row>
    <row r="711">
      <c r="A711" s="174">
        <v>15237.0</v>
      </c>
      <c r="B711" s="175" t="s">
        <v>3876</v>
      </c>
      <c r="C711" s="174">
        <v>2015.0</v>
      </c>
      <c r="D711" s="176" t="s">
        <v>75</v>
      </c>
      <c r="E711" s="176" t="s">
        <v>337</v>
      </c>
      <c r="F711" s="177" t="s">
        <v>3877</v>
      </c>
      <c r="G711" s="178">
        <v>45727.0</v>
      </c>
      <c r="H711" s="179">
        <f t="shared" si="1"/>
        <v>7</v>
      </c>
      <c r="I711" s="180" t="s">
        <v>3878</v>
      </c>
      <c r="J711" s="178">
        <v>45734.0</v>
      </c>
      <c r="K711" s="175" t="s">
        <v>2758</v>
      </c>
    </row>
    <row r="712">
      <c r="A712" s="183">
        <v>15240.0</v>
      </c>
      <c r="B712" s="169" t="s">
        <v>829</v>
      </c>
      <c r="C712" s="168">
        <v>2022.0</v>
      </c>
      <c r="D712" s="142" t="s">
        <v>52</v>
      </c>
      <c r="E712" s="142" t="s">
        <v>2983</v>
      </c>
      <c r="F712" s="170" t="s">
        <v>830</v>
      </c>
      <c r="G712" s="171">
        <v>45728.0</v>
      </c>
      <c r="H712" s="172">
        <f t="shared" si="1"/>
        <v>0</v>
      </c>
      <c r="I712" s="173" t="s">
        <v>133</v>
      </c>
      <c r="J712" s="171">
        <v>45728.0</v>
      </c>
      <c r="K712" s="169" t="s">
        <v>2758</v>
      </c>
    </row>
    <row r="713">
      <c r="A713" s="181">
        <v>15249.0</v>
      </c>
      <c r="B713" s="175" t="s">
        <v>1009</v>
      </c>
      <c r="C713" s="174">
        <v>2022.0</v>
      </c>
      <c r="D713" s="176" t="s">
        <v>136</v>
      </c>
      <c r="E713" s="176" t="s">
        <v>82</v>
      </c>
      <c r="F713" s="177" t="s">
        <v>1010</v>
      </c>
      <c r="G713" s="178">
        <v>45729.0</v>
      </c>
      <c r="H713" s="179">
        <f t="shared" si="1"/>
        <v>0</v>
      </c>
      <c r="I713" s="180" t="s">
        <v>3879</v>
      </c>
      <c r="J713" s="178">
        <v>45729.0</v>
      </c>
      <c r="K713" s="175" t="s">
        <v>2758</v>
      </c>
    </row>
    <row r="714">
      <c r="A714" s="183">
        <v>15250.0</v>
      </c>
      <c r="B714" s="169" t="s">
        <v>2153</v>
      </c>
      <c r="C714" s="168">
        <v>2022.0</v>
      </c>
      <c r="D714" s="142" t="s">
        <v>52</v>
      </c>
      <c r="E714" s="142" t="s">
        <v>3880</v>
      </c>
      <c r="F714" s="170" t="s">
        <v>2154</v>
      </c>
      <c r="G714" s="171">
        <v>45729.0</v>
      </c>
      <c r="H714" s="172">
        <f t="shared" si="1"/>
        <v>0</v>
      </c>
      <c r="I714" s="173" t="s">
        <v>3811</v>
      </c>
      <c r="J714" s="171">
        <v>45729.0</v>
      </c>
      <c r="K714" s="169" t="s">
        <v>2758</v>
      </c>
    </row>
    <row r="715">
      <c r="A715" s="181">
        <v>15252.0</v>
      </c>
      <c r="B715" s="176" t="s">
        <v>2908</v>
      </c>
      <c r="C715" s="174">
        <v>2013.0</v>
      </c>
      <c r="D715" s="176" t="s">
        <v>197</v>
      </c>
      <c r="E715" s="176" t="s">
        <v>418</v>
      </c>
      <c r="F715" s="177" t="s">
        <v>2909</v>
      </c>
      <c r="G715" s="178">
        <v>45729.0</v>
      </c>
      <c r="H715" s="179">
        <f t="shared" si="1"/>
        <v>35</v>
      </c>
      <c r="I715" s="182" t="s">
        <v>3881</v>
      </c>
      <c r="J715" s="269">
        <v>45764.0</v>
      </c>
      <c r="K715" s="175" t="s">
        <v>31</v>
      </c>
      <c r="L715" s="242"/>
      <c r="M715" s="242"/>
      <c r="N715" s="242"/>
      <c r="O715" s="242"/>
      <c r="P715" s="242"/>
      <c r="Q715" s="242"/>
      <c r="R715" s="242"/>
      <c r="S715" s="242"/>
      <c r="T715" s="242"/>
      <c r="U715" s="242"/>
      <c r="V715" s="242"/>
      <c r="W715" s="242"/>
      <c r="X715" s="242"/>
      <c r="Y715" s="242"/>
      <c r="Z715" s="242"/>
      <c r="AA715" s="242"/>
      <c r="AB715" s="242"/>
      <c r="AC715" s="242"/>
      <c r="AD715" s="242"/>
      <c r="AE715" s="242"/>
      <c r="AF715" s="242"/>
      <c r="AG715" s="242"/>
      <c r="AH715" s="242"/>
      <c r="AI715" s="242"/>
      <c r="AJ715" s="242"/>
      <c r="AK715" s="242"/>
      <c r="AL715" s="242"/>
      <c r="AM715" s="242"/>
      <c r="AN715" s="242"/>
      <c r="AO715" s="242"/>
    </row>
    <row r="716">
      <c r="A716" s="183">
        <v>15252.0</v>
      </c>
      <c r="B716" s="169" t="s">
        <v>2908</v>
      </c>
      <c r="C716" s="168">
        <v>2013.0</v>
      </c>
      <c r="D716" s="142" t="s">
        <v>197</v>
      </c>
      <c r="E716" s="142" t="s">
        <v>418</v>
      </c>
      <c r="F716" s="170" t="s">
        <v>2909</v>
      </c>
      <c r="G716" s="171">
        <v>45806.0</v>
      </c>
      <c r="H716" s="172">
        <f t="shared" si="1"/>
        <v>0</v>
      </c>
      <c r="I716" s="173" t="s">
        <v>2265</v>
      </c>
      <c r="J716" s="171">
        <v>45806.0</v>
      </c>
      <c r="K716" s="169" t="s">
        <v>2758</v>
      </c>
    </row>
    <row r="717">
      <c r="A717" s="181">
        <v>15254.0</v>
      </c>
      <c r="B717" s="175" t="s">
        <v>3882</v>
      </c>
      <c r="C717" s="174">
        <v>2015.0</v>
      </c>
      <c r="D717" s="176" t="s">
        <v>14</v>
      </c>
      <c r="E717" s="176" t="s">
        <v>418</v>
      </c>
      <c r="F717" s="177" t="s">
        <v>3883</v>
      </c>
      <c r="G717" s="178">
        <v>45729.0</v>
      </c>
      <c r="H717" s="179">
        <f t="shared" si="1"/>
        <v>4</v>
      </c>
      <c r="I717" s="180" t="s">
        <v>3884</v>
      </c>
      <c r="J717" s="178">
        <v>45733.0</v>
      </c>
      <c r="K717" s="175" t="s">
        <v>2758</v>
      </c>
    </row>
    <row r="718">
      <c r="A718" s="183">
        <v>15256.0</v>
      </c>
      <c r="B718" s="142" t="s">
        <v>413</v>
      </c>
      <c r="C718" s="168">
        <v>2018.0</v>
      </c>
      <c r="D718" s="142" t="s">
        <v>14</v>
      </c>
      <c r="E718" s="142" t="s">
        <v>368</v>
      </c>
      <c r="F718" s="170" t="s">
        <v>3885</v>
      </c>
      <c r="G718" s="171">
        <v>45729.0</v>
      </c>
      <c r="H718" s="172">
        <f t="shared" si="1"/>
        <v>22</v>
      </c>
      <c r="I718" s="211" t="s">
        <v>3886</v>
      </c>
      <c r="J718" s="268">
        <v>45751.0</v>
      </c>
      <c r="K718" s="169" t="s">
        <v>2758</v>
      </c>
    </row>
    <row r="719">
      <c r="A719" s="181">
        <v>15257.0</v>
      </c>
      <c r="B719" s="175" t="s">
        <v>1922</v>
      </c>
      <c r="C719" s="174">
        <v>2022.0</v>
      </c>
      <c r="D719" s="176" t="s">
        <v>52</v>
      </c>
      <c r="E719" s="176" t="s">
        <v>125</v>
      </c>
      <c r="F719" s="177" t="s">
        <v>1923</v>
      </c>
      <c r="G719" s="178">
        <v>45729.0</v>
      </c>
      <c r="H719" s="179">
        <f t="shared" si="1"/>
        <v>1</v>
      </c>
      <c r="I719" s="180" t="s">
        <v>3887</v>
      </c>
      <c r="J719" s="178">
        <v>45730.0</v>
      </c>
      <c r="K719" s="175" t="s">
        <v>2758</v>
      </c>
    </row>
    <row r="720">
      <c r="A720" s="249">
        <v>15259.0</v>
      </c>
      <c r="B720" s="250" t="s">
        <v>3888</v>
      </c>
      <c r="C720" s="251">
        <v>2014.0</v>
      </c>
      <c r="D720" s="250" t="s">
        <v>3889</v>
      </c>
      <c r="E720" s="250" t="s">
        <v>41</v>
      </c>
      <c r="F720" s="264" t="s">
        <v>3890</v>
      </c>
      <c r="G720" s="252">
        <v>45729.0</v>
      </c>
      <c r="H720" s="172">
        <f t="shared" si="1"/>
        <v>12</v>
      </c>
      <c r="I720" s="253" t="s">
        <v>3891</v>
      </c>
      <c r="J720" s="171">
        <v>45741.0</v>
      </c>
      <c r="K720" s="169" t="s">
        <v>31</v>
      </c>
    </row>
    <row r="721">
      <c r="A721" s="181">
        <v>15261.0</v>
      </c>
      <c r="B721" s="175" t="s">
        <v>422</v>
      </c>
      <c r="C721" s="174">
        <v>2013.0</v>
      </c>
      <c r="D721" s="176" t="s">
        <v>105</v>
      </c>
      <c r="E721" s="176" t="s">
        <v>1123</v>
      </c>
      <c r="F721" s="177" t="s">
        <v>423</v>
      </c>
      <c r="G721" s="178">
        <v>45729.0</v>
      </c>
      <c r="H721" s="179">
        <f t="shared" si="1"/>
        <v>4</v>
      </c>
      <c r="I721" s="180" t="s">
        <v>3892</v>
      </c>
      <c r="J721" s="178">
        <v>45733.0</v>
      </c>
      <c r="K721" s="175" t="s">
        <v>37</v>
      </c>
    </row>
    <row r="722">
      <c r="A722" s="168">
        <v>15264.0</v>
      </c>
      <c r="B722" s="169" t="s">
        <v>3676</v>
      </c>
      <c r="C722" s="168">
        <v>2017.0</v>
      </c>
      <c r="D722" s="142" t="s">
        <v>14</v>
      </c>
      <c r="E722" s="142" t="s">
        <v>125</v>
      </c>
      <c r="F722" s="170" t="s">
        <v>3677</v>
      </c>
      <c r="G722" s="171">
        <v>45730.0</v>
      </c>
      <c r="H722" s="172">
        <f t="shared" si="1"/>
        <v>0</v>
      </c>
      <c r="I722" s="173" t="s">
        <v>3893</v>
      </c>
      <c r="J722" s="171">
        <v>45730.0</v>
      </c>
      <c r="K722" s="169" t="s">
        <v>2758</v>
      </c>
      <c r="L722" s="242"/>
      <c r="M722" s="242"/>
      <c r="N722" s="242"/>
      <c r="O722" s="242"/>
      <c r="P722" s="242"/>
      <c r="Q722" s="242"/>
      <c r="R722" s="242"/>
      <c r="S722" s="242"/>
      <c r="T722" s="242"/>
      <c r="U722" s="242"/>
      <c r="V722" s="242"/>
      <c r="W722" s="242"/>
      <c r="X722" s="242"/>
      <c r="Y722" s="242"/>
      <c r="Z722" s="242"/>
      <c r="AA722" s="242"/>
      <c r="AB722" s="242"/>
      <c r="AC722" s="242"/>
      <c r="AD722" s="242"/>
      <c r="AE722" s="242"/>
      <c r="AF722" s="242"/>
      <c r="AG722" s="242"/>
      <c r="AH722" s="242"/>
      <c r="AI722" s="242"/>
      <c r="AJ722" s="242"/>
      <c r="AK722" s="242"/>
      <c r="AL722" s="242"/>
      <c r="AM722" s="242"/>
      <c r="AN722" s="242"/>
      <c r="AO722" s="242"/>
    </row>
    <row r="723">
      <c r="A723" s="181">
        <v>15270.0</v>
      </c>
      <c r="B723" s="175" t="s">
        <v>2991</v>
      </c>
      <c r="C723" s="174">
        <v>2020.0</v>
      </c>
      <c r="D723" s="176" t="s">
        <v>451</v>
      </c>
      <c r="E723" s="176" t="s">
        <v>405</v>
      </c>
      <c r="F723" s="177" t="s">
        <v>2992</v>
      </c>
      <c r="G723" s="178">
        <v>45733.0</v>
      </c>
      <c r="H723" s="179">
        <f t="shared" si="1"/>
        <v>0</v>
      </c>
      <c r="I723" s="180" t="s">
        <v>3894</v>
      </c>
      <c r="J723" s="178">
        <v>45733.0</v>
      </c>
      <c r="K723" s="175" t="s">
        <v>2758</v>
      </c>
    </row>
    <row r="724">
      <c r="A724" s="183">
        <v>15276.0</v>
      </c>
      <c r="B724" s="142" t="s">
        <v>3220</v>
      </c>
      <c r="C724" s="168">
        <v>2020.0</v>
      </c>
      <c r="D724" s="273" t="s">
        <v>3895</v>
      </c>
      <c r="E724" s="142" t="s">
        <v>2788</v>
      </c>
      <c r="F724" s="170" t="s">
        <v>3896</v>
      </c>
      <c r="G724" s="171">
        <v>45733.0</v>
      </c>
      <c r="H724" s="172">
        <f t="shared" si="1"/>
        <v>23</v>
      </c>
      <c r="I724" s="173" t="s">
        <v>3897</v>
      </c>
      <c r="J724" s="171">
        <v>45756.0</v>
      </c>
      <c r="K724" s="169" t="s">
        <v>2758</v>
      </c>
    </row>
    <row r="725">
      <c r="A725" s="181">
        <v>15279.0</v>
      </c>
      <c r="B725" s="176" t="s">
        <v>3759</v>
      </c>
      <c r="C725" s="174">
        <v>2018.0</v>
      </c>
      <c r="D725" s="176" t="s">
        <v>14</v>
      </c>
      <c r="E725" s="176" t="s">
        <v>805</v>
      </c>
      <c r="F725" s="177" t="s">
        <v>3760</v>
      </c>
      <c r="G725" s="178">
        <v>45733.0</v>
      </c>
      <c r="H725" s="179">
        <f t="shared" si="1"/>
        <v>10</v>
      </c>
      <c r="I725" s="182" t="s">
        <v>668</v>
      </c>
      <c r="J725" s="269">
        <v>45743.0</v>
      </c>
      <c r="K725" s="175" t="s">
        <v>2758</v>
      </c>
    </row>
    <row r="726">
      <c r="A726" s="183">
        <v>15280.0</v>
      </c>
      <c r="B726" s="142" t="s">
        <v>135</v>
      </c>
      <c r="C726" s="168">
        <v>2014.0</v>
      </c>
      <c r="D726" s="142" t="s">
        <v>136</v>
      </c>
      <c r="E726" s="142" t="s">
        <v>137</v>
      </c>
      <c r="F726" s="170" t="s">
        <v>138</v>
      </c>
      <c r="G726" s="171">
        <v>45733.0</v>
      </c>
      <c r="H726" s="172">
        <f t="shared" si="1"/>
        <v>11</v>
      </c>
      <c r="I726" s="211" t="s">
        <v>3898</v>
      </c>
      <c r="J726" s="268">
        <v>45744.0</v>
      </c>
      <c r="K726" s="169" t="s">
        <v>2758</v>
      </c>
    </row>
    <row r="727">
      <c r="A727" s="181">
        <v>15287.0</v>
      </c>
      <c r="B727" s="175" t="s">
        <v>3106</v>
      </c>
      <c r="C727" s="174">
        <v>2017.0</v>
      </c>
      <c r="D727" s="176" t="s">
        <v>14</v>
      </c>
      <c r="E727" s="176" t="s">
        <v>2788</v>
      </c>
      <c r="F727" s="177" t="s">
        <v>3899</v>
      </c>
      <c r="G727" s="178">
        <v>45734.0</v>
      </c>
      <c r="H727" s="179">
        <f t="shared" si="1"/>
        <v>0</v>
      </c>
      <c r="I727" s="180" t="s">
        <v>3062</v>
      </c>
      <c r="J727" s="178">
        <v>45734.0</v>
      </c>
      <c r="K727" s="175" t="s">
        <v>2758</v>
      </c>
    </row>
    <row r="728">
      <c r="A728" s="183">
        <v>15291.0</v>
      </c>
      <c r="B728" s="169" t="s">
        <v>804</v>
      </c>
      <c r="C728" s="168">
        <v>2022.0</v>
      </c>
      <c r="D728" s="142" t="s">
        <v>52</v>
      </c>
      <c r="E728" s="142" t="s">
        <v>160</v>
      </c>
      <c r="F728" s="170" t="s">
        <v>806</v>
      </c>
      <c r="G728" s="171">
        <v>45735.0</v>
      </c>
      <c r="H728" s="172">
        <f t="shared" si="1"/>
        <v>0</v>
      </c>
      <c r="I728" s="173" t="s">
        <v>3900</v>
      </c>
      <c r="J728" s="171">
        <v>45735.0</v>
      </c>
      <c r="K728" s="169" t="s">
        <v>2758</v>
      </c>
    </row>
    <row r="729">
      <c r="A729" s="181">
        <v>15292.0</v>
      </c>
      <c r="B729" s="175" t="s">
        <v>3901</v>
      </c>
      <c r="C729" s="174">
        <v>2015.0</v>
      </c>
      <c r="D729" s="176" t="s">
        <v>130</v>
      </c>
      <c r="E729" s="176" t="s">
        <v>293</v>
      </c>
      <c r="F729" s="177" t="s">
        <v>3902</v>
      </c>
      <c r="G729" s="178">
        <v>45735.0</v>
      </c>
      <c r="H729" s="179">
        <f t="shared" si="1"/>
        <v>0</v>
      </c>
      <c r="I729" s="180" t="s">
        <v>3903</v>
      </c>
      <c r="J729" s="178">
        <v>45735.0</v>
      </c>
      <c r="K729" s="175" t="s">
        <v>2758</v>
      </c>
      <c r="L729" s="242"/>
      <c r="M729" s="242"/>
      <c r="N729" s="242"/>
      <c r="O729" s="242"/>
      <c r="P729" s="242"/>
      <c r="Q729" s="242"/>
      <c r="R729" s="242"/>
      <c r="S729" s="242"/>
      <c r="T729" s="242"/>
      <c r="U729" s="242"/>
      <c r="V729" s="242"/>
      <c r="W729" s="242"/>
      <c r="X729" s="242"/>
      <c r="Y729" s="242"/>
      <c r="Z729" s="242"/>
      <c r="AA729" s="242"/>
      <c r="AB729" s="242"/>
      <c r="AC729" s="242"/>
      <c r="AD729" s="242"/>
      <c r="AE729" s="242"/>
      <c r="AF729" s="242"/>
      <c r="AG729" s="242"/>
      <c r="AH729" s="242"/>
      <c r="AI729" s="242"/>
      <c r="AJ729" s="242"/>
      <c r="AK729" s="242"/>
      <c r="AL729" s="242"/>
      <c r="AM729" s="242"/>
      <c r="AN729" s="242"/>
      <c r="AO729" s="242"/>
    </row>
    <row r="730">
      <c r="A730" s="183">
        <v>15294.0</v>
      </c>
      <c r="B730" s="142" t="s">
        <v>3904</v>
      </c>
      <c r="C730" s="168">
        <v>2015.0</v>
      </c>
      <c r="D730" s="142" t="s">
        <v>52</v>
      </c>
      <c r="E730" s="142" t="s">
        <v>337</v>
      </c>
      <c r="F730" s="170" t="s">
        <v>3905</v>
      </c>
      <c r="G730" s="171">
        <v>45735.0</v>
      </c>
      <c r="H730" s="172">
        <f t="shared" si="1"/>
        <v>37</v>
      </c>
      <c r="I730" s="211" t="s">
        <v>3906</v>
      </c>
      <c r="J730" s="171">
        <v>45772.0</v>
      </c>
      <c r="K730" s="169" t="s">
        <v>31</v>
      </c>
      <c r="L730" s="242"/>
      <c r="M730" s="242"/>
      <c r="N730" s="242"/>
      <c r="O730" s="242"/>
      <c r="P730" s="242"/>
      <c r="Q730" s="242"/>
      <c r="R730" s="242"/>
      <c r="S730" s="242"/>
      <c r="T730" s="242"/>
      <c r="U730" s="242"/>
      <c r="V730" s="242"/>
      <c r="W730" s="242"/>
      <c r="X730" s="242"/>
      <c r="Y730" s="242"/>
      <c r="Z730" s="242"/>
      <c r="AA730" s="242"/>
      <c r="AB730" s="242"/>
      <c r="AC730" s="242"/>
      <c r="AD730" s="242"/>
      <c r="AE730" s="242"/>
      <c r="AF730" s="242"/>
      <c r="AG730" s="242"/>
      <c r="AH730" s="242"/>
      <c r="AI730" s="242"/>
      <c r="AJ730" s="242"/>
      <c r="AK730" s="242"/>
      <c r="AL730" s="242"/>
      <c r="AM730" s="242"/>
      <c r="AN730" s="242"/>
      <c r="AO730" s="242"/>
    </row>
    <row r="731">
      <c r="A731" s="293">
        <v>15307.0</v>
      </c>
      <c r="B731" s="272" t="s">
        <v>2505</v>
      </c>
      <c r="C731" s="294">
        <v>2018.0</v>
      </c>
      <c r="D731" s="272" t="s">
        <v>3854</v>
      </c>
      <c r="E731" s="272" t="s">
        <v>912</v>
      </c>
      <c r="F731" s="295" t="s">
        <v>2506</v>
      </c>
      <c r="G731" s="296">
        <v>45736.0</v>
      </c>
      <c r="H731" s="179">
        <f t="shared" si="1"/>
        <v>20</v>
      </c>
      <c r="I731" s="180" t="s">
        <v>3016</v>
      </c>
      <c r="J731" s="178">
        <v>45756.0</v>
      </c>
      <c r="K731" s="175" t="s">
        <v>2758</v>
      </c>
    </row>
    <row r="732">
      <c r="A732" s="183">
        <v>15310.0</v>
      </c>
      <c r="B732" s="169" t="s">
        <v>2518</v>
      </c>
      <c r="C732" s="168">
        <v>2022.0</v>
      </c>
      <c r="D732" s="142" t="s">
        <v>136</v>
      </c>
      <c r="E732" s="142" t="s">
        <v>418</v>
      </c>
      <c r="F732" s="170" t="s">
        <v>2519</v>
      </c>
      <c r="G732" s="171">
        <v>45736.0</v>
      </c>
      <c r="H732" s="172">
        <f t="shared" si="1"/>
        <v>1</v>
      </c>
      <c r="I732" s="173" t="s">
        <v>3907</v>
      </c>
      <c r="J732" s="171">
        <v>45737.0</v>
      </c>
      <c r="K732" s="169" t="s">
        <v>2758</v>
      </c>
    </row>
    <row r="733">
      <c r="A733" s="220">
        <v>15310.0</v>
      </c>
      <c r="B733" s="221" t="s">
        <v>3908</v>
      </c>
      <c r="C733" s="222">
        <v>2022.0</v>
      </c>
      <c r="D733" s="221" t="s">
        <v>136</v>
      </c>
      <c r="E733" s="221" t="s">
        <v>418</v>
      </c>
      <c r="F733" s="223" t="s">
        <v>2519</v>
      </c>
      <c r="G733" s="224">
        <v>45736.0</v>
      </c>
      <c r="H733" s="179">
        <f t="shared" si="1"/>
        <v>1</v>
      </c>
      <c r="I733" s="225" t="s">
        <v>3909</v>
      </c>
      <c r="J733" s="297">
        <v>45737.0</v>
      </c>
      <c r="K733" s="245" t="s">
        <v>2758</v>
      </c>
    </row>
    <row r="734">
      <c r="A734" s="183">
        <v>15310.0</v>
      </c>
      <c r="B734" s="142" t="s">
        <v>3908</v>
      </c>
      <c r="C734" s="168">
        <v>2022.0</v>
      </c>
      <c r="D734" s="142" t="s">
        <v>136</v>
      </c>
      <c r="E734" s="142" t="s">
        <v>418</v>
      </c>
      <c r="F734" s="170" t="s">
        <v>2519</v>
      </c>
      <c r="G734" s="171">
        <v>45736.0</v>
      </c>
      <c r="H734" s="172">
        <f t="shared" si="1"/>
        <v>14</v>
      </c>
      <c r="I734" s="211" t="s">
        <v>3910</v>
      </c>
      <c r="J734" s="268">
        <v>45750.0</v>
      </c>
      <c r="K734" s="169" t="s">
        <v>2758</v>
      </c>
    </row>
    <row r="735">
      <c r="A735" s="181">
        <v>15317.0</v>
      </c>
      <c r="B735" s="175" t="s">
        <v>3911</v>
      </c>
      <c r="C735" s="174">
        <v>2022.0</v>
      </c>
      <c r="D735" s="176" t="s">
        <v>136</v>
      </c>
      <c r="E735" s="176" t="s">
        <v>240</v>
      </c>
      <c r="F735" s="177" t="s">
        <v>3912</v>
      </c>
      <c r="G735" s="178">
        <v>45737.0</v>
      </c>
      <c r="H735" s="179">
        <f t="shared" si="1"/>
        <v>10</v>
      </c>
      <c r="I735" s="180" t="s">
        <v>3913</v>
      </c>
      <c r="J735" s="178">
        <v>45747.0</v>
      </c>
      <c r="K735" s="175" t="s">
        <v>2758</v>
      </c>
      <c r="L735" s="242"/>
      <c r="M735" s="242"/>
      <c r="N735" s="242"/>
      <c r="O735" s="242"/>
      <c r="P735" s="242"/>
      <c r="Q735" s="242"/>
      <c r="R735" s="242"/>
      <c r="S735" s="242"/>
      <c r="T735" s="242"/>
      <c r="U735" s="242"/>
      <c r="V735" s="242"/>
      <c r="W735" s="242"/>
      <c r="X735" s="242"/>
      <c r="Y735" s="242"/>
      <c r="Z735" s="242"/>
      <c r="AA735" s="242"/>
      <c r="AB735" s="242"/>
      <c r="AC735" s="242"/>
      <c r="AD735" s="242"/>
      <c r="AE735" s="242"/>
      <c r="AF735" s="242"/>
      <c r="AG735" s="242"/>
      <c r="AH735" s="242"/>
      <c r="AI735" s="242"/>
      <c r="AJ735" s="242"/>
      <c r="AK735" s="242"/>
      <c r="AL735" s="242"/>
      <c r="AM735" s="242"/>
      <c r="AN735" s="242"/>
      <c r="AO735" s="242"/>
    </row>
    <row r="736">
      <c r="A736" s="183">
        <v>15318.0</v>
      </c>
      <c r="B736" s="169" t="s">
        <v>111</v>
      </c>
      <c r="C736" s="168">
        <v>2022.0</v>
      </c>
      <c r="D736" s="142" t="s">
        <v>52</v>
      </c>
      <c r="E736" s="142" t="s">
        <v>28</v>
      </c>
      <c r="F736" s="170" t="s">
        <v>112</v>
      </c>
      <c r="G736" s="171">
        <v>45737.0</v>
      </c>
      <c r="H736" s="172">
        <f t="shared" si="1"/>
        <v>0</v>
      </c>
      <c r="I736" s="173" t="s">
        <v>3914</v>
      </c>
      <c r="J736" s="171">
        <v>45737.0</v>
      </c>
      <c r="K736" s="169" t="s">
        <v>2758</v>
      </c>
      <c r="L736" s="242"/>
      <c r="M736" s="242"/>
      <c r="N736" s="242"/>
      <c r="O736" s="242"/>
      <c r="P736" s="242"/>
      <c r="Q736" s="242"/>
      <c r="R736" s="242"/>
      <c r="S736" s="242"/>
      <c r="T736" s="242"/>
      <c r="U736" s="242"/>
      <c r="V736" s="242"/>
      <c r="W736" s="242"/>
      <c r="X736" s="242"/>
      <c r="Y736" s="242"/>
      <c r="Z736" s="242"/>
      <c r="AA736" s="242"/>
      <c r="AB736" s="242"/>
      <c r="AC736" s="242"/>
      <c r="AD736" s="242"/>
      <c r="AE736" s="242"/>
      <c r="AF736" s="242"/>
      <c r="AG736" s="242"/>
      <c r="AH736" s="242"/>
      <c r="AI736" s="242"/>
      <c r="AJ736" s="242"/>
      <c r="AK736" s="242"/>
      <c r="AL736" s="242"/>
      <c r="AM736" s="242"/>
      <c r="AN736" s="242"/>
      <c r="AO736" s="242"/>
    </row>
    <row r="737">
      <c r="A737" s="181">
        <v>15320.0</v>
      </c>
      <c r="B737" s="175" t="s">
        <v>3915</v>
      </c>
      <c r="C737" s="174">
        <v>2022.0</v>
      </c>
      <c r="D737" s="176" t="s">
        <v>52</v>
      </c>
      <c r="E737" s="176" t="s">
        <v>725</v>
      </c>
      <c r="F737" s="177" t="s">
        <v>3916</v>
      </c>
      <c r="G737" s="178">
        <v>45737.0</v>
      </c>
      <c r="H737" s="179">
        <f t="shared" si="1"/>
        <v>0</v>
      </c>
      <c r="I737" s="180" t="s">
        <v>133</v>
      </c>
      <c r="J737" s="178">
        <v>45737.0</v>
      </c>
      <c r="K737" s="175" t="s">
        <v>2758</v>
      </c>
    </row>
    <row r="738">
      <c r="A738" s="183">
        <v>15323.0</v>
      </c>
      <c r="B738" s="169" t="s">
        <v>717</v>
      </c>
      <c r="C738" s="168">
        <v>2022.0</v>
      </c>
      <c r="D738" s="142" t="s">
        <v>136</v>
      </c>
      <c r="E738" s="142" t="s">
        <v>99</v>
      </c>
      <c r="F738" s="170" t="s">
        <v>719</v>
      </c>
      <c r="G738" s="171">
        <v>45737.0</v>
      </c>
      <c r="H738" s="172">
        <f t="shared" si="1"/>
        <v>0</v>
      </c>
      <c r="I738" s="173" t="s">
        <v>3407</v>
      </c>
      <c r="J738" s="171">
        <v>45737.0</v>
      </c>
      <c r="K738" s="169" t="s">
        <v>2758</v>
      </c>
    </row>
    <row r="739">
      <c r="A739" s="181">
        <v>15324.0</v>
      </c>
      <c r="B739" s="175" t="s">
        <v>3917</v>
      </c>
      <c r="C739" s="174">
        <v>2022.0</v>
      </c>
      <c r="D739" s="176" t="s">
        <v>52</v>
      </c>
      <c r="E739" s="176" t="s">
        <v>418</v>
      </c>
      <c r="F739" s="177" t="s">
        <v>419</v>
      </c>
      <c r="G739" s="178">
        <v>45737.0</v>
      </c>
      <c r="H739" s="179">
        <f t="shared" si="1"/>
        <v>0</v>
      </c>
      <c r="I739" s="180" t="s">
        <v>3918</v>
      </c>
      <c r="J739" s="178">
        <v>45737.0</v>
      </c>
      <c r="K739" s="175" t="s">
        <v>2758</v>
      </c>
    </row>
    <row r="740">
      <c r="A740" s="183">
        <v>15330.0</v>
      </c>
      <c r="B740" s="169" t="s">
        <v>1894</v>
      </c>
      <c r="C740" s="168">
        <v>2015.0</v>
      </c>
      <c r="D740" s="142" t="s">
        <v>75</v>
      </c>
      <c r="E740" s="142" t="s">
        <v>28</v>
      </c>
      <c r="F740" s="170" t="s">
        <v>1896</v>
      </c>
      <c r="G740" s="171">
        <v>45740.0</v>
      </c>
      <c r="H740" s="172">
        <f t="shared" si="1"/>
        <v>3</v>
      </c>
      <c r="I740" s="173" t="s">
        <v>3919</v>
      </c>
      <c r="J740" s="171">
        <v>45743.0</v>
      </c>
      <c r="K740" s="169" t="s">
        <v>2758</v>
      </c>
    </row>
    <row r="741">
      <c r="A741" s="181">
        <v>15332.0</v>
      </c>
      <c r="B741" s="175" t="s">
        <v>3014</v>
      </c>
      <c r="C741" s="174">
        <v>2020.0</v>
      </c>
      <c r="D741" s="176" t="s">
        <v>14</v>
      </c>
      <c r="E741" s="176" t="s">
        <v>2788</v>
      </c>
      <c r="F741" s="177" t="s">
        <v>3920</v>
      </c>
      <c r="G741" s="178">
        <v>45740.0</v>
      </c>
      <c r="H741" s="179">
        <f t="shared" si="1"/>
        <v>2</v>
      </c>
      <c r="I741" s="180" t="s">
        <v>133</v>
      </c>
      <c r="J741" s="178">
        <v>45742.0</v>
      </c>
      <c r="K741" s="175" t="s">
        <v>2758</v>
      </c>
    </row>
    <row r="742">
      <c r="A742" s="183">
        <v>15334.0</v>
      </c>
      <c r="B742" s="169" t="s">
        <v>3921</v>
      </c>
      <c r="C742" s="168">
        <v>2022.0</v>
      </c>
      <c r="D742" s="142" t="s">
        <v>52</v>
      </c>
      <c r="E742" s="142" t="s">
        <v>3284</v>
      </c>
      <c r="F742" s="170" t="s">
        <v>805</v>
      </c>
      <c r="G742" s="171">
        <v>45740.0</v>
      </c>
      <c r="H742" s="172">
        <f t="shared" si="1"/>
        <v>1</v>
      </c>
      <c r="I742" s="173" t="s">
        <v>3922</v>
      </c>
      <c r="J742" s="171">
        <v>45741.0</v>
      </c>
      <c r="K742" s="169" t="s">
        <v>2758</v>
      </c>
    </row>
    <row r="743">
      <c r="A743" s="181">
        <v>15342.0</v>
      </c>
      <c r="B743" s="175" t="s">
        <v>3387</v>
      </c>
      <c r="C743" s="174">
        <v>2015.0</v>
      </c>
      <c r="D743" s="176" t="s">
        <v>130</v>
      </c>
      <c r="E743" s="176" t="s">
        <v>3388</v>
      </c>
      <c r="F743" s="177" t="s">
        <v>1639</v>
      </c>
      <c r="G743" s="178">
        <v>45741.0</v>
      </c>
      <c r="H743" s="179">
        <f t="shared" si="1"/>
        <v>0</v>
      </c>
      <c r="I743" s="180" t="s">
        <v>3923</v>
      </c>
      <c r="J743" s="178">
        <v>45741.0</v>
      </c>
      <c r="K743" s="175" t="s">
        <v>2758</v>
      </c>
    </row>
    <row r="744">
      <c r="A744" s="183">
        <v>15343.0</v>
      </c>
      <c r="B744" s="169" t="s">
        <v>3924</v>
      </c>
      <c r="C744" s="168">
        <v>2022.0</v>
      </c>
      <c r="D744" s="142" t="s">
        <v>52</v>
      </c>
      <c r="E744" s="142" t="s">
        <v>710</v>
      </c>
      <c r="F744" s="170" t="s">
        <v>235</v>
      </c>
      <c r="G744" s="171">
        <v>45741.0</v>
      </c>
      <c r="H744" s="172">
        <f t="shared" si="1"/>
        <v>0</v>
      </c>
      <c r="I744" s="173" t="s">
        <v>3925</v>
      </c>
      <c r="J744" s="171">
        <v>45741.0</v>
      </c>
      <c r="K744" s="169" t="s">
        <v>2758</v>
      </c>
    </row>
    <row r="745">
      <c r="A745" s="181">
        <v>15344.0</v>
      </c>
      <c r="B745" s="175" t="s">
        <v>341</v>
      </c>
      <c r="C745" s="174">
        <v>2022.0</v>
      </c>
      <c r="D745" s="176" t="s">
        <v>52</v>
      </c>
      <c r="E745" s="176" t="s">
        <v>342</v>
      </c>
      <c r="F745" s="177" t="s">
        <v>82</v>
      </c>
      <c r="G745" s="178">
        <v>45741.0</v>
      </c>
      <c r="H745" s="179">
        <f t="shared" si="1"/>
        <v>0</v>
      </c>
      <c r="I745" s="180" t="s">
        <v>3926</v>
      </c>
      <c r="J745" s="178">
        <v>45741.0</v>
      </c>
      <c r="K745" s="175" t="s">
        <v>2758</v>
      </c>
    </row>
    <row r="746">
      <c r="A746" s="183">
        <v>15352.0</v>
      </c>
      <c r="B746" s="169" t="s">
        <v>778</v>
      </c>
      <c r="C746" s="168">
        <v>2013.0</v>
      </c>
      <c r="D746" s="142" t="s">
        <v>105</v>
      </c>
      <c r="E746" s="142" t="s">
        <v>779</v>
      </c>
      <c r="F746" s="170" t="s">
        <v>183</v>
      </c>
      <c r="G746" s="171">
        <v>45741.0</v>
      </c>
      <c r="H746" s="172">
        <f t="shared" si="1"/>
        <v>0</v>
      </c>
      <c r="I746" s="173" t="s">
        <v>3927</v>
      </c>
      <c r="J746" s="171">
        <v>45741.0</v>
      </c>
      <c r="K746" s="169" t="s">
        <v>2758</v>
      </c>
      <c r="L746" s="242"/>
      <c r="M746" s="242"/>
      <c r="N746" s="242"/>
      <c r="O746" s="242"/>
      <c r="P746" s="242"/>
      <c r="Q746" s="242"/>
      <c r="R746" s="242"/>
      <c r="S746" s="242"/>
      <c r="T746" s="242"/>
      <c r="U746" s="242"/>
      <c r="V746" s="242"/>
      <c r="W746" s="242"/>
      <c r="X746" s="242"/>
      <c r="Y746" s="242"/>
      <c r="Z746" s="242"/>
      <c r="AA746" s="242"/>
      <c r="AB746" s="242"/>
      <c r="AC746" s="242"/>
      <c r="AD746" s="242"/>
      <c r="AE746" s="242"/>
      <c r="AF746" s="242"/>
      <c r="AG746" s="242"/>
      <c r="AH746" s="242"/>
      <c r="AI746" s="242"/>
      <c r="AJ746" s="242"/>
      <c r="AK746" s="242"/>
      <c r="AL746" s="242"/>
      <c r="AM746" s="242"/>
      <c r="AN746" s="242"/>
      <c r="AO746" s="242"/>
    </row>
    <row r="747">
      <c r="A747" s="181">
        <v>15356.0</v>
      </c>
      <c r="B747" s="175" t="s">
        <v>2923</v>
      </c>
      <c r="C747" s="174">
        <v>2022.0</v>
      </c>
      <c r="D747" s="176" t="s">
        <v>52</v>
      </c>
      <c r="E747" s="176" t="s">
        <v>3928</v>
      </c>
      <c r="F747" s="177" t="s">
        <v>2924</v>
      </c>
      <c r="G747" s="178">
        <v>45741.0</v>
      </c>
      <c r="H747" s="179">
        <f t="shared" si="1"/>
        <v>3</v>
      </c>
      <c r="I747" s="180" t="s">
        <v>3929</v>
      </c>
      <c r="J747" s="178">
        <v>45744.0</v>
      </c>
      <c r="K747" s="175" t="s">
        <v>2758</v>
      </c>
      <c r="L747" s="242"/>
      <c r="M747" s="242"/>
      <c r="N747" s="242"/>
      <c r="O747" s="242"/>
      <c r="P747" s="242"/>
      <c r="Q747" s="242"/>
      <c r="R747" s="242"/>
      <c r="S747" s="242"/>
      <c r="T747" s="242"/>
      <c r="U747" s="242"/>
      <c r="V747" s="242"/>
      <c r="W747" s="242"/>
      <c r="X747" s="242"/>
      <c r="Y747" s="242"/>
      <c r="Z747" s="242"/>
      <c r="AA747" s="242"/>
      <c r="AB747" s="242"/>
      <c r="AC747" s="242"/>
      <c r="AD747" s="242"/>
      <c r="AE747" s="242"/>
      <c r="AF747" s="242"/>
      <c r="AG747" s="242"/>
      <c r="AH747" s="242"/>
      <c r="AI747" s="242"/>
      <c r="AJ747" s="242"/>
      <c r="AK747" s="242"/>
      <c r="AL747" s="242"/>
      <c r="AM747" s="242"/>
      <c r="AN747" s="242"/>
      <c r="AO747" s="242"/>
    </row>
    <row r="748">
      <c r="A748" s="183">
        <v>15371.0</v>
      </c>
      <c r="B748" s="142" t="s">
        <v>1215</v>
      </c>
      <c r="C748" s="168">
        <v>2015.0</v>
      </c>
      <c r="D748" s="142" t="s">
        <v>14</v>
      </c>
      <c r="E748" s="142" t="s">
        <v>28</v>
      </c>
      <c r="F748" s="170" t="s">
        <v>2731</v>
      </c>
      <c r="G748" s="171">
        <v>45742.0</v>
      </c>
      <c r="H748" s="172">
        <f t="shared" si="1"/>
        <v>28</v>
      </c>
      <c r="I748" s="211" t="s">
        <v>3252</v>
      </c>
      <c r="J748" s="268">
        <v>45770.0</v>
      </c>
      <c r="K748" s="169" t="s">
        <v>2758</v>
      </c>
    </row>
    <row r="749">
      <c r="A749" s="181">
        <v>15374.0</v>
      </c>
      <c r="B749" s="175" t="s">
        <v>2927</v>
      </c>
      <c r="C749" s="174">
        <v>2022.0</v>
      </c>
      <c r="D749" s="176" t="s">
        <v>52</v>
      </c>
      <c r="E749" s="176" t="s">
        <v>610</v>
      </c>
      <c r="F749" s="177" t="s">
        <v>2928</v>
      </c>
      <c r="G749" s="178">
        <v>45742.0</v>
      </c>
      <c r="H749" s="179">
        <f t="shared" si="1"/>
        <v>0</v>
      </c>
      <c r="I749" s="180" t="s">
        <v>133</v>
      </c>
      <c r="J749" s="178">
        <v>45742.0</v>
      </c>
      <c r="K749" s="175" t="s">
        <v>2758</v>
      </c>
      <c r="L749" s="242"/>
      <c r="M749" s="242"/>
      <c r="N749" s="242"/>
      <c r="O749" s="242"/>
      <c r="P749" s="242"/>
      <c r="Q749" s="242"/>
      <c r="R749" s="242"/>
      <c r="S749" s="242"/>
      <c r="T749" s="242"/>
      <c r="U749" s="242"/>
      <c r="V749" s="242"/>
      <c r="W749" s="242"/>
      <c r="X749" s="242"/>
      <c r="Y749" s="242"/>
      <c r="Z749" s="242"/>
      <c r="AA749" s="242"/>
      <c r="AB749" s="242"/>
      <c r="AC749" s="242"/>
      <c r="AD749" s="242"/>
      <c r="AE749" s="242"/>
      <c r="AF749" s="242"/>
      <c r="AG749" s="242"/>
      <c r="AH749" s="242"/>
      <c r="AI749" s="242"/>
      <c r="AJ749" s="242"/>
      <c r="AK749" s="242"/>
      <c r="AL749" s="242"/>
      <c r="AM749" s="242"/>
      <c r="AN749" s="242"/>
      <c r="AO749" s="242"/>
    </row>
    <row r="750">
      <c r="A750" s="183">
        <v>15375.0</v>
      </c>
      <c r="B750" s="169" t="s">
        <v>3714</v>
      </c>
      <c r="C750" s="168">
        <v>2015.0</v>
      </c>
      <c r="D750" s="142" t="s">
        <v>52</v>
      </c>
      <c r="E750" s="142" t="s">
        <v>3715</v>
      </c>
      <c r="F750" s="170" t="s">
        <v>125</v>
      </c>
      <c r="G750" s="171">
        <v>45742.0</v>
      </c>
      <c r="H750" s="172">
        <f t="shared" si="1"/>
        <v>1</v>
      </c>
      <c r="I750" s="173" t="s">
        <v>3930</v>
      </c>
      <c r="J750" s="171">
        <v>45743.0</v>
      </c>
      <c r="K750" s="169" t="s">
        <v>2758</v>
      </c>
    </row>
    <row r="751">
      <c r="A751" s="181">
        <v>15378.0</v>
      </c>
      <c r="B751" s="175" t="s">
        <v>3931</v>
      </c>
      <c r="C751" s="174">
        <v>2022.0</v>
      </c>
      <c r="D751" s="176" t="s">
        <v>52</v>
      </c>
      <c r="E751" s="176" t="s">
        <v>805</v>
      </c>
      <c r="F751" s="177" t="s">
        <v>3932</v>
      </c>
      <c r="G751" s="178">
        <v>45742.0</v>
      </c>
      <c r="H751" s="179">
        <f t="shared" si="1"/>
        <v>0</v>
      </c>
      <c r="I751" s="180" t="s">
        <v>30</v>
      </c>
      <c r="J751" s="178">
        <v>45742.0</v>
      </c>
      <c r="K751" s="175" t="s">
        <v>31</v>
      </c>
    </row>
    <row r="752">
      <c r="A752" s="183">
        <v>15379.0</v>
      </c>
      <c r="B752" s="169" t="s">
        <v>2414</v>
      </c>
      <c r="C752" s="168">
        <v>2014.0</v>
      </c>
      <c r="D752" s="142" t="s">
        <v>130</v>
      </c>
      <c r="E752" s="142" t="s">
        <v>805</v>
      </c>
      <c r="F752" s="170" t="s">
        <v>3340</v>
      </c>
      <c r="G752" s="171">
        <v>45742.0</v>
      </c>
      <c r="H752" s="172">
        <f t="shared" si="1"/>
        <v>5</v>
      </c>
      <c r="I752" s="173" t="s">
        <v>3855</v>
      </c>
      <c r="J752" s="171">
        <v>45747.0</v>
      </c>
      <c r="K752" s="169" t="s">
        <v>31</v>
      </c>
      <c r="L752" s="242"/>
      <c r="M752" s="242"/>
      <c r="N752" s="242"/>
      <c r="O752" s="242"/>
      <c r="P752" s="242"/>
      <c r="Q752" s="242"/>
      <c r="R752" s="242"/>
      <c r="S752" s="242"/>
      <c r="T752" s="242"/>
      <c r="U752" s="242"/>
      <c r="V752" s="242"/>
      <c r="W752" s="242"/>
      <c r="X752" s="242"/>
      <c r="Y752" s="242"/>
      <c r="Z752" s="242"/>
      <c r="AA752" s="242"/>
      <c r="AB752" s="242"/>
      <c r="AC752" s="242"/>
      <c r="AD752" s="242"/>
      <c r="AE752" s="242"/>
      <c r="AF752" s="242"/>
      <c r="AG752" s="242"/>
      <c r="AH752" s="242"/>
      <c r="AI752" s="242"/>
      <c r="AJ752" s="242"/>
      <c r="AK752" s="242"/>
      <c r="AL752" s="242"/>
      <c r="AM752" s="242"/>
      <c r="AN752" s="242"/>
      <c r="AO752" s="242"/>
    </row>
    <row r="753">
      <c r="A753" s="181">
        <v>15379.0</v>
      </c>
      <c r="B753" s="175" t="s">
        <v>2414</v>
      </c>
      <c r="C753" s="174">
        <v>2015.0</v>
      </c>
      <c r="D753" s="176" t="s">
        <v>130</v>
      </c>
      <c r="E753" s="176" t="s">
        <v>125</v>
      </c>
      <c r="F753" s="177" t="s">
        <v>3340</v>
      </c>
      <c r="G753" s="178">
        <v>45742.0</v>
      </c>
      <c r="H753" s="179">
        <f t="shared" si="1"/>
        <v>5</v>
      </c>
      <c r="I753" s="180" t="s">
        <v>3933</v>
      </c>
      <c r="J753" s="178">
        <v>45747.0</v>
      </c>
      <c r="K753" s="175" t="s">
        <v>31</v>
      </c>
      <c r="L753" s="242"/>
      <c r="M753" s="242"/>
      <c r="N753" s="242"/>
      <c r="O753" s="242"/>
      <c r="P753" s="242"/>
      <c r="Q753" s="242"/>
      <c r="R753" s="242"/>
      <c r="S753" s="242"/>
      <c r="T753" s="242"/>
      <c r="U753" s="242"/>
      <c r="V753" s="242"/>
      <c r="W753" s="242"/>
      <c r="X753" s="242"/>
      <c r="Y753" s="242"/>
      <c r="Z753" s="242"/>
      <c r="AA753" s="242"/>
      <c r="AB753" s="242"/>
      <c r="AC753" s="242"/>
      <c r="AD753" s="242"/>
      <c r="AE753" s="242"/>
      <c r="AF753" s="242"/>
      <c r="AG753" s="242"/>
      <c r="AH753" s="242"/>
      <c r="AI753" s="242"/>
      <c r="AJ753" s="242"/>
      <c r="AK753" s="242"/>
      <c r="AL753" s="242"/>
      <c r="AM753" s="242"/>
      <c r="AN753" s="242"/>
      <c r="AO753" s="242"/>
    </row>
    <row r="754">
      <c r="A754" s="183">
        <v>15384.0</v>
      </c>
      <c r="B754" s="169" t="s">
        <v>854</v>
      </c>
      <c r="C754" s="168">
        <v>2022.0</v>
      </c>
      <c r="D754" s="142" t="s">
        <v>52</v>
      </c>
      <c r="E754" s="142" t="s">
        <v>855</v>
      </c>
      <c r="F754" s="170" t="s">
        <v>856</v>
      </c>
      <c r="G754" s="171">
        <v>45743.0</v>
      </c>
      <c r="H754" s="172">
        <f t="shared" si="1"/>
        <v>0</v>
      </c>
      <c r="I754" s="173" t="s">
        <v>3934</v>
      </c>
      <c r="J754" s="171">
        <v>45743.0</v>
      </c>
      <c r="K754" s="169" t="s">
        <v>2758</v>
      </c>
    </row>
    <row r="755">
      <c r="A755" s="181">
        <v>15389.0</v>
      </c>
      <c r="B755" s="176" t="s">
        <v>450</v>
      </c>
      <c r="C755" s="174">
        <v>2020.0</v>
      </c>
      <c r="D755" s="176" t="s">
        <v>451</v>
      </c>
      <c r="E755" s="176" t="s">
        <v>2684</v>
      </c>
      <c r="F755" s="177" t="s">
        <v>3935</v>
      </c>
      <c r="G755" s="178">
        <v>45743.0</v>
      </c>
      <c r="H755" s="179">
        <f t="shared" si="1"/>
        <v>19</v>
      </c>
      <c r="I755" s="182" t="s">
        <v>3252</v>
      </c>
      <c r="J755" s="269">
        <v>45762.0</v>
      </c>
      <c r="K755" s="175" t="s">
        <v>31</v>
      </c>
    </row>
    <row r="756">
      <c r="A756" s="183">
        <v>15389.0</v>
      </c>
      <c r="B756" s="169" t="s">
        <v>450</v>
      </c>
      <c r="C756" s="168">
        <v>2019.0</v>
      </c>
      <c r="D756" s="142" t="s">
        <v>451</v>
      </c>
      <c r="E756" s="142" t="s">
        <v>125</v>
      </c>
      <c r="F756" s="170" t="s">
        <v>1304</v>
      </c>
      <c r="G756" s="171">
        <v>45869.0</v>
      </c>
      <c r="H756" s="172">
        <f t="shared" si="1"/>
        <v>5</v>
      </c>
      <c r="I756" s="173" t="s">
        <v>3936</v>
      </c>
      <c r="J756" s="171">
        <v>45874.0</v>
      </c>
      <c r="K756" s="169" t="s">
        <v>2758</v>
      </c>
    </row>
    <row r="757">
      <c r="A757" s="181">
        <v>15407.0</v>
      </c>
      <c r="B757" s="175" t="s">
        <v>3937</v>
      </c>
      <c r="C757" s="174">
        <v>2022.0</v>
      </c>
      <c r="D757" s="176" t="s">
        <v>14</v>
      </c>
      <c r="E757" s="176" t="s">
        <v>70</v>
      </c>
      <c r="F757" s="177" t="s">
        <v>3938</v>
      </c>
      <c r="G757" s="178">
        <v>45744.0</v>
      </c>
      <c r="H757" s="179">
        <f t="shared" si="1"/>
        <v>48</v>
      </c>
      <c r="I757" s="180" t="s">
        <v>133</v>
      </c>
      <c r="J757" s="178">
        <v>45792.0</v>
      </c>
      <c r="K757" s="175" t="s">
        <v>2758</v>
      </c>
    </row>
    <row r="758">
      <c r="A758" s="183">
        <v>15413.0</v>
      </c>
      <c r="B758" s="169" t="s">
        <v>965</v>
      </c>
      <c r="C758" s="168">
        <v>2022.0</v>
      </c>
      <c r="D758" s="142" t="s">
        <v>52</v>
      </c>
      <c r="E758" s="142" t="s">
        <v>2802</v>
      </c>
      <c r="F758" s="170" t="s">
        <v>966</v>
      </c>
      <c r="G758" s="171">
        <v>45744.0</v>
      </c>
      <c r="H758" s="172">
        <f t="shared" si="1"/>
        <v>0</v>
      </c>
      <c r="I758" s="173" t="s">
        <v>3062</v>
      </c>
      <c r="J758" s="171">
        <v>45744.0</v>
      </c>
      <c r="K758" s="169" t="s">
        <v>2758</v>
      </c>
    </row>
    <row r="759">
      <c r="A759" s="249">
        <v>15415.0</v>
      </c>
      <c r="B759" s="250" t="s">
        <v>219</v>
      </c>
      <c r="C759" s="251">
        <v>2018.0</v>
      </c>
      <c r="D759" s="273" t="s">
        <v>3939</v>
      </c>
      <c r="E759" s="250" t="s">
        <v>3940</v>
      </c>
      <c r="F759" s="264" t="s">
        <v>221</v>
      </c>
      <c r="G759" s="252">
        <v>45744.0</v>
      </c>
      <c r="H759" s="179">
        <f t="shared" si="1"/>
        <v>11</v>
      </c>
      <c r="I759" s="211" t="s">
        <v>3502</v>
      </c>
      <c r="J759" s="269">
        <v>45755.0</v>
      </c>
      <c r="K759" s="175" t="s">
        <v>2758</v>
      </c>
    </row>
    <row r="760">
      <c r="A760" s="183">
        <v>15417.0</v>
      </c>
      <c r="B760" s="169" t="s">
        <v>3941</v>
      </c>
      <c r="C760" s="168">
        <v>2014.0</v>
      </c>
      <c r="D760" s="142" t="s">
        <v>105</v>
      </c>
      <c r="E760" s="142" t="s">
        <v>125</v>
      </c>
      <c r="F760" s="170" t="s">
        <v>3942</v>
      </c>
      <c r="G760" s="171">
        <v>45750.0</v>
      </c>
      <c r="H760" s="172">
        <f t="shared" si="1"/>
        <v>0</v>
      </c>
      <c r="I760" s="173" t="s">
        <v>3943</v>
      </c>
      <c r="J760" s="171">
        <v>45750.0</v>
      </c>
      <c r="K760" s="169" t="s">
        <v>2758</v>
      </c>
      <c r="L760" s="298"/>
      <c r="M760" s="298"/>
      <c r="N760" s="298"/>
      <c r="O760" s="298"/>
      <c r="P760" s="298"/>
      <c r="Q760" s="298"/>
      <c r="R760" s="298"/>
      <c r="S760" s="298"/>
      <c r="T760" s="298"/>
      <c r="U760" s="298"/>
      <c r="V760" s="298"/>
      <c r="W760" s="298"/>
      <c r="X760" s="298"/>
      <c r="Y760" s="298"/>
      <c r="Z760" s="298"/>
      <c r="AA760" s="298"/>
      <c r="AB760" s="298"/>
      <c r="AC760" s="298"/>
      <c r="AD760" s="298"/>
      <c r="AE760" s="298"/>
      <c r="AF760" s="298"/>
      <c r="AG760" s="298"/>
      <c r="AH760" s="298"/>
      <c r="AI760" s="298"/>
      <c r="AJ760" s="298"/>
      <c r="AK760" s="298"/>
      <c r="AL760" s="298"/>
      <c r="AM760" s="298"/>
      <c r="AN760" s="298"/>
      <c r="AO760" s="298"/>
    </row>
    <row r="761">
      <c r="A761" s="181">
        <v>15418.0</v>
      </c>
      <c r="B761" s="175" t="s">
        <v>3087</v>
      </c>
      <c r="C761" s="174">
        <v>2022.0</v>
      </c>
      <c r="D761" s="176" t="s">
        <v>52</v>
      </c>
      <c r="E761" s="176" t="s">
        <v>855</v>
      </c>
      <c r="F761" s="177" t="s">
        <v>3088</v>
      </c>
      <c r="G761" s="178">
        <v>45747.0</v>
      </c>
      <c r="H761" s="179">
        <f t="shared" si="1"/>
        <v>0</v>
      </c>
      <c r="I761" s="180" t="s">
        <v>533</v>
      </c>
      <c r="J761" s="178">
        <v>45747.0</v>
      </c>
      <c r="K761" s="175" t="s">
        <v>2758</v>
      </c>
      <c r="L761" s="242"/>
      <c r="M761" s="242"/>
      <c r="N761" s="242"/>
      <c r="O761" s="242"/>
      <c r="P761" s="242"/>
      <c r="Q761" s="242"/>
      <c r="R761" s="242"/>
      <c r="S761" s="242"/>
      <c r="T761" s="242"/>
      <c r="U761" s="242"/>
      <c r="V761" s="242"/>
      <c r="W761" s="242"/>
      <c r="X761" s="242"/>
      <c r="Y761" s="242"/>
      <c r="Z761" s="242"/>
      <c r="AA761" s="242"/>
      <c r="AB761" s="242"/>
      <c r="AC761" s="242"/>
      <c r="AD761" s="242"/>
      <c r="AE761" s="242"/>
      <c r="AF761" s="242"/>
      <c r="AG761" s="242"/>
      <c r="AH761" s="242"/>
      <c r="AI761" s="242"/>
      <c r="AJ761" s="242"/>
      <c r="AK761" s="242"/>
      <c r="AL761" s="242"/>
      <c r="AM761" s="242"/>
      <c r="AN761" s="242"/>
      <c r="AO761" s="242"/>
    </row>
    <row r="762">
      <c r="A762" s="183">
        <v>15419.0</v>
      </c>
      <c r="B762" s="169" t="s">
        <v>498</v>
      </c>
      <c r="C762" s="168">
        <v>2022.0</v>
      </c>
      <c r="D762" s="142" t="s">
        <v>52</v>
      </c>
      <c r="E762" s="142" t="s">
        <v>99</v>
      </c>
      <c r="F762" s="170" t="s">
        <v>499</v>
      </c>
      <c r="G762" s="171">
        <v>45747.0</v>
      </c>
      <c r="H762" s="172">
        <f t="shared" si="1"/>
        <v>0</v>
      </c>
      <c r="I762" s="173" t="s">
        <v>3944</v>
      </c>
      <c r="J762" s="171">
        <v>45747.0</v>
      </c>
      <c r="K762" s="169" t="s">
        <v>2758</v>
      </c>
    </row>
    <row r="763">
      <c r="A763" s="181">
        <v>15424.0</v>
      </c>
      <c r="B763" s="176" t="s">
        <v>3945</v>
      </c>
      <c r="C763" s="174">
        <v>2014.0</v>
      </c>
      <c r="D763" s="176" t="s">
        <v>52</v>
      </c>
      <c r="E763" s="176" t="s">
        <v>337</v>
      </c>
      <c r="F763" s="177" t="s">
        <v>3946</v>
      </c>
      <c r="G763" s="178">
        <v>45747.0</v>
      </c>
      <c r="H763" s="179">
        <f t="shared" si="1"/>
        <v>17</v>
      </c>
      <c r="I763" s="299" t="s">
        <v>3947</v>
      </c>
      <c r="J763" s="178">
        <v>45764.0</v>
      </c>
      <c r="K763" s="175" t="s">
        <v>2758</v>
      </c>
    </row>
    <row r="764">
      <c r="A764" s="183">
        <v>15425.0</v>
      </c>
      <c r="B764" s="142" t="s">
        <v>3948</v>
      </c>
      <c r="C764" s="168">
        <v>2014.0</v>
      </c>
      <c r="D764" s="142" t="s">
        <v>148</v>
      </c>
      <c r="E764" s="142" t="s">
        <v>630</v>
      </c>
      <c r="F764" s="170" t="s">
        <v>3949</v>
      </c>
      <c r="G764" s="171">
        <v>45747.0</v>
      </c>
      <c r="H764" s="172">
        <f t="shared" si="1"/>
        <v>44</v>
      </c>
      <c r="I764" s="211" t="s">
        <v>3950</v>
      </c>
      <c r="J764" s="268">
        <v>45791.0</v>
      </c>
      <c r="K764" s="169" t="s">
        <v>31</v>
      </c>
    </row>
    <row r="765">
      <c r="A765" s="181">
        <v>15431.0</v>
      </c>
      <c r="B765" s="175" t="s">
        <v>3951</v>
      </c>
      <c r="C765" s="174">
        <v>2020.0</v>
      </c>
      <c r="D765" s="176" t="s">
        <v>14</v>
      </c>
      <c r="E765" s="176" t="s">
        <v>855</v>
      </c>
      <c r="F765" s="177" t="s">
        <v>3952</v>
      </c>
      <c r="G765" s="178">
        <v>45748.0</v>
      </c>
      <c r="H765" s="179">
        <f t="shared" si="1"/>
        <v>0</v>
      </c>
      <c r="I765" s="180" t="s">
        <v>3097</v>
      </c>
      <c r="J765" s="178">
        <v>45748.0</v>
      </c>
      <c r="K765" s="175" t="s">
        <v>2758</v>
      </c>
    </row>
    <row r="766">
      <c r="A766" s="183">
        <v>15433.0</v>
      </c>
      <c r="B766" s="169" t="s">
        <v>1126</v>
      </c>
      <c r="C766" s="168">
        <v>2022.0</v>
      </c>
      <c r="D766" s="142" t="s">
        <v>52</v>
      </c>
      <c r="E766" s="142" t="s">
        <v>125</v>
      </c>
      <c r="F766" s="170" t="s">
        <v>1127</v>
      </c>
      <c r="G766" s="171">
        <v>45748.0</v>
      </c>
      <c r="H766" s="172">
        <f t="shared" si="1"/>
        <v>0</v>
      </c>
      <c r="I766" s="173" t="s">
        <v>3953</v>
      </c>
      <c r="J766" s="171">
        <v>45748.0</v>
      </c>
      <c r="K766" s="169" t="s">
        <v>2758</v>
      </c>
    </row>
    <row r="767">
      <c r="A767" s="181">
        <v>15437.0</v>
      </c>
      <c r="B767" s="176" t="s">
        <v>3126</v>
      </c>
      <c r="C767" s="174">
        <v>2018.0</v>
      </c>
      <c r="D767" s="176" t="s">
        <v>14</v>
      </c>
      <c r="E767" s="176" t="s">
        <v>855</v>
      </c>
      <c r="F767" s="177" t="s">
        <v>3127</v>
      </c>
      <c r="G767" s="178">
        <v>45748.0</v>
      </c>
      <c r="H767" s="179">
        <f t="shared" si="1"/>
        <v>28</v>
      </c>
      <c r="I767" s="182" t="s">
        <v>3859</v>
      </c>
      <c r="J767" s="269">
        <v>45776.0</v>
      </c>
      <c r="K767" s="175" t="s">
        <v>2758</v>
      </c>
    </row>
    <row r="768">
      <c r="A768" s="183">
        <v>15446.0</v>
      </c>
      <c r="B768" s="169" t="s">
        <v>3954</v>
      </c>
      <c r="C768" s="168">
        <v>2015.0</v>
      </c>
      <c r="D768" s="142" t="s">
        <v>206</v>
      </c>
      <c r="E768" s="142" t="s">
        <v>725</v>
      </c>
      <c r="F768" s="170" t="s">
        <v>1558</v>
      </c>
      <c r="G768" s="171">
        <v>45749.0</v>
      </c>
      <c r="H768" s="172">
        <f t="shared" si="1"/>
        <v>0</v>
      </c>
      <c r="I768" s="173" t="s">
        <v>2963</v>
      </c>
      <c r="J768" s="171">
        <v>45749.0</v>
      </c>
      <c r="K768" s="169" t="s">
        <v>2758</v>
      </c>
    </row>
    <row r="769">
      <c r="A769" s="181">
        <v>15447.0</v>
      </c>
      <c r="B769" s="176" t="s">
        <v>3236</v>
      </c>
      <c r="C769" s="174">
        <v>2020.0</v>
      </c>
      <c r="D769" s="176" t="s">
        <v>14</v>
      </c>
      <c r="E769" s="176" t="s">
        <v>855</v>
      </c>
      <c r="F769" s="177" t="s">
        <v>3237</v>
      </c>
      <c r="G769" s="178">
        <v>45749.0</v>
      </c>
      <c r="H769" s="179">
        <f t="shared" si="1"/>
        <v>13</v>
      </c>
      <c r="I769" s="182" t="s">
        <v>3955</v>
      </c>
      <c r="J769" s="178">
        <v>45762.0</v>
      </c>
      <c r="K769" s="175" t="s">
        <v>84</v>
      </c>
    </row>
    <row r="770">
      <c r="A770" s="183">
        <v>15449.0</v>
      </c>
      <c r="B770" s="169" t="s">
        <v>609</v>
      </c>
      <c r="C770" s="168">
        <v>2022.0</v>
      </c>
      <c r="D770" s="142" t="s">
        <v>52</v>
      </c>
      <c r="E770" s="142" t="s">
        <v>610</v>
      </c>
      <c r="F770" s="300">
        <v>15208.0</v>
      </c>
      <c r="G770" s="171">
        <v>45750.0</v>
      </c>
      <c r="H770" s="172">
        <f t="shared" si="1"/>
        <v>5</v>
      </c>
      <c r="I770" s="173" t="s">
        <v>3956</v>
      </c>
      <c r="J770" s="171">
        <v>45755.0</v>
      </c>
      <c r="K770" s="169" t="s">
        <v>2758</v>
      </c>
    </row>
    <row r="771">
      <c r="A771" s="181">
        <v>15454.0</v>
      </c>
      <c r="B771" s="175" t="s">
        <v>2502</v>
      </c>
      <c r="C771" s="174">
        <v>2020.0</v>
      </c>
      <c r="D771" s="176" t="s">
        <v>14</v>
      </c>
      <c r="E771" s="176" t="s">
        <v>912</v>
      </c>
      <c r="F771" s="177" t="s">
        <v>2503</v>
      </c>
      <c r="G771" s="178">
        <v>45750.0</v>
      </c>
      <c r="H771" s="179">
        <f t="shared" si="1"/>
        <v>0</v>
      </c>
      <c r="I771" s="180" t="s">
        <v>857</v>
      </c>
      <c r="J771" s="178">
        <v>45750.0</v>
      </c>
      <c r="K771" s="175" t="s">
        <v>2758</v>
      </c>
    </row>
    <row r="772">
      <c r="A772" s="183">
        <v>15456.0</v>
      </c>
      <c r="B772" s="169" t="s">
        <v>3957</v>
      </c>
      <c r="C772" s="168">
        <v>2015.0</v>
      </c>
      <c r="D772" s="142" t="s">
        <v>130</v>
      </c>
      <c r="E772" s="142" t="s">
        <v>106</v>
      </c>
      <c r="F772" s="170" t="s">
        <v>3958</v>
      </c>
      <c r="G772" s="171">
        <v>45750.0</v>
      </c>
      <c r="H772" s="172">
        <f t="shared" si="1"/>
        <v>0</v>
      </c>
      <c r="I772" s="173" t="s">
        <v>3959</v>
      </c>
      <c r="J772" s="171">
        <v>45750.0</v>
      </c>
      <c r="K772" s="169" t="s">
        <v>2758</v>
      </c>
    </row>
    <row r="773">
      <c r="A773" s="181">
        <v>15459.0</v>
      </c>
      <c r="B773" s="175" t="s">
        <v>3960</v>
      </c>
      <c r="C773" s="174">
        <v>2014.0</v>
      </c>
      <c r="D773" s="176" t="s">
        <v>130</v>
      </c>
      <c r="E773" s="176" t="s">
        <v>99</v>
      </c>
      <c r="F773" s="177" t="s">
        <v>3961</v>
      </c>
      <c r="G773" s="178">
        <v>45750.0</v>
      </c>
      <c r="H773" s="179">
        <f t="shared" si="1"/>
        <v>0</v>
      </c>
      <c r="I773" s="180" t="s">
        <v>3962</v>
      </c>
      <c r="J773" s="178">
        <v>45750.0</v>
      </c>
      <c r="K773" s="175" t="s">
        <v>2758</v>
      </c>
    </row>
    <row r="774">
      <c r="A774" s="183">
        <v>15465.0</v>
      </c>
      <c r="B774" s="169" t="s">
        <v>954</v>
      </c>
      <c r="C774" s="168">
        <v>2015.0</v>
      </c>
      <c r="D774" s="142" t="s">
        <v>52</v>
      </c>
      <c r="E774" s="142" t="s">
        <v>2802</v>
      </c>
      <c r="F774" s="170" t="s">
        <v>3963</v>
      </c>
      <c r="G774" s="171">
        <v>45750.0</v>
      </c>
      <c r="H774" s="172">
        <f t="shared" si="1"/>
        <v>0</v>
      </c>
      <c r="I774" s="173" t="s">
        <v>857</v>
      </c>
      <c r="J774" s="171">
        <v>45750.0</v>
      </c>
      <c r="K774" s="169" t="s">
        <v>2758</v>
      </c>
    </row>
    <row r="775" ht="15.75" customHeight="1">
      <c r="A775" s="181">
        <v>15466.0</v>
      </c>
      <c r="B775" s="175" t="s">
        <v>341</v>
      </c>
      <c r="C775" s="174">
        <v>2022.0</v>
      </c>
      <c r="D775" s="176" t="s">
        <v>52</v>
      </c>
      <c r="E775" s="176" t="s">
        <v>82</v>
      </c>
      <c r="F775" s="177" t="s">
        <v>342</v>
      </c>
      <c r="G775" s="178">
        <v>45751.0</v>
      </c>
      <c r="H775" s="179">
        <f t="shared" si="1"/>
        <v>0</v>
      </c>
      <c r="I775" s="180" t="s">
        <v>579</v>
      </c>
      <c r="J775" s="178">
        <v>45751.0</v>
      </c>
      <c r="K775" s="175" t="s">
        <v>2758</v>
      </c>
    </row>
    <row r="776" ht="15.0" customHeight="1">
      <c r="A776" s="183">
        <v>15469.0</v>
      </c>
      <c r="B776" s="169" t="s">
        <v>2256</v>
      </c>
      <c r="C776" s="168">
        <v>2020.0</v>
      </c>
      <c r="D776" s="142" t="s">
        <v>197</v>
      </c>
      <c r="E776" s="142" t="s">
        <v>3964</v>
      </c>
      <c r="F776" s="170" t="s">
        <v>2257</v>
      </c>
      <c r="G776" s="171">
        <v>45751.0</v>
      </c>
      <c r="H776" s="172">
        <f t="shared" si="1"/>
        <v>0</v>
      </c>
      <c r="I776" s="173" t="s">
        <v>3965</v>
      </c>
      <c r="J776" s="171">
        <v>45751.0</v>
      </c>
      <c r="K776" s="169" t="s">
        <v>2758</v>
      </c>
    </row>
    <row r="777">
      <c r="A777" s="181">
        <v>15472.0</v>
      </c>
      <c r="B777" s="175" t="s">
        <v>3419</v>
      </c>
      <c r="C777" s="174">
        <v>2015.0</v>
      </c>
      <c r="D777" s="176" t="s">
        <v>52</v>
      </c>
      <c r="E777" s="176" t="s">
        <v>3966</v>
      </c>
      <c r="F777" s="177" t="s">
        <v>1616</v>
      </c>
      <c r="G777" s="178">
        <v>45751.0</v>
      </c>
      <c r="H777" s="179">
        <f t="shared" si="1"/>
        <v>0</v>
      </c>
      <c r="I777" s="180" t="s">
        <v>3094</v>
      </c>
      <c r="J777" s="178">
        <v>45751.0</v>
      </c>
      <c r="K777" s="175" t="s">
        <v>2758</v>
      </c>
    </row>
    <row r="778">
      <c r="A778" s="249">
        <v>15473.0</v>
      </c>
      <c r="B778" s="250" t="s">
        <v>3967</v>
      </c>
      <c r="C778" s="251">
        <v>2022.0</v>
      </c>
      <c r="D778" s="273" t="s">
        <v>3968</v>
      </c>
      <c r="E778" s="250" t="s">
        <v>2746</v>
      </c>
      <c r="F778" s="264" t="s">
        <v>3969</v>
      </c>
      <c r="G778" s="252">
        <v>45751.0</v>
      </c>
      <c r="H778" s="172">
        <f t="shared" si="1"/>
        <v>4</v>
      </c>
      <c r="I778" s="211" t="s">
        <v>3970</v>
      </c>
      <c r="J778" s="268">
        <v>45755.0</v>
      </c>
      <c r="K778" s="169" t="s">
        <v>2758</v>
      </c>
    </row>
    <row r="779">
      <c r="A779" s="181">
        <v>15479.0</v>
      </c>
      <c r="B779" s="175" t="s">
        <v>3971</v>
      </c>
      <c r="C779" s="174">
        <v>2011.0</v>
      </c>
      <c r="D779" s="176" t="s">
        <v>367</v>
      </c>
      <c r="E779" s="176" t="s">
        <v>1110</v>
      </c>
      <c r="F779" s="301">
        <v>15134.0</v>
      </c>
      <c r="G779" s="178">
        <v>45754.0</v>
      </c>
      <c r="H779" s="179">
        <f t="shared" si="1"/>
        <v>0</v>
      </c>
      <c r="I779" s="180" t="s">
        <v>2265</v>
      </c>
      <c r="J779" s="178">
        <v>45754.0</v>
      </c>
      <c r="K779" s="175" t="s">
        <v>2758</v>
      </c>
    </row>
    <row r="780">
      <c r="A780" s="183">
        <v>15491.0</v>
      </c>
      <c r="B780" s="169" t="s">
        <v>3972</v>
      </c>
      <c r="C780" s="168">
        <v>2022.0</v>
      </c>
      <c r="D780" s="142" t="s">
        <v>197</v>
      </c>
      <c r="E780" s="142" t="s">
        <v>855</v>
      </c>
      <c r="F780" s="170" t="s">
        <v>3973</v>
      </c>
      <c r="G780" s="171">
        <v>45755.0</v>
      </c>
      <c r="H780" s="172">
        <f t="shared" si="1"/>
        <v>1</v>
      </c>
      <c r="I780" s="173" t="s">
        <v>3974</v>
      </c>
      <c r="J780" s="171">
        <v>45756.0</v>
      </c>
      <c r="K780" s="169" t="s">
        <v>2758</v>
      </c>
    </row>
    <row r="781">
      <c r="A781" s="181">
        <v>15492.0</v>
      </c>
      <c r="B781" s="175" t="s">
        <v>2440</v>
      </c>
      <c r="C781" s="174">
        <v>2022.0</v>
      </c>
      <c r="D781" s="176" t="s">
        <v>197</v>
      </c>
      <c r="E781" s="176" t="s">
        <v>855</v>
      </c>
      <c r="F781" s="177" t="s">
        <v>2441</v>
      </c>
      <c r="G781" s="178">
        <v>45755.0</v>
      </c>
      <c r="H781" s="179">
        <f t="shared" si="1"/>
        <v>0</v>
      </c>
      <c r="I781" s="180" t="s">
        <v>3089</v>
      </c>
      <c r="J781" s="178">
        <v>45755.0</v>
      </c>
      <c r="K781" s="175" t="s">
        <v>37</v>
      </c>
    </row>
    <row r="782">
      <c r="A782" s="183">
        <v>15500.0</v>
      </c>
      <c r="B782" s="169" t="s">
        <v>417</v>
      </c>
      <c r="C782" s="168">
        <v>2022.0</v>
      </c>
      <c r="D782" s="142" t="s">
        <v>3975</v>
      </c>
      <c r="E782" s="142" t="s">
        <v>418</v>
      </c>
      <c r="F782" s="170" t="s">
        <v>419</v>
      </c>
      <c r="G782" s="171">
        <v>45755.0</v>
      </c>
      <c r="H782" s="172">
        <f t="shared" si="1"/>
        <v>0</v>
      </c>
      <c r="I782" s="173" t="s">
        <v>3976</v>
      </c>
      <c r="J782" s="171">
        <v>45755.0</v>
      </c>
      <c r="K782" s="169" t="s">
        <v>2758</v>
      </c>
    </row>
    <row r="783">
      <c r="A783" s="181">
        <v>15503.0</v>
      </c>
      <c r="B783" s="175" t="s">
        <v>3365</v>
      </c>
      <c r="C783" s="174">
        <v>2020.0</v>
      </c>
      <c r="D783" s="176" t="s">
        <v>14</v>
      </c>
      <c r="E783" s="176" t="s">
        <v>2788</v>
      </c>
      <c r="F783" s="177" t="s">
        <v>3366</v>
      </c>
      <c r="G783" s="178">
        <v>45755.0</v>
      </c>
      <c r="H783" s="179">
        <f t="shared" si="1"/>
        <v>8</v>
      </c>
      <c r="I783" s="180" t="s">
        <v>3977</v>
      </c>
      <c r="J783" s="178">
        <v>45763.0</v>
      </c>
      <c r="K783" s="175" t="s">
        <v>2758</v>
      </c>
    </row>
    <row r="784">
      <c r="A784" s="183">
        <v>15504.0</v>
      </c>
      <c r="B784" s="250" t="s">
        <v>219</v>
      </c>
      <c r="C784" s="251">
        <v>2018.0</v>
      </c>
      <c r="D784" s="250" t="s">
        <v>3854</v>
      </c>
      <c r="E784" s="250" t="s">
        <v>3940</v>
      </c>
      <c r="F784" s="264" t="s">
        <v>221</v>
      </c>
      <c r="G784" s="171">
        <v>45756.0</v>
      </c>
      <c r="H784" s="172">
        <f t="shared" si="1"/>
        <v>0</v>
      </c>
      <c r="I784" s="173" t="s">
        <v>3978</v>
      </c>
      <c r="J784" s="171">
        <v>45756.0</v>
      </c>
      <c r="K784" s="169" t="s">
        <v>2758</v>
      </c>
    </row>
    <row r="785">
      <c r="A785" s="181">
        <v>15506.0</v>
      </c>
      <c r="B785" s="176" t="s">
        <v>1919</v>
      </c>
      <c r="C785" s="174">
        <v>2015.0</v>
      </c>
      <c r="D785" s="176" t="s">
        <v>14</v>
      </c>
      <c r="E785" s="176" t="s">
        <v>725</v>
      </c>
      <c r="F785" s="177" t="s">
        <v>1920</v>
      </c>
      <c r="G785" s="178">
        <v>45756.0</v>
      </c>
      <c r="H785" s="179">
        <f t="shared" si="1"/>
        <v>29</v>
      </c>
      <c r="I785" s="182" t="s">
        <v>3252</v>
      </c>
      <c r="J785" s="269">
        <v>45785.0</v>
      </c>
      <c r="K785" s="175" t="s">
        <v>31</v>
      </c>
    </row>
    <row r="786">
      <c r="A786" s="183">
        <v>15509.0</v>
      </c>
      <c r="B786" s="169" t="s">
        <v>494</v>
      </c>
      <c r="C786" s="168">
        <v>2022.0</v>
      </c>
      <c r="D786" s="142" t="s">
        <v>52</v>
      </c>
      <c r="E786" s="142" t="s">
        <v>2362</v>
      </c>
      <c r="F786" s="241">
        <v>45931.0</v>
      </c>
      <c r="G786" s="171">
        <v>45757.0</v>
      </c>
      <c r="H786" s="172">
        <f t="shared" si="1"/>
        <v>0</v>
      </c>
      <c r="I786" s="173" t="s">
        <v>3979</v>
      </c>
      <c r="J786" s="171">
        <v>45757.0</v>
      </c>
      <c r="K786" s="169" t="s">
        <v>2758</v>
      </c>
    </row>
    <row r="787">
      <c r="A787" s="181">
        <v>15512.0</v>
      </c>
      <c r="B787" s="176" t="s">
        <v>609</v>
      </c>
      <c r="C787" s="174">
        <v>2022.0</v>
      </c>
      <c r="D787" s="176" t="s">
        <v>3980</v>
      </c>
      <c r="E787" s="176" t="s">
        <v>610</v>
      </c>
      <c r="F787" s="177" t="s">
        <v>611</v>
      </c>
      <c r="G787" s="178">
        <v>45757.0</v>
      </c>
      <c r="H787" s="179">
        <f t="shared" si="1"/>
        <v>5</v>
      </c>
      <c r="I787" s="182" t="s">
        <v>3981</v>
      </c>
      <c r="J787" s="178">
        <v>45762.0</v>
      </c>
      <c r="K787" s="175" t="s">
        <v>2758</v>
      </c>
    </row>
    <row r="788">
      <c r="A788" s="183">
        <v>15522.0</v>
      </c>
      <c r="B788" s="169" t="s">
        <v>3982</v>
      </c>
      <c r="C788" s="168">
        <v>2010.0</v>
      </c>
      <c r="D788" s="142" t="s">
        <v>367</v>
      </c>
      <c r="E788" s="142" t="s">
        <v>725</v>
      </c>
      <c r="F788" s="170" t="s">
        <v>3983</v>
      </c>
      <c r="G788" s="171">
        <v>45757.0</v>
      </c>
      <c r="H788" s="172">
        <f t="shared" si="1"/>
        <v>12</v>
      </c>
      <c r="I788" s="173" t="s">
        <v>3984</v>
      </c>
      <c r="J788" s="171">
        <v>45769.0</v>
      </c>
      <c r="K788" s="169" t="s">
        <v>2758</v>
      </c>
      <c r="L788" s="242"/>
      <c r="M788" s="242"/>
      <c r="N788" s="242"/>
      <c r="O788" s="242"/>
      <c r="P788" s="242"/>
      <c r="Q788" s="242"/>
      <c r="R788" s="242"/>
      <c r="S788" s="242"/>
      <c r="T788" s="242"/>
      <c r="U788" s="242"/>
      <c r="V788" s="242"/>
      <c r="W788" s="242"/>
      <c r="X788" s="242"/>
      <c r="Y788" s="242"/>
      <c r="Z788" s="242"/>
      <c r="AA788" s="242"/>
      <c r="AB788" s="242"/>
      <c r="AC788" s="242"/>
      <c r="AD788" s="242"/>
      <c r="AE788" s="242"/>
      <c r="AF788" s="242"/>
      <c r="AG788" s="242"/>
      <c r="AH788" s="242"/>
      <c r="AI788" s="242"/>
      <c r="AJ788" s="242"/>
      <c r="AK788" s="242"/>
      <c r="AL788" s="242"/>
      <c r="AM788" s="242"/>
      <c r="AN788" s="242"/>
      <c r="AO788" s="242"/>
    </row>
    <row r="789">
      <c r="A789" s="181">
        <v>15523.0</v>
      </c>
      <c r="B789" s="176" t="s">
        <v>2553</v>
      </c>
      <c r="C789" s="174">
        <v>2018.0</v>
      </c>
      <c r="D789" s="176" t="s">
        <v>14</v>
      </c>
      <c r="E789" s="176" t="s">
        <v>277</v>
      </c>
      <c r="F789" s="177" t="s">
        <v>2554</v>
      </c>
      <c r="G789" s="178">
        <v>45757.0</v>
      </c>
      <c r="H789" s="179">
        <f t="shared" si="1"/>
        <v>13</v>
      </c>
      <c r="I789" s="182" t="s">
        <v>3252</v>
      </c>
      <c r="J789" s="269">
        <v>45770.0</v>
      </c>
      <c r="K789" s="175" t="s">
        <v>2758</v>
      </c>
    </row>
    <row r="790">
      <c r="A790" s="183">
        <v>15524.0</v>
      </c>
      <c r="B790" s="142" t="s">
        <v>2156</v>
      </c>
      <c r="C790" s="168">
        <v>2014.0</v>
      </c>
      <c r="D790" s="142" t="s">
        <v>130</v>
      </c>
      <c r="E790" s="142" t="s">
        <v>3985</v>
      </c>
      <c r="F790" s="170" t="s">
        <v>2158</v>
      </c>
      <c r="G790" s="171">
        <v>45757.0</v>
      </c>
      <c r="H790" s="172">
        <f t="shared" si="1"/>
        <v>27</v>
      </c>
      <c r="I790" s="211" t="s">
        <v>3986</v>
      </c>
      <c r="J790" s="268">
        <v>45784.0</v>
      </c>
      <c r="K790" s="169" t="s">
        <v>2758</v>
      </c>
      <c r="L790" s="242"/>
      <c r="M790" s="242"/>
      <c r="N790" s="242"/>
      <c r="O790" s="242"/>
      <c r="P790" s="242"/>
      <c r="Q790" s="242"/>
      <c r="R790" s="242"/>
      <c r="S790" s="242"/>
      <c r="T790" s="242"/>
      <c r="U790" s="242"/>
      <c r="V790" s="242"/>
      <c r="W790" s="242"/>
      <c r="X790" s="242"/>
      <c r="Y790" s="242"/>
      <c r="Z790" s="242"/>
      <c r="AA790" s="242"/>
      <c r="AB790" s="242"/>
      <c r="AC790" s="242"/>
      <c r="AD790" s="242"/>
      <c r="AE790" s="242"/>
      <c r="AF790" s="242"/>
      <c r="AG790" s="242"/>
      <c r="AH790" s="242"/>
      <c r="AI790" s="242"/>
      <c r="AJ790" s="242"/>
      <c r="AK790" s="242"/>
      <c r="AL790" s="242"/>
      <c r="AM790" s="242"/>
      <c r="AN790" s="242"/>
      <c r="AO790" s="242"/>
    </row>
    <row r="791">
      <c r="A791" s="181">
        <v>15525.0</v>
      </c>
      <c r="B791" s="176" t="s">
        <v>2974</v>
      </c>
      <c r="C791" s="174">
        <v>2018.0</v>
      </c>
      <c r="D791" s="176" t="s">
        <v>52</v>
      </c>
      <c r="E791" s="176" t="s">
        <v>160</v>
      </c>
      <c r="F791" s="177" t="s">
        <v>2975</v>
      </c>
      <c r="G791" s="178">
        <v>45757.0</v>
      </c>
      <c r="H791" s="179">
        <f t="shared" si="1"/>
        <v>15</v>
      </c>
      <c r="I791" s="182" t="s">
        <v>3987</v>
      </c>
      <c r="J791" s="178">
        <v>45772.0</v>
      </c>
      <c r="K791" s="175" t="s">
        <v>2758</v>
      </c>
    </row>
    <row r="792">
      <c r="A792" s="183">
        <v>15528.0</v>
      </c>
      <c r="B792" s="169" t="s">
        <v>3988</v>
      </c>
      <c r="C792" s="168">
        <v>2015.0</v>
      </c>
      <c r="D792" s="142" t="s">
        <v>52</v>
      </c>
      <c r="E792" s="142" t="s">
        <v>3989</v>
      </c>
      <c r="F792" s="170" t="s">
        <v>3990</v>
      </c>
      <c r="G792" s="171">
        <v>45758.0</v>
      </c>
      <c r="H792" s="172">
        <f t="shared" si="1"/>
        <v>0</v>
      </c>
      <c r="I792" s="173" t="s">
        <v>3991</v>
      </c>
      <c r="J792" s="171">
        <v>45758.0</v>
      </c>
      <c r="K792" s="169" t="s">
        <v>2758</v>
      </c>
      <c r="L792" s="242"/>
      <c r="M792" s="242"/>
      <c r="N792" s="242"/>
      <c r="O792" s="242"/>
      <c r="P792" s="242"/>
      <c r="Q792" s="242"/>
      <c r="R792" s="242"/>
      <c r="S792" s="242"/>
      <c r="T792" s="242"/>
      <c r="U792" s="242"/>
      <c r="V792" s="242"/>
      <c r="W792" s="242"/>
      <c r="X792" s="242"/>
      <c r="Y792" s="242"/>
      <c r="Z792" s="242"/>
      <c r="AA792" s="242"/>
      <c r="AB792" s="242"/>
      <c r="AC792" s="242"/>
      <c r="AD792" s="242"/>
      <c r="AE792" s="242"/>
      <c r="AF792" s="242"/>
      <c r="AG792" s="242"/>
      <c r="AH792" s="242"/>
      <c r="AI792" s="242"/>
      <c r="AJ792" s="242"/>
      <c r="AK792" s="242"/>
      <c r="AL792" s="242"/>
      <c r="AM792" s="242"/>
      <c r="AN792" s="242"/>
      <c r="AO792" s="242"/>
    </row>
    <row r="793">
      <c r="A793" s="181">
        <v>15529.0</v>
      </c>
      <c r="B793" s="175" t="s">
        <v>3192</v>
      </c>
      <c r="C793" s="174">
        <v>2011.0</v>
      </c>
      <c r="D793" s="176" t="s">
        <v>367</v>
      </c>
      <c r="E793" s="176" t="s">
        <v>21</v>
      </c>
      <c r="F793" s="177" t="s">
        <v>3542</v>
      </c>
      <c r="G793" s="178">
        <v>45758.0</v>
      </c>
      <c r="H793" s="179">
        <f t="shared" si="1"/>
        <v>0</v>
      </c>
      <c r="I793" s="180" t="s">
        <v>2265</v>
      </c>
      <c r="J793" s="178">
        <v>45758.0</v>
      </c>
      <c r="K793" s="175" t="s">
        <v>2758</v>
      </c>
    </row>
    <row r="794">
      <c r="A794" s="183">
        <v>15530.0</v>
      </c>
      <c r="B794" s="169" t="s">
        <v>1622</v>
      </c>
      <c r="C794" s="168">
        <v>2022.0</v>
      </c>
      <c r="D794" s="142" t="s">
        <v>3529</v>
      </c>
      <c r="E794" s="142" t="s">
        <v>866</v>
      </c>
      <c r="F794" s="170" t="s">
        <v>1623</v>
      </c>
      <c r="G794" s="171">
        <v>45758.0</v>
      </c>
      <c r="H794" s="172">
        <f t="shared" si="1"/>
        <v>0</v>
      </c>
      <c r="I794" s="173" t="s">
        <v>3992</v>
      </c>
      <c r="J794" s="171">
        <v>45758.0</v>
      </c>
      <c r="K794" s="169" t="s">
        <v>2758</v>
      </c>
    </row>
    <row r="795">
      <c r="A795" s="181">
        <v>15532.0</v>
      </c>
      <c r="B795" s="176" t="s">
        <v>2708</v>
      </c>
      <c r="C795" s="174">
        <v>2010.0</v>
      </c>
      <c r="D795" s="176" t="s">
        <v>367</v>
      </c>
      <c r="E795" s="176" t="s">
        <v>183</v>
      </c>
      <c r="F795" s="177" t="s">
        <v>2709</v>
      </c>
      <c r="G795" s="178">
        <v>45758.0</v>
      </c>
      <c r="H795" s="179">
        <f t="shared" si="1"/>
        <v>35</v>
      </c>
      <c r="I795" s="182" t="s">
        <v>3993</v>
      </c>
      <c r="J795" s="269">
        <v>45793.0</v>
      </c>
      <c r="K795" s="175" t="s">
        <v>31</v>
      </c>
    </row>
    <row r="796">
      <c r="A796" s="183">
        <v>15532.0</v>
      </c>
      <c r="B796" s="142" t="s">
        <v>2708</v>
      </c>
      <c r="C796" s="168">
        <v>2010.0</v>
      </c>
      <c r="D796" s="142" t="s">
        <v>367</v>
      </c>
      <c r="E796" s="142" t="s">
        <v>183</v>
      </c>
      <c r="F796" s="170" t="s">
        <v>2709</v>
      </c>
      <c r="G796" s="171">
        <v>45821.0</v>
      </c>
      <c r="H796" s="172">
        <f t="shared" si="1"/>
        <v>10</v>
      </c>
      <c r="I796" s="211" t="s">
        <v>3994</v>
      </c>
      <c r="J796" s="268">
        <v>45831.0</v>
      </c>
      <c r="K796" s="169" t="s">
        <v>2758</v>
      </c>
    </row>
    <row r="797">
      <c r="A797" s="181">
        <v>15533.0</v>
      </c>
      <c r="B797" s="175" t="s">
        <v>1250</v>
      </c>
      <c r="C797" s="174">
        <v>2014.0</v>
      </c>
      <c r="D797" s="176" t="s">
        <v>105</v>
      </c>
      <c r="E797" s="176" t="s">
        <v>183</v>
      </c>
      <c r="F797" s="177" t="s">
        <v>1251</v>
      </c>
      <c r="G797" s="178">
        <v>45758.0</v>
      </c>
      <c r="H797" s="179">
        <f t="shared" si="1"/>
        <v>11</v>
      </c>
      <c r="I797" s="180" t="s">
        <v>3995</v>
      </c>
      <c r="J797" s="178">
        <v>45769.0</v>
      </c>
      <c r="K797" s="175" t="s">
        <v>2758</v>
      </c>
      <c r="L797" s="242"/>
      <c r="M797" s="242"/>
      <c r="N797" s="242"/>
      <c r="O797" s="242"/>
      <c r="P797" s="242"/>
      <c r="Q797" s="242"/>
      <c r="R797" s="242"/>
      <c r="S797" s="242"/>
      <c r="T797" s="242"/>
      <c r="U797" s="242"/>
      <c r="V797" s="242"/>
      <c r="W797" s="242"/>
      <c r="X797" s="242"/>
      <c r="Y797" s="242"/>
      <c r="Z797" s="242"/>
      <c r="AA797" s="242"/>
      <c r="AB797" s="242"/>
      <c r="AC797" s="242"/>
      <c r="AD797" s="242"/>
      <c r="AE797" s="242"/>
      <c r="AF797" s="242"/>
      <c r="AG797" s="242"/>
      <c r="AH797" s="242"/>
      <c r="AI797" s="242"/>
      <c r="AJ797" s="242"/>
      <c r="AK797" s="242"/>
      <c r="AL797" s="242"/>
      <c r="AM797" s="242"/>
      <c r="AN797" s="242"/>
      <c r="AO797" s="242"/>
    </row>
    <row r="798">
      <c r="A798" s="183">
        <v>15537.0</v>
      </c>
      <c r="B798" s="142" t="s">
        <v>3309</v>
      </c>
      <c r="C798" s="168">
        <v>2015.0</v>
      </c>
      <c r="D798" s="142" t="s">
        <v>14</v>
      </c>
      <c r="E798" s="142" t="s">
        <v>962</v>
      </c>
      <c r="F798" s="170" t="s">
        <v>3310</v>
      </c>
      <c r="G798" s="171">
        <v>45761.0</v>
      </c>
      <c r="H798" s="172">
        <f t="shared" si="1"/>
        <v>32</v>
      </c>
      <c r="I798" s="211" t="s">
        <v>3996</v>
      </c>
      <c r="J798" s="268">
        <v>45793.0</v>
      </c>
      <c r="K798" s="169" t="s">
        <v>31</v>
      </c>
    </row>
    <row r="799">
      <c r="A799" s="181">
        <v>15540.0</v>
      </c>
      <c r="B799" s="175" t="s">
        <v>3997</v>
      </c>
      <c r="C799" s="174">
        <v>2017.0</v>
      </c>
      <c r="D799" s="176" t="s">
        <v>14</v>
      </c>
      <c r="E799" s="176" t="s">
        <v>725</v>
      </c>
      <c r="F799" s="177" t="s">
        <v>726</v>
      </c>
      <c r="G799" s="178">
        <v>45761.0</v>
      </c>
      <c r="H799" s="179">
        <f t="shared" si="1"/>
        <v>11</v>
      </c>
      <c r="I799" s="180" t="s">
        <v>3998</v>
      </c>
      <c r="J799" s="178">
        <v>45772.0</v>
      </c>
      <c r="K799" s="175" t="s">
        <v>2758</v>
      </c>
    </row>
    <row r="800">
      <c r="A800" s="183">
        <v>15544.0</v>
      </c>
      <c r="B800" s="169" t="s">
        <v>1909</v>
      </c>
      <c r="C800" s="168">
        <v>2022.0</v>
      </c>
      <c r="D800" s="142" t="s">
        <v>52</v>
      </c>
      <c r="E800" s="142" t="s">
        <v>95</v>
      </c>
      <c r="F800" s="170" t="s">
        <v>1910</v>
      </c>
      <c r="G800" s="171">
        <v>45761.0</v>
      </c>
      <c r="H800" s="172">
        <f t="shared" si="1"/>
        <v>0</v>
      </c>
      <c r="I800" s="173" t="s">
        <v>3479</v>
      </c>
      <c r="J800" s="171">
        <v>45761.0</v>
      </c>
      <c r="K800" s="169" t="s">
        <v>2758</v>
      </c>
      <c r="L800" s="242"/>
      <c r="M800" s="242"/>
      <c r="N800" s="242"/>
      <c r="O800" s="242"/>
      <c r="P800" s="242"/>
      <c r="Q800" s="242"/>
      <c r="R800" s="242"/>
      <c r="S800" s="242"/>
      <c r="T800" s="242"/>
      <c r="U800" s="242"/>
      <c r="V800" s="242"/>
      <c r="W800" s="242"/>
      <c r="X800" s="242"/>
      <c r="Y800" s="242"/>
      <c r="Z800" s="242"/>
      <c r="AA800" s="242"/>
      <c r="AB800" s="242"/>
      <c r="AC800" s="242"/>
      <c r="AD800" s="242"/>
      <c r="AE800" s="242"/>
      <c r="AF800" s="242"/>
      <c r="AG800" s="242"/>
      <c r="AH800" s="242"/>
      <c r="AI800" s="242"/>
      <c r="AJ800" s="242"/>
      <c r="AK800" s="242"/>
      <c r="AL800" s="242"/>
      <c r="AM800" s="242"/>
      <c r="AN800" s="242"/>
      <c r="AO800" s="242"/>
    </row>
    <row r="801">
      <c r="A801" s="181">
        <v>15550.0</v>
      </c>
      <c r="B801" s="175" t="s">
        <v>3999</v>
      </c>
      <c r="C801" s="174">
        <v>2014.0</v>
      </c>
      <c r="D801" s="176" t="s">
        <v>14</v>
      </c>
      <c r="E801" s="176" t="s">
        <v>106</v>
      </c>
      <c r="F801" s="177" t="s">
        <v>4000</v>
      </c>
      <c r="G801" s="178">
        <v>45762.0</v>
      </c>
      <c r="H801" s="179">
        <f t="shared" si="1"/>
        <v>7</v>
      </c>
      <c r="I801" s="180" t="s">
        <v>30</v>
      </c>
      <c r="J801" s="178">
        <v>45769.0</v>
      </c>
      <c r="K801" s="175" t="s">
        <v>31</v>
      </c>
    </row>
    <row r="802">
      <c r="A802" s="183">
        <v>15551.0</v>
      </c>
      <c r="B802" s="142" t="s">
        <v>4001</v>
      </c>
      <c r="C802" s="168">
        <v>2015.0</v>
      </c>
      <c r="D802" s="142" t="s">
        <v>14</v>
      </c>
      <c r="E802" s="142" t="s">
        <v>805</v>
      </c>
      <c r="F802" s="170" t="s">
        <v>4002</v>
      </c>
      <c r="G802" s="171">
        <v>45762.0</v>
      </c>
      <c r="H802" s="172">
        <f t="shared" si="1"/>
        <v>24</v>
      </c>
      <c r="I802" s="211" t="s">
        <v>4003</v>
      </c>
      <c r="J802" s="268">
        <v>45786.0</v>
      </c>
      <c r="K802" s="169" t="s">
        <v>31</v>
      </c>
    </row>
    <row r="803">
      <c r="A803" s="181">
        <v>15551.0</v>
      </c>
      <c r="B803" s="176" t="s">
        <v>4001</v>
      </c>
      <c r="C803" s="174">
        <v>2015.0</v>
      </c>
      <c r="D803" s="176" t="s">
        <v>14</v>
      </c>
      <c r="E803" s="176" t="s">
        <v>805</v>
      </c>
      <c r="F803" s="177" t="s">
        <v>4002</v>
      </c>
      <c r="G803" s="178">
        <v>45897.0</v>
      </c>
      <c r="H803" s="179">
        <f t="shared" si="1"/>
        <v>4</v>
      </c>
      <c r="I803" s="175" t="s">
        <v>4004</v>
      </c>
      <c r="J803" s="269">
        <v>45901.0</v>
      </c>
      <c r="K803" s="175" t="s">
        <v>2758</v>
      </c>
    </row>
    <row r="804">
      <c r="A804" s="183">
        <v>15552.0</v>
      </c>
      <c r="B804" s="169" t="s">
        <v>2861</v>
      </c>
      <c r="C804" s="168">
        <v>2015.0</v>
      </c>
      <c r="D804" s="142" t="s">
        <v>14</v>
      </c>
      <c r="E804" s="142" t="s">
        <v>805</v>
      </c>
      <c r="F804" s="170" t="s">
        <v>2862</v>
      </c>
      <c r="G804" s="171">
        <v>45762.0</v>
      </c>
      <c r="H804" s="172">
        <f t="shared" si="1"/>
        <v>30</v>
      </c>
      <c r="I804" s="173" t="s">
        <v>668</v>
      </c>
      <c r="J804" s="171">
        <v>45792.0</v>
      </c>
      <c r="K804" s="169" t="s">
        <v>2758</v>
      </c>
    </row>
    <row r="805">
      <c r="A805" s="181">
        <v>15554.0</v>
      </c>
      <c r="B805" s="175" t="s">
        <v>2458</v>
      </c>
      <c r="C805" s="174">
        <v>2022.0</v>
      </c>
      <c r="D805" s="176" t="s">
        <v>197</v>
      </c>
      <c r="E805" s="176" t="s">
        <v>4005</v>
      </c>
      <c r="F805" s="177" t="s">
        <v>2459</v>
      </c>
      <c r="G805" s="178">
        <v>45764.0</v>
      </c>
      <c r="H805" s="179">
        <f t="shared" si="1"/>
        <v>0</v>
      </c>
      <c r="I805" s="180" t="s">
        <v>4006</v>
      </c>
      <c r="J805" s="178">
        <v>45764.0</v>
      </c>
      <c r="K805" s="175" t="s">
        <v>31</v>
      </c>
    </row>
    <row r="806">
      <c r="A806" s="183">
        <v>15555.0</v>
      </c>
      <c r="B806" s="142" t="s">
        <v>2299</v>
      </c>
      <c r="C806" s="168">
        <v>2022.0</v>
      </c>
      <c r="D806" s="142" t="s">
        <v>52</v>
      </c>
      <c r="E806" s="142" t="s">
        <v>855</v>
      </c>
      <c r="F806" s="170" t="s">
        <v>2300</v>
      </c>
      <c r="G806" s="171">
        <v>45762.0</v>
      </c>
      <c r="H806" s="172">
        <f t="shared" si="1"/>
        <v>20</v>
      </c>
      <c r="I806" s="211" t="s">
        <v>4007</v>
      </c>
      <c r="J806" s="171">
        <v>45782.0</v>
      </c>
      <c r="K806" s="169" t="s">
        <v>2758</v>
      </c>
    </row>
    <row r="807">
      <c r="A807" s="181">
        <v>15557.0</v>
      </c>
      <c r="B807" s="176" t="s">
        <v>1295</v>
      </c>
      <c r="C807" s="174">
        <v>2015.0</v>
      </c>
      <c r="D807" s="176" t="s">
        <v>14</v>
      </c>
      <c r="E807" s="176" t="s">
        <v>106</v>
      </c>
      <c r="F807" s="177" t="s">
        <v>1296</v>
      </c>
      <c r="G807" s="178">
        <v>45762.0</v>
      </c>
      <c r="H807" s="179">
        <f t="shared" si="1"/>
        <v>41</v>
      </c>
      <c r="I807" s="182" t="s">
        <v>4008</v>
      </c>
      <c r="J807" s="269">
        <v>45803.0</v>
      </c>
      <c r="K807" s="175" t="s">
        <v>31</v>
      </c>
    </row>
    <row r="808">
      <c r="A808" s="183">
        <v>15557.0</v>
      </c>
      <c r="B808" s="142" t="s">
        <v>1295</v>
      </c>
      <c r="C808" s="168">
        <v>2015.0</v>
      </c>
      <c r="D808" s="142" t="s">
        <v>14</v>
      </c>
      <c r="E808" s="142" t="s">
        <v>106</v>
      </c>
      <c r="F808" s="170" t="s">
        <v>1296</v>
      </c>
      <c r="G808" s="171">
        <v>45762.0</v>
      </c>
      <c r="H808" s="172">
        <f t="shared" si="1"/>
        <v>128</v>
      </c>
      <c r="I808" s="169" t="s">
        <v>668</v>
      </c>
      <c r="J808" s="268">
        <v>45890.0</v>
      </c>
      <c r="K808" s="169" t="s">
        <v>31</v>
      </c>
    </row>
    <row r="809" ht="16.5" customHeight="1">
      <c r="A809" s="181">
        <v>15558.0</v>
      </c>
      <c r="B809" s="175" t="s">
        <v>1167</v>
      </c>
      <c r="C809" s="174">
        <v>2015.0</v>
      </c>
      <c r="D809" s="176" t="s">
        <v>14</v>
      </c>
      <c r="E809" s="176" t="s">
        <v>725</v>
      </c>
      <c r="F809" s="177" t="s">
        <v>4009</v>
      </c>
      <c r="G809" s="178">
        <v>45763.0</v>
      </c>
      <c r="H809" s="179">
        <f t="shared" si="1"/>
        <v>0</v>
      </c>
      <c r="I809" s="180" t="s">
        <v>133</v>
      </c>
      <c r="J809" s="217">
        <v>45763.0</v>
      </c>
      <c r="K809" s="175" t="s">
        <v>2758</v>
      </c>
    </row>
    <row r="810">
      <c r="A810" s="183">
        <v>15561.0</v>
      </c>
      <c r="B810" s="169" t="s">
        <v>3332</v>
      </c>
      <c r="C810" s="168">
        <v>2020.0</v>
      </c>
      <c r="D810" s="142" t="s">
        <v>358</v>
      </c>
      <c r="E810" s="142" t="s">
        <v>3333</v>
      </c>
      <c r="F810" s="170" t="s">
        <v>3334</v>
      </c>
      <c r="G810" s="171">
        <v>45763.0</v>
      </c>
      <c r="H810" s="172">
        <f t="shared" si="1"/>
        <v>0</v>
      </c>
      <c r="I810" s="173" t="s">
        <v>4010</v>
      </c>
      <c r="J810" s="171">
        <v>45763.0</v>
      </c>
      <c r="K810" s="169" t="s">
        <v>2758</v>
      </c>
    </row>
    <row r="811">
      <c r="A811" s="181">
        <v>15563.0</v>
      </c>
      <c r="B811" s="176" t="s">
        <v>2505</v>
      </c>
      <c r="C811" s="174">
        <v>2018.0</v>
      </c>
      <c r="D811" s="176" t="s">
        <v>14</v>
      </c>
      <c r="E811" s="176" t="s">
        <v>912</v>
      </c>
      <c r="F811" s="177" t="s">
        <v>2506</v>
      </c>
      <c r="G811" s="178">
        <v>45763.0</v>
      </c>
      <c r="H811" s="179">
        <f t="shared" si="1"/>
        <v>47</v>
      </c>
      <c r="I811" s="211" t="s">
        <v>4011</v>
      </c>
      <c r="J811" s="269">
        <v>45810.0</v>
      </c>
      <c r="K811" s="175" t="s">
        <v>2758</v>
      </c>
    </row>
    <row r="812">
      <c r="A812" s="183">
        <v>15565.0</v>
      </c>
      <c r="B812" s="169" t="s">
        <v>341</v>
      </c>
      <c r="C812" s="168">
        <v>2022.0</v>
      </c>
      <c r="D812" s="142" t="s">
        <v>52</v>
      </c>
      <c r="E812" s="142" t="s">
        <v>82</v>
      </c>
      <c r="F812" s="170" t="s">
        <v>419</v>
      </c>
      <c r="G812" s="171">
        <v>45763.0</v>
      </c>
      <c r="H812" s="172">
        <f t="shared" si="1"/>
        <v>8</v>
      </c>
      <c r="I812" s="173" t="s">
        <v>4012</v>
      </c>
      <c r="J812" s="171">
        <v>45771.0</v>
      </c>
      <c r="K812" s="169" t="s">
        <v>2758</v>
      </c>
    </row>
    <row r="813">
      <c r="A813" s="181">
        <v>15566.0</v>
      </c>
      <c r="B813" s="175" t="s">
        <v>417</v>
      </c>
      <c r="C813" s="174">
        <v>2022.0</v>
      </c>
      <c r="D813" s="176" t="s">
        <v>52</v>
      </c>
      <c r="E813" s="176" t="s">
        <v>418</v>
      </c>
      <c r="F813" s="177" t="s">
        <v>419</v>
      </c>
      <c r="G813" s="178">
        <v>45763.0</v>
      </c>
      <c r="H813" s="179">
        <f t="shared" si="1"/>
        <v>0</v>
      </c>
      <c r="I813" s="180" t="s">
        <v>4013</v>
      </c>
      <c r="J813" s="178">
        <v>45763.0</v>
      </c>
      <c r="K813" s="175" t="s">
        <v>2758</v>
      </c>
    </row>
    <row r="814">
      <c r="A814" s="183">
        <v>15568.0</v>
      </c>
      <c r="B814" s="169" t="s">
        <v>4014</v>
      </c>
      <c r="C814" s="168">
        <v>2015.0</v>
      </c>
      <c r="D814" s="142" t="s">
        <v>52</v>
      </c>
      <c r="E814" s="142" t="s">
        <v>4015</v>
      </c>
      <c r="F814" s="170" t="s">
        <v>4016</v>
      </c>
      <c r="G814" s="171">
        <v>45763.0</v>
      </c>
      <c r="H814" s="172">
        <f t="shared" si="1"/>
        <v>0</v>
      </c>
      <c r="I814" s="173" t="s">
        <v>4017</v>
      </c>
      <c r="J814" s="171">
        <v>45763.0</v>
      </c>
      <c r="K814" s="169" t="s">
        <v>2758</v>
      </c>
    </row>
    <row r="815">
      <c r="A815" s="181">
        <v>15569.0</v>
      </c>
      <c r="B815" s="175" t="s">
        <v>1915</v>
      </c>
      <c r="C815" s="174">
        <v>2013.0</v>
      </c>
      <c r="D815" s="176" t="s">
        <v>197</v>
      </c>
      <c r="E815" s="176" t="s">
        <v>4018</v>
      </c>
      <c r="F815" s="177" t="s">
        <v>1917</v>
      </c>
      <c r="G815" s="178">
        <v>45763.0</v>
      </c>
      <c r="H815" s="179">
        <f t="shared" si="1"/>
        <v>1</v>
      </c>
      <c r="I815" s="180" t="s">
        <v>4019</v>
      </c>
      <c r="J815" s="178">
        <v>45764.0</v>
      </c>
      <c r="K815" s="175" t="s">
        <v>31</v>
      </c>
      <c r="L815" s="242"/>
      <c r="M815" s="242"/>
      <c r="N815" s="242"/>
      <c r="O815" s="242"/>
      <c r="P815" s="242"/>
      <c r="Q815" s="242"/>
      <c r="R815" s="242"/>
      <c r="S815" s="242"/>
      <c r="T815" s="242"/>
      <c r="U815" s="242"/>
      <c r="V815" s="242"/>
      <c r="W815" s="242"/>
      <c r="X815" s="242"/>
      <c r="Y815" s="242"/>
      <c r="Z815" s="242"/>
      <c r="AA815" s="242"/>
      <c r="AB815" s="242"/>
      <c r="AC815" s="242"/>
      <c r="AD815" s="242"/>
      <c r="AE815" s="242"/>
      <c r="AF815" s="242"/>
      <c r="AG815" s="242"/>
      <c r="AH815" s="242"/>
      <c r="AI815" s="242"/>
      <c r="AJ815" s="242"/>
      <c r="AK815" s="242"/>
      <c r="AL815" s="242"/>
      <c r="AM815" s="242"/>
      <c r="AN815" s="242"/>
      <c r="AO815" s="242"/>
    </row>
    <row r="816">
      <c r="A816" s="183">
        <v>15570.0</v>
      </c>
      <c r="B816" s="169" t="s">
        <v>3951</v>
      </c>
      <c r="C816" s="168">
        <v>2019.0</v>
      </c>
      <c r="D816" s="142" t="s">
        <v>14</v>
      </c>
      <c r="E816" s="142" t="s">
        <v>855</v>
      </c>
      <c r="F816" s="170" t="s">
        <v>4020</v>
      </c>
      <c r="G816" s="171">
        <v>45763.0</v>
      </c>
      <c r="H816" s="172">
        <f t="shared" si="1"/>
        <v>0</v>
      </c>
      <c r="I816" s="173" t="s">
        <v>133</v>
      </c>
      <c r="J816" s="171">
        <v>45763.0</v>
      </c>
      <c r="K816" s="169" t="s">
        <v>2758</v>
      </c>
    </row>
    <row r="817">
      <c r="A817" s="181">
        <v>15571.0</v>
      </c>
      <c r="B817" s="175" t="s">
        <v>2742</v>
      </c>
      <c r="C817" s="174">
        <v>2014.0</v>
      </c>
      <c r="D817" s="176" t="s">
        <v>324</v>
      </c>
      <c r="E817" s="176" t="s">
        <v>82</v>
      </c>
      <c r="F817" s="177" t="s">
        <v>2743</v>
      </c>
      <c r="G817" s="178">
        <v>45763.0</v>
      </c>
      <c r="H817" s="179">
        <f t="shared" si="1"/>
        <v>6</v>
      </c>
      <c r="I817" s="180" t="s">
        <v>4021</v>
      </c>
      <c r="J817" s="178">
        <v>45769.0</v>
      </c>
      <c r="K817" s="175" t="s">
        <v>2758</v>
      </c>
    </row>
    <row r="818">
      <c r="A818" s="183">
        <v>15576.0</v>
      </c>
      <c r="B818" s="169" t="s">
        <v>1648</v>
      </c>
      <c r="C818" s="168">
        <v>2014.0</v>
      </c>
      <c r="D818" s="142" t="s">
        <v>130</v>
      </c>
      <c r="E818" s="142" t="s">
        <v>2802</v>
      </c>
      <c r="F818" s="170" t="s">
        <v>1649</v>
      </c>
      <c r="G818" s="171">
        <v>45764.0</v>
      </c>
      <c r="H818" s="172">
        <f t="shared" si="1"/>
        <v>0</v>
      </c>
      <c r="I818" s="173" t="s">
        <v>133</v>
      </c>
      <c r="J818" s="171">
        <v>45764.0</v>
      </c>
      <c r="K818" s="169" t="s">
        <v>2758</v>
      </c>
    </row>
    <row r="819">
      <c r="A819" s="181">
        <v>15578.0</v>
      </c>
      <c r="B819" s="175" t="s">
        <v>854</v>
      </c>
      <c r="C819" s="174">
        <v>2022.0</v>
      </c>
      <c r="D819" s="176" t="s">
        <v>52</v>
      </c>
      <c r="E819" s="176" t="s">
        <v>855</v>
      </c>
      <c r="F819" s="177" t="s">
        <v>856</v>
      </c>
      <c r="G819" s="178">
        <v>45764.0</v>
      </c>
      <c r="H819" s="179">
        <f t="shared" si="1"/>
        <v>0</v>
      </c>
      <c r="I819" s="180" t="s">
        <v>857</v>
      </c>
      <c r="J819" s="178">
        <v>45764.0</v>
      </c>
      <c r="K819" s="175" t="s">
        <v>2758</v>
      </c>
    </row>
    <row r="820">
      <c r="A820" s="183">
        <v>15582.0</v>
      </c>
      <c r="B820" s="169" t="s">
        <v>2256</v>
      </c>
      <c r="C820" s="168">
        <v>2020.0</v>
      </c>
      <c r="D820" s="142" t="s">
        <v>197</v>
      </c>
      <c r="E820" s="142" t="s">
        <v>3964</v>
      </c>
      <c r="F820" s="170" t="s">
        <v>2257</v>
      </c>
      <c r="G820" s="171">
        <v>45764.0</v>
      </c>
      <c r="H820" s="172">
        <f t="shared" si="1"/>
        <v>0</v>
      </c>
      <c r="I820" s="173" t="s">
        <v>2058</v>
      </c>
      <c r="J820" s="171">
        <v>45764.0</v>
      </c>
      <c r="K820" s="169" t="s">
        <v>2758</v>
      </c>
    </row>
    <row r="821">
      <c r="A821" s="181">
        <v>15589.0</v>
      </c>
      <c r="B821" s="176" t="s">
        <v>2957</v>
      </c>
      <c r="C821" s="174">
        <v>2015.0</v>
      </c>
      <c r="D821" s="176" t="s">
        <v>3854</v>
      </c>
      <c r="E821" s="176" t="s">
        <v>725</v>
      </c>
      <c r="F821" s="177" t="s">
        <v>2958</v>
      </c>
      <c r="G821" s="178">
        <v>45769.0</v>
      </c>
      <c r="H821" s="179">
        <f t="shared" si="1"/>
        <v>35</v>
      </c>
      <c r="I821" s="182" t="s">
        <v>4022</v>
      </c>
      <c r="J821" s="269">
        <v>45804.0</v>
      </c>
      <c r="K821" s="175" t="s">
        <v>31</v>
      </c>
    </row>
    <row r="822">
      <c r="A822" s="168">
        <v>15590.0</v>
      </c>
      <c r="B822" s="169" t="s">
        <v>4023</v>
      </c>
      <c r="C822" s="168">
        <v>2022.0</v>
      </c>
      <c r="D822" s="142" t="s">
        <v>3458</v>
      </c>
      <c r="E822" s="142" t="s">
        <v>95</v>
      </c>
      <c r="F822" s="170" t="s">
        <v>1910</v>
      </c>
      <c r="G822" s="171">
        <v>45769.0</v>
      </c>
      <c r="H822" s="172">
        <f t="shared" si="1"/>
        <v>0</v>
      </c>
      <c r="I822" s="173" t="s">
        <v>4024</v>
      </c>
      <c r="J822" s="171">
        <v>45769.0</v>
      </c>
      <c r="K822" s="169" t="s">
        <v>2758</v>
      </c>
    </row>
    <row r="823">
      <c r="A823" s="181">
        <v>15591.0</v>
      </c>
      <c r="B823" s="175" t="s">
        <v>4025</v>
      </c>
      <c r="C823" s="174">
        <v>2014.0</v>
      </c>
      <c r="D823" s="176" t="s">
        <v>105</v>
      </c>
      <c r="E823" s="176" t="s">
        <v>855</v>
      </c>
      <c r="F823" s="177" t="s">
        <v>4026</v>
      </c>
      <c r="G823" s="178">
        <v>45769.0</v>
      </c>
      <c r="H823" s="179">
        <f t="shared" si="1"/>
        <v>0</v>
      </c>
      <c r="I823" s="180" t="s">
        <v>4027</v>
      </c>
      <c r="J823" s="178">
        <v>45769.0</v>
      </c>
      <c r="K823" s="175" t="s">
        <v>31</v>
      </c>
    </row>
    <row r="824">
      <c r="A824" s="183">
        <v>15591.0</v>
      </c>
      <c r="B824" s="142" t="s">
        <v>4025</v>
      </c>
      <c r="C824" s="168">
        <v>2014.0</v>
      </c>
      <c r="D824" s="142" t="s">
        <v>105</v>
      </c>
      <c r="E824" s="142" t="s">
        <v>855</v>
      </c>
      <c r="F824" s="170" t="s">
        <v>4026</v>
      </c>
      <c r="G824" s="171">
        <v>45806.0</v>
      </c>
      <c r="H824" s="172">
        <f t="shared" si="1"/>
        <v>0</v>
      </c>
      <c r="I824" s="173" t="s">
        <v>4028</v>
      </c>
      <c r="J824" s="171">
        <v>45806.0</v>
      </c>
      <c r="K824" s="169" t="s">
        <v>2758</v>
      </c>
    </row>
    <row r="825" ht="14.25" customHeight="1">
      <c r="A825" s="181">
        <v>15592.0</v>
      </c>
      <c r="B825" s="175" t="s">
        <v>1206</v>
      </c>
      <c r="C825" s="174">
        <v>2020.0</v>
      </c>
      <c r="D825" s="176" t="s">
        <v>358</v>
      </c>
      <c r="E825" s="176" t="s">
        <v>235</v>
      </c>
      <c r="F825" s="177" t="s">
        <v>1207</v>
      </c>
      <c r="G825" s="178">
        <v>45769.0</v>
      </c>
      <c r="H825" s="179">
        <f t="shared" si="1"/>
        <v>0</v>
      </c>
      <c r="I825" s="180" t="s">
        <v>4029</v>
      </c>
      <c r="J825" s="178">
        <v>45769.0</v>
      </c>
      <c r="K825" s="175" t="s">
        <v>2758</v>
      </c>
    </row>
    <row r="826">
      <c r="A826" s="183">
        <v>15593.0</v>
      </c>
      <c r="B826" s="169" t="s">
        <v>3300</v>
      </c>
      <c r="C826" s="168">
        <v>2019.0</v>
      </c>
      <c r="D826" s="142" t="s">
        <v>14</v>
      </c>
      <c r="E826" s="142" t="s">
        <v>855</v>
      </c>
      <c r="F826" s="170" t="s">
        <v>3301</v>
      </c>
      <c r="G826" s="171">
        <v>45769.0</v>
      </c>
      <c r="H826" s="172">
        <f t="shared" si="1"/>
        <v>7</v>
      </c>
      <c r="I826" s="173" t="s">
        <v>4030</v>
      </c>
      <c r="J826" s="171">
        <v>45776.0</v>
      </c>
      <c r="K826" s="169" t="s">
        <v>2758</v>
      </c>
      <c r="L826" s="242"/>
      <c r="M826" s="242"/>
      <c r="N826" s="242"/>
      <c r="O826" s="242"/>
      <c r="P826" s="242"/>
      <c r="Q826" s="242"/>
      <c r="R826" s="242"/>
      <c r="S826" s="242"/>
      <c r="T826" s="242"/>
      <c r="U826" s="242"/>
      <c r="V826" s="242"/>
      <c r="W826" s="242"/>
      <c r="X826" s="242"/>
      <c r="Y826" s="242"/>
      <c r="Z826" s="242"/>
      <c r="AA826" s="242"/>
      <c r="AB826" s="242"/>
      <c r="AC826" s="242"/>
      <c r="AD826" s="242"/>
      <c r="AE826" s="242"/>
      <c r="AF826" s="242"/>
      <c r="AG826" s="242"/>
      <c r="AH826" s="242"/>
      <c r="AI826" s="242"/>
      <c r="AJ826" s="242"/>
      <c r="AK826" s="242"/>
      <c r="AL826" s="242"/>
      <c r="AM826" s="242"/>
      <c r="AN826" s="242"/>
      <c r="AO826" s="242"/>
    </row>
    <row r="827">
      <c r="A827" s="181">
        <v>15596.0</v>
      </c>
      <c r="B827" s="175" t="s">
        <v>4031</v>
      </c>
      <c r="C827" s="174">
        <v>2018.0</v>
      </c>
      <c r="D827" s="176" t="s">
        <v>14</v>
      </c>
      <c r="E827" s="176" t="s">
        <v>207</v>
      </c>
      <c r="F827" s="177" t="s">
        <v>4032</v>
      </c>
      <c r="G827" s="178">
        <v>45769.0</v>
      </c>
      <c r="H827" s="179">
        <f t="shared" si="1"/>
        <v>0</v>
      </c>
      <c r="I827" s="180" t="s">
        <v>4033</v>
      </c>
      <c r="J827" s="178">
        <v>45769.0</v>
      </c>
      <c r="K827" s="175" t="s">
        <v>2758</v>
      </c>
    </row>
    <row r="828">
      <c r="A828" s="183">
        <v>15597.0</v>
      </c>
      <c r="B828" s="169" t="s">
        <v>950</v>
      </c>
      <c r="C828" s="168">
        <v>2015.0</v>
      </c>
      <c r="D828" s="142" t="s">
        <v>14</v>
      </c>
      <c r="E828" s="142" t="s">
        <v>28</v>
      </c>
      <c r="F828" s="170" t="s">
        <v>951</v>
      </c>
      <c r="G828" s="171">
        <v>45769.0</v>
      </c>
      <c r="H828" s="172">
        <f t="shared" si="1"/>
        <v>0</v>
      </c>
      <c r="I828" s="173" t="s">
        <v>2265</v>
      </c>
      <c r="J828" s="171">
        <v>45769.0</v>
      </c>
      <c r="K828" s="169" t="s">
        <v>2758</v>
      </c>
    </row>
    <row r="829">
      <c r="A829" s="181">
        <v>15601.0</v>
      </c>
      <c r="B829" s="175" t="s">
        <v>39</v>
      </c>
      <c r="C829" s="174">
        <v>2022.0</v>
      </c>
      <c r="D829" s="176" t="s">
        <v>52</v>
      </c>
      <c r="E829" s="176" t="s">
        <v>41</v>
      </c>
      <c r="F829" s="177" t="s">
        <v>42</v>
      </c>
      <c r="G829" s="178">
        <v>45770.0</v>
      </c>
      <c r="H829" s="179">
        <f t="shared" si="1"/>
        <v>0</v>
      </c>
      <c r="I829" s="180" t="s">
        <v>2896</v>
      </c>
      <c r="J829" s="178">
        <v>45770.0</v>
      </c>
      <c r="K829" s="175" t="s">
        <v>2758</v>
      </c>
    </row>
    <row r="830">
      <c r="A830" s="183">
        <v>15602.0</v>
      </c>
      <c r="B830" s="169" t="s">
        <v>19</v>
      </c>
      <c r="C830" s="168">
        <v>2022.0</v>
      </c>
      <c r="D830" s="142" t="s">
        <v>2875</v>
      </c>
      <c r="E830" s="142" t="s">
        <v>21</v>
      </c>
      <c r="F830" s="170" t="s">
        <v>22</v>
      </c>
      <c r="G830" s="171">
        <v>45770.0</v>
      </c>
      <c r="H830" s="172">
        <f t="shared" si="1"/>
        <v>0</v>
      </c>
      <c r="I830" s="173" t="s">
        <v>3962</v>
      </c>
      <c r="J830" s="171">
        <v>45770.0</v>
      </c>
      <c r="K830" s="169" t="s">
        <v>2758</v>
      </c>
      <c r="L830" s="242"/>
      <c r="M830" s="242"/>
      <c r="N830" s="242"/>
      <c r="O830" s="242"/>
      <c r="P830" s="242"/>
      <c r="Q830" s="242"/>
      <c r="R830" s="242"/>
      <c r="S830" s="242"/>
      <c r="T830" s="242"/>
      <c r="U830" s="242"/>
      <c r="V830" s="242"/>
      <c r="W830" s="242"/>
      <c r="X830" s="242"/>
      <c r="Y830" s="242"/>
      <c r="Z830" s="242"/>
      <c r="AA830" s="242"/>
      <c r="AB830" s="242"/>
      <c r="AC830" s="242"/>
      <c r="AD830" s="242"/>
      <c r="AE830" s="242"/>
      <c r="AF830" s="242"/>
      <c r="AG830" s="242"/>
      <c r="AH830" s="242"/>
      <c r="AI830" s="242"/>
      <c r="AJ830" s="242"/>
      <c r="AK830" s="242"/>
      <c r="AL830" s="242"/>
      <c r="AM830" s="242"/>
      <c r="AN830" s="242"/>
      <c r="AO830" s="242"/>
    </row>
    <row r="831">
      <c r="A831" s="174">
        <v>15604.0</v>
      </c>
      <c r="B831" s="175" t="s">
        <v>4034</v>
      </c>
      <c r="C831" s="174">
        <v>2019.0</v>
      </c>
      <c r="D831" s="176" t="s">
        <v>14</v>
      </c>
      <c r="E831" s="176" t="s">
        <v>855</v>
      </c>
      <c r="F831" s="177">
        <v>57.0</v>
      </c>
      <c r="G831" s="178">
        <v>45770.0</v>
      </c>
      <c r="H831" s="179">
        <f t="shared" si="1"/>
        <v>0</v>
      </c>
      <c r="I831" s="180" t="s">
        <v>4035</v>
      </c>
      <c r="J831" s="178">
        <v>45770.0</v>
      </c>
      <c r="K831" s="175" t="s">
        <v>2758</v>
      </c>
    </row>
    <row r="832">
      <c r="A832" s="183">
        <v>15606.0</v>
      </c>
      <c r="B832" s="169" t="s">
        <v>883</v>
      </c>
      <c r="C832" s="168">
        <v>2014.0</v>
      </c>
      <c r="D832" s="142" t="s">
        <v>130</v>
      </c>
      <c r="E832" s="142" t="s">
        <v>2415</v>
      </c>
      <c r="F832" s="170" t="s">
        <v>885</v>
      </c>
      <c r="G832" s="171">
        <v>45770.0</v>
      </c>
      <c r="H832" s="172">
        <f t="shared" si="1"/>
        <v>0</v>
      </c>
      <c r="I832" s="173" t="s">
        <v>857</v>
      </c>
      <c r="J832" s="171">
        <v>45770.0</v>
      </c>
      <c r="K832" s="169" t="s">
        <v>2758</v>
      </c>
      <c r="L832" s="242"/>
      <c r="M832" s="242"/>
      <c r="N832" s="242"/>
      <c r="O832" s="242"/>
      <c r="P832" s="242"/>
      <c r="Q832" s="242"/>
      <c r="R832" s="242"/>
      <c r="S832" s="242"/>
      <c r="T832" s="242"/>
      <c r="U832" s="242"/>
      <c r="V832" s="242"/>
      <c r="W832" s="242"/>
      <c r="X832" s="242"/>
      <c r="Y832" s="242"/>
      <c r="Z832" s="242"/>
      <c r="AA832" s="242"/>
      <c r="AB832" s="242"/>
      <c r="AC832" s="242"/>
      <c r="AD832" s="242"/>
      <c r="AE832" s="242"/>
      <c r="AF832" s="242"/>
      <c r="AG832" s="242"/>
      <c r="AH832" s="242"/>
      <c r="AI832" s="242"/>
      <c r="AJ832" s="242"/>
      <c r="AK832" s="242"/>
      <c r="AL832" s="242"/>
      <c r="AM832" s="242"/>
      <c r="AN832" s="242"/>
      <c r="AO832" s="242"/>
    </row>
    <row r="833">
      <c r="A833" s="181">
        <v>15607.0</v>
      </c>
      <c r="B833" s="175" t="s">
        <v>1540</v>
      </c>
      <c r="C833" s="174">
        <v>2022.0</v>
      </c>
      <c r="D833" s="176" t="s">
        <v>52</v>
      </c>
      <c r="E833" s="176" t="s">
        <v>82</v>
      </c>
      <c r="F833" s="271" t="s">
        <v>3381</v>
      </c>
      <c r="G833" s="178">
        <v>45770.0</v>
      </c>
      <c r="H833" s="179">
        <f t="shared" si="1"/>
        <v>0</v>
      </c>
      <c r="I833" s="180" t="s">
        <v>857</v>
      </c>
      <c r="J833" s="178">
        <v>45770.0</v>
      </c>
      <c r="K833" s="175" t="s">
        <v>2758</v>
      </c>
    </row>
    <row r="834">
      <c r="A834" s="183">
        <v>15608.0</v>
      </c>
      <c r="B834" s="142" t="s">
        <v>1462</v>
      </c>
      <c r="C834" s="168">
        <v>2015.0</v>
      </c>
      <c r="D834" s="142" t="s">
        <v>3854</v>
      </c>
      <c r="E834" s="142" t="s">
        <v>582</v>
      </c>
      <c r="F834" s="241">
        <v>45762.0</v>
      </c>
      <c r="G834" s="171">
        <v>45770.0</v>
      </c>
      <c r="H834" s="172">
        <f t="shared" si="1"/>
        <v>33</v>
      </c>
      <c r="I834" s="253" t="s">
        <v>4036</v>
      </c>
      <c r="J834" s="268">
        <v>45803.0</v>
      </c>
      <c r="K834" s="169" t="s">
        <v>2758</v>
      </c>
    </row>
    <row r="835">
      <c r="A835" s="181">
        <v>15611.0</v>
      </c>
      <c r="B835" s="175" t="s">
        <v>759</v>
      </c>
      <c r="C835" s="174">
        <v>2022.0</v>
      </c>
      <c r="D835" s="176" t="s">
        <v>52</v>
      </c>
      <c r="E835" s="176" t="s">
        <v>125</v>
      </c>
      <c r="F835" s="177" t="s">
        <v>760</v>
      </c>
      <c r="G835" s="178">
        <v>45771.0</v>
      </c>
      <c r="H835" s="179">
        <f t="shared" si="1"/>
        <v>0</v>
      </c>
      <c r="I835" s="180" t="s">
        <v>4037</v>
      </c>
      <c r="J835" s="178">
        <v>45771.0</v>
      </c>
      <c r="K835" s="175" t="s">
        <v>2758</v>
      </c>
    </row>
    <row r="836">
      <c r="A836" s="183">
        <v>15612.0</v>
      </c>
      <c r="B836" s="169" t="s">
        <v>729</v>
      </c>
      <c r="C836" s="168">
        <v>2020.0</v>
      </c>
      <c r="D836" s="142" t="s">
        <v>75</v>
      </c>
      <c r="E836" s="142" t="s">
        <v>4038</v>
      </c>
      <c r="F836" s="170" t="s">
        <v>731</v>
      </c>
      <c r="G836" s="171">
        <v>45770.0</v>
      </c>
      <c r="H836" s="172">
        <f t="shared" si="1"/>
        <v>1</v>
      </c>
      <c r="I836" s="173" t="s">
        <v>4039</v>
      </c>
      <c r="J836" s="171">
        <v>45771.0</v>
      </c>
      <c r="K836" s="169" t="s">
        <v>2758</v>
      </c>
    </row>
    <row r="837">
      <c r="A837" s="174">
        <v>15616.0</v>
      </c>
      <c r="B837" s="175" t="s">
        <v>4040</v>
      </c>
      <c r="C837" s="174">
        <v>2018.0</v>
      </c>
      <c r="D837" s="176" t="s">
        <v>14</v>
      </c>
      <c r="E837" s="176" t="s">
        <v>169</v>
      </c>
      <c r="F837" s="177" t="s">
        <v>731</v>
      </c>
      <c r="G837" s="178">
        <v>45770.0</v>
      </c>
      <c r="H837" s="179">
        <f t="shared" si="1"/>
        <v>1</v>
      </c>
      <c r="I837" s="180" t="s">
        <v>133</v>
      </c>
      <c r="J837" s="178">
        <v>45771.0</v>
      </c>
      <c r="K837" s="175" t="s">
        <v>2758</v>
      </c>
      <c r="L837" s="242"/>
      <c r="M837" s="242"/>
      <c r="N837" s="242"/>
      <c r="O837" s="242"/>
      <c r="P837" s="242"/>
      <c r="Q837" s="242"/>
      <c r="R837" s="242"/>
      <c r="S837" s="242"/>
      <c r="T837" s="242"/>
      <c r="U837" s="242"/>
      <c r="V837" s="242"/>
      <c r="W837" s="242"/>
      <c r="X837" s="242"/>
      <c r="Y837" s="242"/>
      <c r="Z837" s="242"/>
      <c r="AA837" s="242"/>
      <c r="AB837" s="242"/>
      <c r="AC837" s="242"/>
      <c r="AD837" s="242"/>
      <c r="AE837" s="242"/>
      <c r="AF837" s="242"/>
      <c r="AG837" s="242"/>
      <c r="AH837" s="242"/>
      <c r="AI837" s="242"/>
      <c r="AJ837" s="242"/>
      <c r="AK837" s="242"/>
      <c r="AL837" s="242"/>
      <c r="AM837" s="242"/>
      <c r="AN837" s="242"/>
      <c r="AO837" s="242"/>
    </row>
    <row r="838">
      <c r="A838" s="183">
        <v>15619.0</v>
      </c>
      <c r="B838" s="142" t="s">
        <v>3412</v>
      </c>
      <c r="C838" s="168">
        <v>2018.0</v>
      </c>
      <c r="D838" s="142" t="s">
        <v>4041</v>
      </c>
      <c r="E838" s="142" t="s">
        <v>805</v>
      </c>
      <c r="F838" s="170" t="s">
        <v>3413</v>
      </c>
      <c r="G838" s="171">
        <v>45771.0</v>
      </c>
      <c r="H838" s="172">
        <f t="shared" si="1"/>
        <v>12</v>
      </c>
      <c r="I838" s="211" t="s">
        <v>4042</v>
      </c>
      <c r="J838" s="268">
        <v>45783.0</v>
      </c>
      <c r="K838" s="169" t="s">
        <v>31</v>
      </c>
    </row>
    <row r="839">
      <c r="A839" s="220">
        <v>15621.0</v>
      </c>
      <c r="B839" s="274" t="s">
        <v>3029</v>
      </c>
      <c r="C839" s="275">
        <v>2018.0</v>
      </c>
      <c r="D839" s="274" t="s">
        <v>52</v>
      </c>
      <c r="E839" s="274" t="s">
        <v>805</v>
      </c>
      <c r="F839" s="276" t="s">
        <v>3030</v>
      </c>
      <c r="G839" s="224">
        <v>45771.0</v>
      </c>
      <c r="H839" s="179">
        <f t="shared" si="1"/>
        <v>19</v>
      </c>
      <c r="I839" s="232" t="s">
        <v>4043</v>
      </c>
      <c r="J839" s="178">
        <v>45790.0</v>
      </c>
      <c r="K839" s="175" t="s">
        <v>31</v>
      </c>
    </row>
    <row r="840">
      <c r="A840" s="183">
        <v>15622.0</v>
      </c>
      <c r="B840" s="142" t="s">
        <v>3020</v>
      </c>
      <c r="C840" s="168">
        <v>2018.0</v>
      </c>
      <c r="D840" s="142" t="s">
        <v>52</v>
      </c>
      <c r="E840" s="142" t="s">
        <v>805</v>
      </c>
      <c r="F840" s="170" t="s">
        <v>2785</v>
      </c>
      <c r="G840" s="171">
        <v>45771.0</v>
      </c>
      <c r="H840" s="172">
        <f t="shared" si="1"/>
        <v>19</v>
      </c>
      <c r="I840" s="211" t="s">
        <v>2896</v>
      </c>
      <c r="J840" s="268">
        <v>45790.0</v>
      </c>
      <c r="K840" s="169" t="s">
        <v>2758</v>
      </c>
      <c r="L840" s="242"/>
      <c r="M840" s="242"/>
      <c r="N840" s="242"/>
      <c r="O840" s="242"/>
      <c r="P840" s="242"/>
      <c r="Q840" s="242"/>
      <c r="R840" s="242"/>
      <c r="S840" s="242"/>
      <c r="T840" s="242"/>
      <c r="U840" s="242"/>
      <c r="V840" s="242"/>
      <c r="W840" s="242"/>
      <c r="X840" s="242"/>
      <c r="Y840" s="242"/>
      <c r="Z840" s="242"/>
      <c r="AA840" s="242"/>
      <c r="AB840" s="242"/>
      <c r="AC840" s="242"/>
      <c r="AD840" s="242"/>
      <c r="AE840" s="242"/>
      <c r="AF840" s="242"/>
      <c r="AG840" s="242"/>
      <c r="AH840" s="242"/>
      <c r="AI840" s="242"/>
      <c r="AJ840" s="242"/>
      <c r="AK840" s="242"/>
      <c r="AL840" s="242"/>
      <c r="AM840" s="242"/>
      <c r="AN840" s="242"/>
      <c r="AO840" s="242"/>
    </row>
    <row r="841">
      <c r="A841" s="181">
        <v>15623.0</v>
      </c>
      <c r="B841" s="176" t="s">
        <v>2988</v>
      </c>
      <c r="C841" s="174">
        <v>2020.0</v>
      </c>
      <c r="D841" s="176" t="s">
        <v>14</v>
      </c>
      <c r="E841" s="176" t="s">
        <v>2788</v>
      </c>
      <c r="F841" s="177" t="s">
        <v>2989</v>
      </c>
      <c r="G841" s="178">
        <v>45771.0</v>
      </c>
      <c r="H841" s="179">
        <f t="shared" si="1"/>
        <v>33</v>
      </c>
      <c r="I841" s="182" t="s">
        <v>4044</v>
      </c>
      <c r="J841" s="178">
        <v>45804.0</v>
      </c>
      <c r="K841" s="175" t="s">
        <v>2758</v>
      </c>
    </row>
    <row r="842">
      <c r="A842" s="183">
        <v>15625.0</v>
      </c>
      <c r="B842" s="142" t="s">
        <v>2885</v>
      </c>
      <c r="C842" s="168">
        <v>2015.0</v>
      </c>
      <c r="D842" s="142" t="s">
        <v>14</v>
      </c>
      <c r="E842" s="142" t="s">
        <v>225</v>
      </c>
      <c r="F842" s="170" t="s">
        <v>2886</v>
      </c>
      <c r="G842" s="171">
        <v>45771.0</v>
      </c>
      <c r="H842" s="172">
        <f t="shared" si="1"/>
        <v>33</v>
      </c>
      <c r="I842" s="211" t="s">
        <v>4045</v>
      </c>
      <c r="J842" s="171">
        <v>45804.0</v>
      </c>
      <c r="K842" s="169" t="s">
        <v>31</v>
      </c>
    </row>
    <row r="843">
      <c r="A843" s="181">
        <v>15629.0</v>
      </c>
      <c r="B843" s="176" t="s">
        <v>4031</v>
      </c>
      <c r="C843" s="174">
        <v>2018.0</v>
      </c>
      <c r="D843" s="176" t="s">
        <v>14</v>
      </c>
      <c r="E843" s="176" t="s">
        <v>207</v>
      </c>
      <c r="F843" s="177" t="s">
        <v>4032</v>
      </c>
      <c r="G843" s="178">
        <v>45772.0</v>
      </c>
      <c r="H843" s="179">
        <f t="shared" si="1"/>
        <v>34</v>
      </c>
      <c r="I843" s="182" t="s">
        <v>4046</v>
      </c>
      <c r="J843" s="269">
        <v>45806.0</v>
      </c>
      <c r="K843" s="175" t="s">
        <v>31</v>
      </c>
      <c r="L843" s="242"/>
      <c r="M843" s="242"/>
      <c r="N843" s="242"/>
      <c r="O843" s="242"/>
      <c r="P843" s="242"/>
      <c r="Q843" s="242"/>
      <c r="R843" s="242"/>
      <c r="S843" s="242"/>
      <c r="T843" s="242"/>
      <c r="U843" s="242"/>
      <c r="V843" s="242"/>
      <c r="W843" s="242"/>
      <c r="X843" s="242"/>
      <c r="Y843" s="242"/>
      <c r="Z843" s="242"/>
      <c r="AA843" s="242"/>
      <c r="AB843" s="242"/>
      <c r="AC843" s="242"/>
      <c r="AD843" s="242"/>
      <c r="AE843" s="242"/>
      <c r="AF843" s="242"/>
      <c r="AG843" s="242"/>
      <c r="AH843" s="242"/>
      <c r="AI843" s="242"/>
      <c r="AJ843" s="242"/>
      <c r="AK843" s="242"/>
      <c r="AL843" s="242"/>
      <c r="AM843" s="242"/>
      <c r="AN843" s="242"/>
      <c r="AO843" s="242"/>
    </row>
    <row r="844">
      <c r="A844" s="183">
        <v>15639.0</v>
      </c>
      <c r="B844" s="169" t="s">
        <v>392</v>
      </c>
      <c r="C844" s="168">
        <v>2010.0</v>
      </c>
      <c r="D844" s="142" t="s">
        <v>367</v>
      </c>
      <c r="E844" s="142" t="s">
        <v>240</v>
      </c>
      <c r="F844" s="170" t="s">
        <v>393</v>
      </c>
      <c r="G844" s="171">
        <v>45775.0</v>
      </c>
      <c r="H844" s="172">
        <f t="shared" si="1"/>
        <v>0</v>
      </c>
      <c r="I844" s="173" t="s">
        <v>284</v>
      </c>
      <c r="J844" s="171">
        <v>45775.0</v>
      </c>
      <c r="K844" s="169" t="s">
        <v>2758</v>
      </c>
    </row>
    <row r="845">
      <c r="A845" s="181">
        <v>15644.0</v>
      </c>
      <c r="B845" s="175" t="s">
        <v>3022</v>
      </c>
      <c r="C845" s="174">
        <v>2020.0</v>
      </c>
      <c r="D845" s="176" t="s">
        <v>14</v>
      </c>
      <c r="E845" s="176" t="s">
        <v>2788</v>
      </c>
      <c r="F845" s="177" t="s">
        <v>3023</v>
      </c>
      <c r="G845" s="178">
        <v>45775.0</v>
      </c>
      <c r="H845" s="179">
        <f t="shared" si="1"/>
        <v>1</v>
      </c>
      <c r="I845" s="180" t="s">
        <v>2855</v>
      </c>
      <c r="J845" s="178">
        <v>45776.0</v>
      </c>
      <c r="K845" s="175" t="s">
        <v>2758</v>
      </c>
      <c r="L845" s="242"/>
      <c r="M845" s="242"/>
      <c r="N845" s="242"/>
      <c r="O845" s="242"/>
      <c r="P845" s="242"/>
      <c r="Q845" s="242"/>
      <c r="R845" s="242"/>
      <c r="S845" s="242"/>
      <c r="T845" s="242"/>
      <c r="U845" s="242"/>
      <c r="V845" s="242"/>
      <c r="W845" s="242"/>
      <c r="X845" s="242"/>
      <c r="Y845" s="242"/>
      <c r="Z845" s="242"/>
      <c r="AA845" s="242"/>
      <c r="AB845" s="242"/>
      <c r="AC845" s="242"/>
      <c r="AD845" s="242"/>
      <c r="AE845" s="242"/>
      <c r="AF845" s="242"/>
      <c r="AG845" s="242"/>
      <c r="AH845" s="242"/>
      <c r="AI845" s="242"/>
      <c r="AJ845" s="242"/>
      <c r="AK845" s="242"/>
      <c r="AL845" s="242"/>
      <c r="AM845" s="242"/>
      <c r="AN845" s="242"/>
      <c r="AO845" s="242"/>
    </row>
    <row r="846">
      <c r="A846" s="183">
        <v>15646.0</v>
      </c>
      <c r="B846" s="142" t="s">
        <v>3732</v>
      </c>
      <c r="C846" s="168">
        <v>2022.0</v>
      </c>
      <c r="D846" s="142" t="s">
        <v>197</v>
      </c>
      <c r="E846" s="142" t="s">
        <v>2788</v>
      </c>
      <c r="F846" s="170" t="s">
        <v>3733</v>
      </c>
      <c r="G846" s="171">
        <v>45775.0</v>
      </c>
      <c r="H846" s="172">
        <f t="shared" si="1"/>
        <v>1</v>
      </c>
      <c r="I846" s="211" t="s">
        <v>4047</v>
      </c>
      <c r="J846" s="268">
        <v>45776.0</v>
      </c>
      <c r="K846" s="169" t="s">
        <v>2758</v>
      </c>
    </row>
    <row r="847">
      <c r="A847" s="181">
        <v>15651.0</v>
      </c>
      <c r="B847" s="175" t="s">
        <v>3172</v>
      </c>
      <c r="C847" s="174">
        <v>2017.0</v>
      </c>
      <c r="D847" s="176" t="s">
        <v>14</v>
      </c>
      <c r="E847" s="176" t="s">
        <v>2029</v>
      </c>
      <c r="F847" s="177" t="s">
        <v>3173</v>
      </c>
      <c r="G847" s="178">
        <v>45775.0</v>
      </c>
      <c r="H847" s="179">
        <f t="shared" si="1"/>
        <v>36</v>
      </c>
      <c r="I847" s="180" t="s">
        <v>4048</v>
      </c>
      <c r="J847" s="178">
        <v>45811.0</v>
      </c>
      <c r="K847" s="175" t="s">
        <v>2758</v>
      </c>
    </row>
    <row r="848">
      <c r="A848" s="183">
        <v>15653.0</v>
      </c>
      <c r="B848" s="142" t="s">
        <v>3604</v>
      </c>
      <c r="C848" s="168">
        <v>2018.0</v>
      </c>
      <c r="D848" s="142" t="s">
        <v>14</v>
      </c>
      <c r="E848" s="142" t="s">
        <v>855</v>
      </c>
      <c r="F848" s="170" t="s">
        <v>3605</v>
      </c>
      <c r="G848" s="171">
        <v>45775.0</v>
      </c>
      <c r="H848" s="172">
        <f t="shared" si="1"/>
        <v>35</v>
      </c>
      <c r="I848" s="211" t="s">
        <v>4049</v>
      </c>
      <c r="J848" s="171">
        <v>45810.0</v>
      </c>
      <c r="K848" s="169" t="s">
        <v>2758</v>
      </c>
    </row>
    <row r="849">
      <c r="A849" s="181">
        <v>15654.0</v>
      </c>
      <c r="B849" s="176" t="s">
        <v>2048</v>
      </c>
      <c r="C849" s="174">
        <v>2022.0</v>
      </c>
      <c r="D849" s="176" t="s">
        <v>52</v>
      </c>
      <c r="E849" s="176" t="s">
        <v>2672</v>
      </c>
      <c r="F849" s="177" t="s">
        <v>2049</v>
      </c>
      <c r="G849" s="178">
        <v>45775.0</v>
      </c>
      <c r="H849" s="179">
        <f t="shared" si="1"/>
        <v>1</v>
      </c>
      <c r="I849" s="182" t="s">
        <v>4050</v>
      </c>
      <c r="J849" s="269">
        <v>45776.0</v>
      </c>
      <c r="K849" s="175" t="s">
        <v>2758</v>
      </c>
    </row>
    <row r="850">
      <c r="A850" s="183">
        <v>15660.0</v>
      </c>
      <c r="B850" s="142" t="s">
        <v>1782</v>
      </c>
      <c r="C850" s="168">
        <v>2019.0</v>
      </c>
      <c r="D850" s="142" t="s">
        <v>52</v>
      </c>
      <c r="E850" s="142" t="s">
        <v>53</v>
      </c>
      <c r="F850" s="241">
        <v>45978.0</v>
      </c>
      <c r="G850" s="171">
        <v>45776.0</v>
      </c>
      <c r="H850" s="172">
        <f t="shared" si="1"/>
        <v>8</v>
      </c>
      <c r="I850" s="211" t="s">
        <v>4051</v>
      </c>
      <c r="J850" s="268">
        <v>45784.0</v>
      </c>
      <c r="K850" s="169" t="s">
        <v>2758</v>
      </c>
    </row>
    <row r="851">
      <c r="A851" s="181">
        <v>15662.0</v>
      </c>
      <c r="B851" s="175" t="s">
        <v>4052</v>
      </c>
      <c r="C851" s="174">
        <v>2014.0</v>
      </c>
      <c r="D851" s="176" t="s">
        <v>105</v>
      </c>
      <c r="E851" s="176" t="s">
        <v>53</v>
      </c>
      <c r="F851" s="177" t="s">
        <v>3710</v>
      </c>
      <c r="G851" s="178">
        <v>45776.0</v>
      </c>
      <c r="H851" s="179">
        <f t="shared" si="1"/>
        <v>8</v>
      </c>
      <c r="I851" s="180" t="s">
        <v>2265</v>
      </c>
      <c r="J851" s="178">
        <v>45784.0</v>
      </c>
      <c r="K851" s="175" t="s">
        <v>2758</v>
      </c>
    </row>
    <row r="852">
      <c r="A852" s="183">
        <v>15666.0</v>
      </c>
      <c r="B852" s="142" t="s">
        <v>2079</v>
      </c>
      <c r="C852" s="168">
        <v>2022.0</v>
      </c>
      <c r="D852" s="142" t="s">
        <v>52</v>
      </c>
      <c r="E852" s="142" t="s">
        <v>173</v>
      </c>
      <c r="F852" s="170" t="s">
        <v>2081</v>
      </c>
      <c r="G852" s="171">
        <v>45776.0</v>
      </c>
      <c r="H852" s="172">
        <f t="shared" si="1"/>
        <v>0</v>
      </c>
      <c r="I852" s="211" t="s">
        <v>4053</v>
      </c>
      <c r="J852" s="268">
        <v>45776.0</v>
      </c>
      <c r="K852" s="169" t="s">
        <v>2758</v>
      </c>
    </row>
    <row r="853">
      <c r="A853" s="181">
        <v>15668.0</v>
      </c>
      <c r="B853" s="175" t="s">
        <v>3087</v>
      </c>
      <c r="C853" s="174">
        <v>2022.0</v>
      </c>
      <c r="D853" s="176" t="s">
        <v>52</v>
      </c>
      <c r="E853" s="176" t="s">
        <v>855</v>
      </c>
      <c r="F853" s="177" t="s">
        <v>3088</v>
      </c>
      <c r="G853" s="178">
        <v>45776.0</v>
      </c>
      <c r="H853" s="179">
        <f t="shared" si="1"/>
        <v>14</v>
      </c>
      <c r="I853" s="180" t="s">
        <v>4054</v>
      </c>
      <c r="J853" s="178">
        <v>45790.0</v>
      </c>
      <c r="K853" s="175" t="s">
        <v>2758</v>
      </c>
    </row>
    <row r="854">
      <c r="A854" s="183">
        <v>15671.0</v>
      </c>
      <c r="B854" s="142" t="s">
        <v>3112</v>
      </c>
      <c r="C854" s="168">
        <v>2022.0</v>
      </c>
      <c r="D854" s="142" t="s">
        <v>52</v>
      </c>
      <c r="E854" s="142" t="s">
        <v>855</v>
      </c>
      <c r="F854" s="170" t="s">
        <v>3113</v>
      </c>
      <c r="G854" s="171">
        <v>45777.0</v>
      </c>
      <c r="H854" s="172">
        <f t="shared" si="1"/>
        <v>14</v>
      </c>
      <c r="I854" s="211" t="s">
        <v>4055</v>
      </c>
      <c r="J854" s="171">
        <v>45791.0</v>
      </c>
      <c r="K854" s="169" t="s">
        <v>2758</v>
      </c>
      <c r="L854" s="242"/>
      <c r="M854" s="242"/>
      <c r="N854" s="242"/>
      <c r="O854" s="242"/>
      <c r="P854" s="242"/>
      <c r="Q854" s="242"/>
      <c r="R854" s="242"/>
      <c r="S854" s="242"/>
      <c r="T854" s="242"/>
      <c r="U854" s="242"/>
      <c r="V854" s="242"/>
      <c r="W854" s="242"/>
      <c r="X854" s="242"/>
      <c r="Y854" s="242"/>
      <c r="Z854" s="242"/>
      <c r="AA854" s="242"/>
      <c r="AB854" s="242"/>
      <c r="AC854" s="242"/>
      <c r="AD854" s="242"/>
      <c r="AE854" s="242"/>
      <c r="AF854" s="242"/>
      <c r="AG854" s="242"/>
      <c r="AH854" s="242"/>
      <c r="AI854" s="242"/>
      <c r="AJ854" s="242"/>
      <c r="AK854" s="242"/>
      <c r="AL854" s="242"/>
      <c r="AM854" s="242"/>
      <c r="AN854" s="242"/>
      <c r="AO854" s="242"/>
    </row>
    <row r="855">
      <c r="A855" s="181">
        <v>15676.0</v>
      </c>
      <c r="B855" s="175" t="s">
        <v>4056</v>
      </c>
      <c r="C855" s="174">
        <v>2022.0</v>
      </c>
      <c r="D855" s="176" t="s">
        <v>136</v>
      </c>
      <c r="E855" s="176" t="s">
        <v>173</v>
      </c>
      <c r="F855" s="177" t="s">
        <v>1058</v>
      </c>
      <c r="G855" s="178">
        <v>45777.0</v>
      </c>
      <c r="H855" s="179">
        <f t="shared" si="1"/>
        <v>0</v>
      </c>
      <c r="I855" s="180" t="s">
        <v>4057</v>
      </c>
      <c r="J855" s="178">
        <v>45777.0</v>
      </c>
      <c r="K855" s="175" t="s">
        <v>2758</v>
      </c>
    </row>
    <row r="856">
      <c r="A856" s="183">
        <v>15677.0</v>
      </c>
      <c r="B856" s="169" t="s">
        <v>4058</v>
      </c>
      <c r="C856" s="168">
        <v>2021.0</v>
      </c>
      <c r="D856" s="142" t="s">
        <v>52</v>
      </c>
      <c r="E856" s="142" t="s">
        <v>160</v>
      </c>
      <c r="F856" s="170" t="s">
        <v>1511</v>
      </c>
      <c r="G856" s="171">
        <v>45777.0</v>
      </c>
      <c r="H856" s="172">
        <f t="shared" si="1"/>
        <v>0</v>
      </c>
      <c r="I856" s="173" t="s">
        <v>4059</v>
      </c>
      <c r="J856" s="171">
        <v>45777.0</v>
      </c>
      <c r="K856" s="169" t="s">
        <v>2758</v>
      </c>
    </row>
    <row r="857">
      <c r="A857" s="181">
        <v>15681.0</v>
      </c>
      <c r="B857" s="175" t="s">
        <v>4060</v>
      </c>
      <c r="C857" s="174">
        <v>2022.0</v>
      </c>
      <c r="D857" s="176" t="s">
        <v>4061</v>
      </c>
      <c r="E857" s="176" t="s">
        <v>160</v>
      </c>
      <c r="F857" s="177" t="s">
        <v>806</v>
      </c>
      <c r="G857" s="178">
        <v>45782.0</v>
      </c>
      <c r="H857" s="179">
        <f t="shared" si="1"/>
        <v>0</v>
      </c>
      <c r="I857" s="180" t="s">
        <v>4062</v>
      </c>
      <c r="J857" s="178">
        <v>45782.0</v>
      </c>
      <c r="K857" s="175" t="s">
        <v>2758</v>
      </c>
    </row>
    <row r="858">
      <c r="A858" s="183">
        <v>15685.0</v>
      </c>
      <c r="B858" s="142" t="s">
        <v>4063</v>
      </c>
      <c r="C858" s="168">
        <v>2011.0</v>
      </c>
      <c r="D858" s="142" t="s">
        <v>367</v>
      </c>
      <c r="E858" s="142" t="s">
        <v>855</v>
      </c>
      <c r="F858" s="170" t="s">
        <v>4064</v>
      </c>
      <c r="G858" s="171">
        <v>45782.0</v>
      </c>
      <c r="H858" s="172">
        <f t="shared" si="1"/>
        <v>39</v>
      </c>
      <c r="I858" s="266" t="s">
        <v>4065</v>
      </c>
      <c r="J858" s="268">
        <v>45821.0</v>
      </c>
      <c r="K858" s="169" t="s">
        <v>2758</v>
      </c>
    </row>
    <row r="859">
      <c r="A859" s="181">
        <v>15686.0</v>
      </c>
      <c r="B859" s="175" t="s">
        <v>1056</v>
      </c>
      <c r="C859" s="174">
        <v>2022.0</v>
      </c>
      <c r="D859" s="176" t="s">
        <v>136</v>
      </c>
      <c r="E859" s="176" t="s">
        <v>173</v>
      </c>
      <c r="F859" s="177" t="s">
        <v>1058</v>
      </c>
      <c r="G859" s="178">
        <v>45782.0</v>
      </c>
      <c r="H859" s="179">
        <f t="shared" si="1"/>
        <v>0</v>
      </c>
      <c r="I859" s="180" t="s">
        <v>4066</v>
      </c>
      <c r="J859" s="178">
        <v>45782.0</v>
      </c>
      <c r="K859" s="175" t="s">
        <v>2758</v>
      </c>
    </row>
    <row r="860">
      <c r="A860" s="183">
        <v>15687.0</v>
      </c>
      <c r="B860" s="142" t="s">
        <v>4067</v>
      </c>
      <c r="C860" s="168">
        <v>2002.0</v>
      </c>
      <c r="D860" s="273" t="s">
        <v>2647</v>
      </c>
      <c r="E860" s="142" t="s">
        <v>70</v>
      </c>
      <c r="F860" s="170" t="s">
        <v>4068</v>
      </c>
      <c r="G860" s="171">
        <v>45782.0</v>
      </c>
      <c r="H860" s="172">
        <f t="shared" si="1"/>
        <v>106</v>
      </c>
      <c r="I860" s="169" t="s">
        <v>4069</v>
      </c>
      <c r="J860" s="171">
        <v>45888.0</v>
      </c>
      <c r="K860" s="169" t="s">
        <v>31</v>
      </c>
    </row>
    <row r="861">
      <c r="A861" s="181">
        <v>15690.0</v>
      </c>
      <c r="B861" s="176" t="s">
        <v>2553</v>
      </c>
      <c r="C861" s="174">
        <v>2018.0</v>
      </c>
      <c r="D861" s="176" t="s">
        <v>14</v>
      </c>
      <c r="E861" s="176" t="s">
        <v>277</v>
      </c>
      <c r="F861" s="177" t="s">
        <v>2554</v>
      </c>
      <c r="G861" s="178">
        <v>45782.0</v>
      </c>
      <c r="H861" s="179">
        <f t="shared" si="1"/>
        <v>25</v>
      </c>
      <c r="I861" s="182" t="s">
        <v>4070</v>
      </c>
      <c r="J861" s="269">
        <v>45807.0</v>
      </c>
      <c r="K861" s="175" t="s">
        <v>2758</v>
      </c>
    </row>
    <row r="862">
      <c r="A862" s="183">
        <v>15693.0</v>
      </c>
      <c r="B862" s="169" t="s">
        <v>4071</v>
      </c>
      <c r="C862" s="168">
        <v>2022.0</v>
      </c>
      <c r="D862" s="142" t="s">
        <v>52</v>
      </c>
      <c r="E862" s="142" t="s">
        <v>4072</v>
      </c>
      <c r="F862" s="170" t="s">
        <v>96</v>
      </c>
      <c r="G862" s="171">
        <v>45782.0</v>
      </c>
      <c r="H862" s="172">
        <f t="shared" si="1"/>
        <v>0</v>
      </c>
      <c r="I862" s="173" t="s">
        <v>4073</v>
      </c>
      <c r="J862" s="171">
        <v>45782.0</v>
      </c>
      <c r="K862" s="169" t="s">
        <v>2758</v>
      </c>
    </row>
    <row r="863">
      <c r="A863" s="181">
        <v>15694.0</v>
      </c>
      <c r="B863" s="175" t="s">
        <v>2220</v>
      </c>
      <c r="C863" s="174">
        <v>2020.0</v>
      </c>
      <c r="D863" s="176" t="s">
        <v>3455</v>
      </c>
      <c r="E863" s="176" t="s">
        <v>582</v>
      </c>
      <c r="F863" s="234">
        <v>45689.0</v>
      </c>
      <c r="G863" s="178">
        <v>45782.0</v>
      </c>
      <c r="H863" s="179">
        <f t="shared" si="1"/>
        <v>1</v>
      </c>
      <c r="I863" s="180" t="s">
        <v>4074</v>
      </c>
      <c r="J863" s="178">
        <v>45783.0</v>
      </c>
      <c r="K863" s="175" t="s">
        <v>2758</v>
      </c>
    </row>
    <row r="864">
      <c r="A864" s="183">
        <v>15697.0</v>
      </c>
      <c r="B864" s="169" t="s">
        <v>1417</v>
      </c>
      <c r="C864" s="168">
        <v>2015.0</v>
      </c>
      <c r="D864" s="142" t="s">
        <v>130</v>
      </c>
      <c r="E864" s="142" t="s">
        <v>173</v>
      </c>
      <c r="F864" s="170" t="s">
        <v>1419</v>
      </c>
      <c r="G864" s="171">
        <v>45783.0</v>
      </c>
      <c r="H864" s="172">
        <f t="shared" si="1"/>
        <v>0</v>
      </c>
      <c r="I864" s="173" t="s">
        <v>4075</v>
      </c>
      <c r="J864" s="171">
        <v>45783.0</v>
      </c>
      <c r="K864" s="169" t="s">
        <v>2758</v>
      </c>
    </row>
    <row r="865">
      <c r="A865" s="181">
        <v>15700.0</v>
      </c>
      <c r="B865" s="175" t="s">
        <v>2079</v>
      </c>
      <c r="C865" s="174">
        <v>2022.0</v>
      </c>
      <c r="D865" s="176" t="s">
        <v>52</v>
      </c>
      <c r="E865" s="176" t="s">
        <v>173</v>
      </c>
      <c r="F865" s="177" t="s">
        <v>2081</v>
      </c>
      <c r="G865" s="178">
        <v>45783.0</v>
      </c>
      <c r="H865" s="179">
        <f t="shared" si="1"/>
        <v>1</v>
      </c>
      <c r="I865" s="180" t="s">
        <v>4076</v>
      </c>
      <c r="J865" s="178">
        <v>45784.0</v>
      </c>
      <c r="K865" s="175" t="s">
        <v>2758</v>
      </c>
    </row>
    <row r="866">
      <c r="A866" s="183">
        <v>15701.0</v>
      </c>
      <c r="B866" s="169" t="s">
        <v>417</v>
      </c>
      <c r="C866" s="168">
        <v>2022.0</v>
      </c>
      <c r="D866" s="142" t="s">
        <v>52</v>
      </c>
      <c r="E866" s="142" t="s">
        <v>418</v>
      </c>
      <c r="F866" s="170" t="s">
        <v>419</v>
      </c>
      <c r="G866" s="171">
        <v>45783.0</v>
      </c>
      <c r="H866" s="172">
        <f t="shared" si="1"/>
        <v>0</v>
      </c>
      <c r="I866" s="173" t="s">
        <v>30</v>
      </c>
      <c r="J866" s="171">
        <v>45783.0</v>
      </c>
      <c r="K866" s="169" t="s">
        <v>31</v>
      </c>
      <c r="L866" s="242"/>
      <c r="M866" s="242"/>
      <c r="N866" s="242"/>
      <c r="O866" s="242"/>
      <c r="P866" s="242"/>
      <c r="Q866" s="242"/>
      <c r="R866" s="242"/>
      <c r="S866" s="242"/>
      <c r="T866" s="242"/>
      <c r="U866" s="242"/>
      <c r="V866" s="242"/>
      <c r="W866" s="242"/>
      <c r="X866" s="242"/>
      <c r="Y866" s="242"/>
      <c r="Z866" s="242"/>
      <c r="AA866" s="242"/>
      <c r="AB866" s="242"/>
      <c r="AC866" s="242"/>
      <c r="AD866" s="242"/>
      <c r="AE866" s="242"/>
      <c r="AF866" s="242"/>
      <c r="AG866" s="242"/>
      <c r="AH866" s="242"/>
      <c r="AI866" s="242"/>
      <c r="AJ866" s="242"/>
      <c r="AK866" s="242"/>
      <c r="AL866" s="242"/>
      <c r="AM866" s="242"/>
      <c r="AN866" s="242"/>
      <c r="AO866" s="242"/>
    </row>
    <row r="867">
      <c r="A867" s="181">
        <v>15703.0</v>
      </c>
      <c r="B867" s="176" t="s">
        <v>1197</v>
      </c>
      <c r="C867" s="174">
        <v>2022.0</v>
      </c>
      <c r="D867" s="176" t="s">
        <v>52</v>
      </c>
      <c r="E867" s="176" t="s">
        <v>912</v>
      </c>
      <c r="F867" s="177" t="s">
        <v>1198</v>
      </c>
      <c r="G867" s="178">
        <v>45783.0</v>
      </c>
      <c r="H867" s="179">
        <f t="shared" si="1"/>
        <v>14</v>
      </c>
      <c r="I867" s="182" t="s">
        <v>4077</v>
      </c>
      <c r="J867" s="269">
        <v>45797.0</v>
      </c>
      <c r="K867" s="175" t="s">
        <v>1200</v>
      </c>
    </row>
    <row r="868">
      <c r="A868" s="183">
        <v>15703.0</v>
      </c>
      <c r="B868" s="169" t="s">
        <v>1197</v>
      </c>
      <c r="C868" s="168">
        <v>2022.0</v>
      </c>
      <c r="D868" s="142" t="s">
        <v>52</v>
      </c>
      <c r="E868" s="142" t="s">
        <v>912</v>
      </c>
      <c r="F868" s="170" t="s">
        <v>1198</v>
      </c>
      <c r="G868" s="171">
        <v>45783.0</v>
      </c>
      <c r="H868" s="172">
        <f t="shared" si="1"/>
        <v>94</v>
      </c>
      <c r="I868" s="173" t="s">
        <v>4078</v>
      </c>
      <c r="J868" s="171">
        <v>45877.0</v>
      </c>
      <c r="K868" s="169" t="s">
        <v>31</v>
      </c>
    </row>
    <row r="869">
      <c r="A869" s="181">
        <v>15707.0</v>
      </c>
      <c r="B869" s="176" t="s">
        <v>2995</v>
      </c>
      <c r="C869" s="174">
        <v>2022.0</v>
      </c>
      <c r="D869" s="176" t="s">
        <v>14</v>
      </c>
      <c r="E869" s="176" t="s">
        <v>962</v>
      </c>
      <c r="F869" s="177" t="s">
        <v>2996</v>
      </c>
      <c r="G869" s="178">
        <v>45783.0</v>
      </c>
      <c r="H869" s="179">
        <f t="shared" si="1"/>
        <v>30</v>
      </c>
      <c r="I869" s="175" t="s">
        <v>4079</v>
      </c>
      <c r="J869" s="269">
        <v>45813.0</v>
      </c>
      <c r="K869" s="175" t="s">
        <v>2758</v>
      </c>
    </row>
    <row r="870">
      <c r="A870" s="293">
        <v>15707.0</v>
      </c>
      <c r="B870" s="272" t="s">
        <v>2995</v>
      </c>
      <c r="C870" s="294">
        <v>2018.0</v>
      </c>
      <c r="D870" s="273" t="s">
        <v>14</v>
      </c>
      <c r="E870" s="272" t="s">
        <v>962</v>
      </c>
      <c r="F870" s="295" t="s">
        <v>2996</v>
      </c>
      <c r="G870" s="296">
        <v>45783.0</v>
      </c>
      <c r="H870" s="172">
        <f t="shared" si="1"/>
        <v>77</v>
      </c>
      <c r="I870" s="302" t="s">
        <v>4080</v>
      </c>
      <c r="J870" s="171">
        <v>45860.0</v>
      </c>
      <c r="K870" s="169" t="s">
        <v>2758</v>
      </c>
    </row>
    <row r="871">
      <c r="A871" s="181">
        <v>15709.0</v>
      </c>
      <c r="B871" s="175" t="s">
        <v>94</v>
      </c>
      <c r="C871" s="174">
        <v>2022.0</v>
      </c>
      <c r="D871" s="176" t="s">
        <v>52</v>
      </c>
      <c r="E871" s="176" t="s">
        <v>4081</v>
      </c>
      <c r="F871" s="177" t="s">
        <v>96</v>
      </c>
      <c r="G871" s="178">
        <v>45784.0</v>
      </c>
      <c r="H871" s="179">
        <f t="shared" si="1"/>
        <v>2</v>
      </c>
      <c r="I871" s="180" t="s">
        <v>4082</v>
      </c>
      <c r="J871" s="217">
        <v>45786.0</v>
      </c>
      <c r="K871" s="175" t="s">
        <v>2758</v>
      </c>
    </row>
    <row r="872">
      <c r="A872" s="183">
        <v>15710.0</v>
      </c>
      <c r="B872" s="169" t="s">
        <v>3405</v>
      </c>
      <c r="C872" s="168">
        <v>2022.0</v>
      </c>
      <c r="D872" s="142" t="s">
        <v>52</v>
      </c>
      <c r="E872" s="142" t="s">
        <v>125</v>
      </c>
      <c r="F872" s="170" t="s">
        <v>3406</v>
      </c>
      <c r="G872" s="171">
        <v>45784.0</v>
      </c>
      <c r="H872" s="172">
        <f t="shared" si="1"/>
        <v>1</v>
      </c>
      <c r="I872" s="173" t="s">
        <v>668</v>
      </c>
      <c r="J872" s="171">
        <v>45785.0</v>
      </c>
      <c r="K872" s="169" t="s">
        <v>2758</v>
      </c>
    </row>
    <row r="873">
      <c r="A873" s="181">
        <v>15713.0</v>
      </c>
      <c r="B873" s="176" t="s">
        <v>3163</v>
      </c>
      <c r="C873" s="174">
        <v>2020.0</v>
      </c>
      <c r="D873" s="176" t="s">
        <v>14</v>
      </c>
      <c r="E873" s="176" t="s">
        <v>855</v>
      </c>
      <c r="F873" s="177" t="s">
        <v>3164</v>
      </c>
      <c r="G873" s="178">
        <v>45784.0</v>
      </c>
      <c r="H873" s="179">
        <f t="shared" si="1"/>
        <v>5</v>
      </c>
      <c r="I873" s="182" t="s">
        <v>4083</v>
      </c>
      <c r="J873" s="269">
        <v>45789.0</v>
      </c>
      <c r="K873" s="175" t="s">
        <v>2758</v>
      </c>
    </row>
    <row r="874">
      <c r="A874" s="183">
        <v>15715.0</v>
      </c>
      <c r="B874" s="142" t="s">
        <v>2028</v>
      </c>
      <c r="C874" s="168">
        <v>2022.0</v>
      </c>
      <c r="D874" s="142" t="s">
        <v>52</v>
      </c>
      <c r="E874" s="142" t="s">
        <v>3448</v>
      </c>
      <c r="F874" s="170" t="s">
        <v>2030</v>
      </c>
      <c r="G874" s="171">
        <v>45784.0</v>
      </c>
      <c r="H874" s="172">
        <f t="shared" si="1"/>
        <v>9</v>
      </c>
      <c r="I874" s="211" t="s">
        <v>4084</v>
      </c>
      <c r="J874" s="268">
        <v>45793.0</v>
      </c>
      <c r="K874" s="169" t="s">
        <v>2758</v>
      </c>
      <c r="L874" s="242"/>
      <c r="M874" s="242"/>
      <c r="N874" s="242"/>
      <c r="O874" s="242"/>
      <c r="P874" s="242"/>
      <c r="Q874" s="242"/>
      <c r="R874" s="242"/>
      <c r="S874" s="242"/>
      <c r="T874" s="242"/>
      <c r="U874" s="242"/>
      <c r="V874" s="242"/>
      <c r="W874" s="242"/>
      <c r="X874" s="242"/>
      <c r="Y874" s="242"/>
      <c r="Z874" s="242"/>
      <c r="AA874" s="242"/>
      <c r="AB874" s="242"/>
      <c r="AC874" s="242"/>
      <c r="AD874" s="242"/>
      <c r="AE874" s="242"/>
      <c r="AF874" s="242"/>
      <c r="AG874" s="242"/>
      <c r="AH874" s="242"/>
      <c r="AI874" s="242"/>
      <c r="AJ874" s="242"/>
      <c r="AK874" s="242"/>
      <c r="AL874" s="242"/>
      <c r="AM874" s="242"/>
      <c r="AN874" s="242"/>
      <c r="AO874" s="242"/>
    </row>
    <row r="875">
      <c r="A875" s="181">
        <v>15716.0</v>
      </c>
      <c r="B875" s="175" t="s">
        <v>3748</v>
      </c>
      <c r="C875" s="174">
        <v>2022.0</v>
      </c>
      <c r="D875" s="176" t="s">
        <v>52</v>
      </c>
      <c r="E875" s="176" t="s">
        <v>183</v>
      </c>
      <c r="F875" s="177" t="s">
        <v>3749</v>
      </c>
      <c r="G875" s="178">
        <v>45784.0</v>
      </c>
      <c r="H875" s="179">
        <f t="shared" si="1"/>
        <v>1</v>
      </c>
      <c r="I875" s="180" t="s">
        <v>4085</v>
      </c>
      <c r="J875" s="178">
        <v>45785.0</v>
      </c>
      <c r="K875" s="175" t="s">
        <v>2758</v>
      </c>
    </row>
    <row r="876">
      <c r="A876" s="183">
        <v>15717.0</v>
      </c>
      <c r="B876" s="169" t="s">
        <v>1696</v>
      </c>
      <c r="C876" s="168">
        <v>2022.0</v>
      </c>
      <c r="D876" s="142" t="s">
        <v>52</v>
      </c>
      <c r="E876" s="142" t="s">
        <v>1123</v>
      </c>
      <c r="F876" s="170" t="s">
        <v>1698</v>
      </c>
      <c r="G876" s="171">
        <v>45784.0</v>
      </c>
      <c r="H876" s="172">
        <f t="shared" si="1"/>
        <v>0</v>
      </c>
      <c r="I876" s="173" t="s">
        <v>3215</v>
      </c>
      <c r="J876" s="171">
        <v>45784.0</v>
      </c>
      <c r="K876" s="169" t="s">
        <v>2758</v>
      </c>
    </row>
    <row r="877">
      <c r="A877" s="181">
        <v>15720.0</v>
      </c>
      <c r="B877" s="175" t="s">
        <v>675</v>
      </c>
      <c r="C877" s="174">
        <v>2014.0</v>
      </c>
      <c r="D877" s="176" t="s">
        <v>188</v>
      </c>
      <c r="E877" s="176" t="s">
        <v>730</v>
      </c>
      <c r="F877" s="177" t="s">
        <v>4086</v>
      </c>
      <c r="G877" s="178">
        <v>45784.0</v>
      </c>
      <c r="H877" s="179">
        <f t="shared" si="1"/>
        <v>0</v>
      </c>
      <c r="I877" s="180" t="s">
        <v>4087</v>
      </c>
      <c r="J877" s="178">
        <v>45784.0</v>
      </c>
      <c r="K877" s="175" t="s">
        <v>2758</v>
      </c>
      <c r="L877" s="242"/>
      <c r="M877" s="242"/>
      <c r="N877" s="242"/>
      <c r="O877" s="242"/>
      <c r="P877" s="242"/>
      <c r="Q877" s="242"/>
      <c r="R877" s="242"/>
      <c r="S877" s="242"/>
      <c r="T877" s="242"/>
      <c r="U877" s="242"/>
      <c r="V877" s="242"/>
      <c r="W877" s="242"/>
      <c r="X877" s="242"/>
      <c r="Y877" s="242"/>
      <c r="Z877" s="242"/>
      <c r="AA877" s="242"/>
      <c r="AB877" s="242"/>
      <c r="AC877" s="242"/>
      <c r="AD877" s="242"/>
      <c r="AE877" s="242"/>
      <c r="AF877" s="242"/>
      <c r="AG877" s="242"/>
      <c r="AH877" s="242"/>
      <c r="AI877" s="242"/>
      <c r="AJ877" s="242"/>
      <c r="AK877" s="242"/>
      <c r="AL877" s="242"/>
      <c r="AM877" s="242"/>
      <c r="AN877" s="242"/>
      <c r="AO877" s="242"/>
    </row>
    <row r="878">
      <c r="A878" s="183">
        <v>15722.0</v>
      </c>
      <c r="B878" s="169" t="s">
        <v>2970</v>
      </c>
      <c r="C878" s="168">
        <v>2014.0</v>
      </c>
      <c r="D878" s="142" t="s">
        <v>105</v>
      </c>
      <c r="E878" s="142" t="s">
        <v>47</v>
      </c>
      <c r="F878" s="170" t="s">
        <v>2971</v>
      </c>
      <c r="G878" s="171">
        <v>45784.0</v>
      </c>
      <c r="H878" s="172">
        <f t="shared" si="1"/>
        <v>0</v>
      </c>
      <c r="I878" s="173" t="s">
        <v>1016</v>
      </c>
      <c r="J878" s="171">
        <v>45784.0</v>
      </c>
      <c r="K878" s="169" t="s">
        <v>1200</v>
      </c>
      <c r="L878" s="242"/>
      <c r="M878" s="242"/>
      <c r="N878" s="242"/>
      <c r="O878" s="242"/>
      <c r="P878" s="242"/>
      <c r="Q878" s="242"/>
      <c r="R878" s="242"/>
      <c r="S878" s="242"/>
      <c r="T878" s="242"/>
      <c r="U878" s="242"/>
      <c r="V878" s="242"/>
      <c r="W878" s="242"/>
      <c r="X878" s="242"/>
      <c r="Y878" s="242"/>
      <c r="Z878" s="242"/>
      <c r="AA878" s="242"/>
      <c r="AB878" s="242"/>
      <c r="AC878" s="242"/>
      <c r="AD878" s="242"/>
      <c r="AE878" s="242"/>
      <c r="AF878" s="242"/>
      <c r="AG878" s="242"/>
      <c r="AH878" s="242"/>
      <c r="AI878" s="242"/>
      <c r="AJ878" s="242"/>
      <c r="AK878" s="242"/>
      <c r="AL878" s="242"/>
      <c r="AM878" s="242"/>
      <c r="AN878" s="242"/>
      <c r="AO878" s="242"/>
    </row>
    <row r="879">
      <c r="A879" s="181">
        <v>15732.0</v>
      </c>
      <c r="B879" s="175" t="s">
        <v>1591</v>
      </c>
      <c r="C879" s="174">
        <v>2014.0</v>
      </c>
      <c r="D879" s="176" t="s">
        <v>130</v>
      </c>
      <c r="E879" s="176" t="s">
        <v>47</v>
      </c>
      <c r="F879" s="177" t="s">
        <v>1956</v>
      </c>
      <c r="G879" s="178">
        <v>45784.0</v>
      </c>
      <c r="H879" s="179">
        <f t="shared" si="1"/>
        <v>0</v>
      </c>
      <c r="I879" s="180" t="s">
        <v>133</v>
      </c>
      <c r="J879" s="178">
        <v>45784.0</v>
      </c>
      <c r="K879" s="175" t="s">
        <v>2758</v>
      </c>
    </row>
    <row r="880">
      <c r="A880" s="183">
        <v>15738.0</v>
      </c>
      <c r="B880" s="169" t="s">
        <v>4088</v>
      </c>
      <c r="C880" s="168">
        <v>2022.0</v>
      </c>
      <c r="D880" s="142" t="s">
        <v>52</v>
      </c>
      <c r="E880" s="142" t="s">
        <v>125</v>
      </c>
      <c r="F880" s="170" t="s">
        <v>4089</v>
      </c>
      <c r="G880" s="171">
        <v>45784.0</v>
      </c>
      <c r="H880" s="172">
        <f t="shared" si="1"/>
        <v>1</v>
      </c>
      <c r="I880" s="173" t="s">
        <v>668</v>
      </c>
      <c r="J880" s="171">
        <v>45785.0</v>
      </c>
      <c r="K880" s="169" t="s">
        <v>2758</v>
      </c>
    </row>
    <row r="881">
      <c r="A881" s="181">
        <v>15747.0</v>
      </c>
      <c r="B881" s="176" t="s">
        <v>3951</v>
      </c>
      <c r="C881" s="174">
        <v>2020.0</v>
      </c>
      <c r="D881" s="176" t="s">
        <v>14</v>
      </c>
      <c r="E881" s="176" t="s">
        <v>855</v>
      </c>
      <c r="F881" s="177" t="s">
        <v>3952</v>
      </c>
      <c r="G881" s="178">
        <v>45785.0</v>
      </c>
      <c r="H881" s="179">
        <f t="shared" si="1"/>
        <v>5</v>
      </c>
      <c r="I881" s="180" t="s">
        <v>4090</v>
      </c>
      <c r="J881" s="178">
        <v>45790.0</v>
      </c>
      <c r="K881" s="175" t="s">
        <v>2758</v>
      </c>
    </row>
    <row r="882">
      <c r="A882" s="183">
        <v>15752.0</v>
      </c>
      <c r="B882" s="142" t="s">
        <v>954</v>
      </c>
      <c r="C882" s="168">
        <v>2015.0</v>
      </c>
      <c r="D882" s="142" t="s">
        <v>52</v>
      </c>
      <c r="E882" s="142" t="s">
        <v>399</v>
      </c>
      <c r="F882" s="170" t="s">
        <v>1383</v>
      </c>
      <c r="G882" s="171">
        <v>45785.0</v>
      </c>
      <c r="H882" s="172">
        <f t="shared" si="1"/>
        <v>25</v>
      </c>
      <c r="I882" s="211" t="s">
        <v>3252</v>
      </c>
      <c r="J882" s="171">
        <v>45810.0</v>
      </c>
      <c r="K882" s="169" t="s">
        <v>31</v>
      </c>
    </row>
    <row r="883">
      <c r="A883" s="181">
        <v>15756.0</v>
      </c>
      <c r="B883" s="176" t="s">
        <v>3971</v>
      </c>
      <c r="C883" s="174">
        <v>2010.0</v>
      </c>
      <c r="D883" s="176" t="s">
        <v>367</v>
      </c>
      <c r="E883" s="176" t="s">
        <v>3448</v>
      </c>
      <c r="F883" s="177" t="s">
        <v>2803</v>
      </c>
      <c r="G883" s="178">
        <v>45785.0</v>
      </c>
      <c r="H883" s="179">
        <f t="shared" si="1"/>
        <v>41</v>
      </c>
      <c r="I883" s="175" t="s">
        <v>4091</v>
      </c>
      <c r="J883" s="178">
        <v>45826.0</v>
      </c>
      <c r="K883" s="175" t="s">
        <v>31</v>
      </c>
      <c r="L883" s="242"/>
      <c r="M883" s="242"/>
      <c r="N883" s="242"/>
      <c r="O883" s="242"/>
      <c r="P883" s="242"/>
      <c r="Q883" s="242"/>
      <c r="R883" s="242"/>
      <c r="S883" s="242"/>
      <c r="T883" s="242"/>
      <c r="U883" s="242"/>
      <c r="V883" s="242"/>
      <c r="W883" s="242"/>
      <c r="X883" s="242"/>
      <c r="Y883" s="242"/>
      <c r="Z883" s="242"/>
      <c r="AA883" s="242"/>
      <c r="AB883" s="242"/>
      <c r="AC883" s="242"/>
      <c r="AD883" s="242"/>
      <c r="AE883" s="242"/>
      <c r="AF883" s="242"/>
      <c r="AG883" s="242"/>
      <c r="AH883" s="242"/>
      <c r="AI883" s="242"/>
      <c r="AJ883" s="242"/>
      <c r="AK883" s="242"/>
      <c r="AL883" s="242"/>
      <c r="AM883" s="242"/>
      <c r="AN883" s="242"/>
      <c r="AO883" s="242"/>
    </row>
    <row r="884">
      <c r="A884" s="183">
        <v>15757.0</v>
      </c>
      <c r="B884" s="142" t="s">
        <v>3195</v>
      </c>
      <c r="C884" s="168">
        <v>2014.0</v>
      </c>
      <c r="D884" s="142" t="s">
        <v>2875</v>
      </c>
      <c r="E884" s="142" t="s">
        <v>630</v>
      </c>
      <c r="F884" s="170" t="s">
        <v>3196</v>
      </c>
      <c r="G884" s="171">
        <v>45785.0</v>
      </c>
      <c r="H884" s="172">
        <f t="shared" si="1"/>
        <v>8</v>
      </c>
      <c r="I884" s="211" t="s">
        <v>4092</v>
      </c>
      <c r="J884" s="268">
        <v>45793.0</v>
      </c>
      <c r="K884" s="169" t="s">
        <v>31</v>
      </c>
    </row>
    <row r="885">
      <c r="A885" s="181">
        <v>15758.0</v>
      </c>
      <c r="B885" s="175" t="s">
        <v>498</v>
      </c>
      <c r="C885" s="174">
        <v>2022.0</v>
      </c>
      <c r="D885" s="176" t="s">
        <v>52</v>
      </c>
      <c r="E885" s="176" t="s">
        <v>350</v>
      </c>
      <c r="F885" s="177" t="s">
        <v>499</v>
      </c>
      <c r="G885" s="178">
        <v>45786.0</v>
      </c>
      <c r="H885" s="179">
        <f t="shared" si="1"/>
        <v>3</v>
      </c>
      <c r="I885" s="180" t="s">
        <v>150</v>
      </c>
      <c r="J885" s="178">
        <v>45789.0</v>
      </c>
      <c r="K885" s="175" t="s">
        <v>2758</v>
      </c>
    </row>
    <row r="886">
      <c r="A886" s="183">
        <v>15759.0</v>
      </c>
      <c r="B886" s="169" t="s">
        <v>3485</v>
      </c>
      <c r="C886" s="168">
        <v>2018.0</v>
      </c>
      <c r="D886" s="142" t="s">
        <v>14</v>
      </c>
      <c r="E886" s="142" t="s">
        <v>4093</v>
      </c>
      <c r="F886" s="170" t="s">
        <v>221</v>
      </c>
      <c r="G886" s="171">
        <v>45786.0</v>
      </c>
      <c r="H886" s="172">
        <f t="shared" si="1"/>
        <v>4</v>
      </c>
      <c r="I886" s="173" t="s">
        <v>4094</v>
      </c>
      <c r="J886" s="171">
        <v>45790.0</v>
      </c>
      <c r="K886" s="169" t="s">
        <v>2758</v>
      </c>
    </row>
    <row r="887">
      <c r="A887" s="181">
        <v>15761.0</v>
      </c>
      <c r="B887" s="175" t="s">
        <v>3133</v>
      </c>
      <c r="C887" s="174">
        <v>2014.0</v>
      </c>
      <c r="D887" s="176" t="s">
        <v>130</v>
      </c>
      <c r="E887" s="176" t="s">
        <v>805</v>
      </c>
      <c r="F887" s="177" t="s">
        <v>4095</v>
      </c>
      <c r="G887" s="178">
        <v>45786.0</v>
      </c>
      <c r="H887" s="179">
        <f t="shared" si="1"/>
        <v>0</v>
      </c>
      <c r="I887" s="180" t="s">
        <v>3062</v>
      </c>
      <c r="J887" s="178">
        <v>45786.0</v>
      </c>
      <c r="K887" s="175" t="s">
        <v>2758</v>
      </c>
    </row>
    <row r="888" ht="16.5" customHeight="1">
      <c r="A888" s="183">
        <v>15762.0</v>
      </c>
      <c r="B888" s="142" t="s">
        <v>2693</v>
      </c>
      <c r="C888" s="168">
        <v>2011.0</v>
      </c>
      <c r="D888" s="142" t="s">
        <v>367</v>
      </c>
      <c r="E888" s="142" t="s">
        <v>3448</v>
      </c>
      <c r="F888" s="170" t="s">
        <v>2694</v>
      </c>
      <c r="G888" s="171">
        <v>45786.0</v>
      </c>
      <c r="H888" s="172">
        <f t="shared" si="1"/>
        <v>63</v>
      </c>
      <c r="I888" s="169" t="s">
        <v>4096</v>
      </c>
      <c r="J888" s="268">
        <v>45849.0</v>
      </c>
      <c r="K888" s="169" t="s">
        <v>31</v>
      </c>
    </row>
    <row r="889">
      <c r="A889" s="181">
        <v>15765.0</v>
      </c>
      <c r="B889" s="175" t="s">
        <v>1732</v>
      </c>
      <c r="C889" s="174">
        <v>2022.0</v>
      </c>
      <c r="D889" s="176" t="s">
        <v>52</v>
      </c>
      <c r="E889" s="176" t="s">
        <v>4097</v>
      </c>
      <c r="F889" s="177" t="s">
        <v>4098</v>
      </c>
      <c r="G889" s="178">
        <v>45789.0</v>
      </c>
      <c r="H889" s="179">
        <f t="shared" si="1"/>
        <v>0</v>
      </c>
      <c r="I889" s="180" t="s">
        <v>4099</v>
      </c>
      <c r="J889" s="178">
        <v>45789.0</v>
      </c>
      <c r="K889" s="175" t="s">
        <v>2758</v>
      </c>
      <c r="L889" s="242"/>
      <c r="M889" s="242"/>
      <c r="N889" s="242"/>
      <c r="O889" s="242"/>
      <c r="P889" s="242"/>
      <c r="Q889" s="242"/>
      <c r="R889" s="242"/>
      <c r="S889" s="242"/>
      <c r="T889" s="242"/>
      <c r="U889" s="242"/>
      <c r="V889" s="242"/>
      <c r="W889" s="242"/>
      <c r="X889" s="242"/>
      <c r="Y889" s="242"/>
      <c r="Z889" s="242"/>
      <c r="AA889" s="242"/>
      <c r="AB889" s="242"/>
      <c r="AC889" s="242"/>
      <c r="AD889" s="242"/>
      <c r="AE889" s="242"/>
      <c r="AF889" s="242"/>
      <c r="AG889" s="242"/>
      <c r="AH889" s="242"/>
      <c r="AI889" s="242"/>
      <c r="AJ889" s="242"/>
      <c r="AK889" s="242"/>
      <c r="AL889" s="242"/>
      <c r="AM889" s="242"/>
      <c r="AN889" s="242"/>
      <c r="AO889" s="242"/>
    </row>
    <row r="890">
      <c r="A890" s="183">
        <v>15766.0</v>
      </c>
      <c r="B890" s="169" t="s">
        <v>965</v>
      </c>
      <c r="C890" s="168">
        <v>2022.0</v>
      </c>
      <c r="D890" s="142" t="s">
        <v>52</v>
      </c>
      <c r="E890" s="142" t="s">
        <v>368</v>
      </c>
      <c r="F890" s="170" t="s">
        <v>966</v>
      </c>
      <c r="G890" s="171">
        <v>45789.0</v>
      </c>
      <c r="H890" s="172">
        <f t="shared" si="1"/>
        <v>0</v>
      </c>
      <c r="I890" s="173" t="s">
        <v>3721</v>
      </c>
      <c r="J890" s="171">
        <v>45789.0</v>
      </c>
      <c r="K890" s="169" t="s">
        <v>2758</v>
      </c>
      <c r="L890" s="242"/>
      <c r="M890" s="242"/>
      <c r="N890" s="242"/>
      <c r="O890" s="242"/>
      <c r="P890" s="242"/>
      <c r="Q890" s="242"/>
      <c r="R890" s="242"/>
      <c r="S890" s="242"/>
      <c r="T890" s="242"/>
      <c r="U890" s="242"/>
      <c r="V890" s="242"/>
      <c r="W890" s="242"/>
      <c r="X890" s="242"/>
      <c r="Y890" s="242"/>
      <c r="Z890" s="242"/>
      <c r="AA890" s="242"/>
      <c r="AB890" s="242"/>
      <c r="AC890" s="242"/>
      <c r="AD890" s="242"/>
      <c r="AE890" s="242"/>
      <c r="AF890" s="242"/>
      <c r="AG890" s="242"/>
      <c r="AH890" s="242"/>
      <c r="AI890" s="242"/>
      <c r="AJ890" s="242"/>
      <c r="AK890" s="242"/>
      <c r="AL890" s="242"/>
      <c r="AM890" s="242"/>
      <c r="AN890" s="242"/>
      <c r="AO890" s="242"/>
    </row>
    <row r="891">
      <c r="A891" s="181">
        <v>15768.0</v>
      </c>
      <c r="B891" s="175" t="s">
        <v>4100</v>
      </c>
      <c r="C891" s="174">
        <v>2014.0</v>
      </c>
      <c r="D891" s="176" t="s">
        <v>2875</v>
      </c>
      <c r="E891" s="176" t="s">
        <v>630</v>
      </c>
      <c r="F891" s="177" t="s">
        <v>4101</v>
      </c>
      <c r="G891" s="178">
        <v>45789.0</v>
      </c>
      <c r="H891" s="179">
        <f t="shared" si="1"/>
        <v>3</v>
      </c>
      <c r="I891" s="180" t="s">
        <v>4102</v>
      </c>
      <c r="J891" s="178">
        <v>45792.0</v>
      </c>
      <c r="K891" s="175" t="s">
        <v>2758</v>
      </c>
    </row>
    <row r="892" ht="16.5" customHeight="1">
      <c r="A892" s="183">
        <v>15772.0</v>
      </c>
      <c r="B892" s="169" t="s">
        <v>2380</v>
      </c>
      <c r="C892" s="168">
        <v>2015.0</v>
      </c>
      <c r="D892" s="142" t="s">
        <v>130</v>
      </c>
      <c r="E892" s="142" t="s">
        <v>350</v>
      </c>
      <c r="F892" s="170" t="s">
        <v>2381</v>
      </c>
      <c r="G892" s="171">
        <v>45789.0</v>
      </c>
      <c r="H892" s="172">
        <f t="shared" si="1"/>
        <v>1</v>
      </c>
      <c r="I892" s="173" t="s">
        <v>4103</v>
      </c>
      <c r="J892" s="171">
        <v>45790.0</v>
      </c>
      <c r="K892" s="169" t="s">
        <v>2758</v>
      </c>
    </row>
    <row r="893">
      <c r="A893" s="181">
        <v>15773.0</v>
      </c>
      <c r="B893" s="176" t="s">
        <v>395</v>
      </c>
      <c r="C893" s="174">
        <v>2014.0</v>
      </c>
      <c r="D893" s="176" t="s">
        <v>136</v>
      </c>
      <c r="E893" s="176" t="s">
        <v>47</v>
      </c>
      <c r="F893" s="177" t="s">
        <v>396</v>
      </c>
      <c r="G893" s="178">
        <v>45789.0</v>
      </c>
      <c r="H893" s="179">
        <f t="shared" si="1"/>
        <v>1</v>
      </c>
      <c r="I893" s="180" t="s">
        <v>4104</v>
      </c>
      <c r="J893" s="178">
        <v>45790.0</v>
      </c>
      <c r="K893" s="175" t="s">
        <v>2758</v>
      </c>
      <c r="L893" s="242"/>
      <c r="M893" s="242"/>
      <c r="N893" s="242"/>
      <c r="O893" s="242"/>
      <c r="P893" s="242"/>
      <c r="Q893" s="242"/>
      <c r="R893" s="242"/>
      <c r="S893" s="242"/>
      <c r="T893" s="242"/>
      <c r="U893" s="242"/>
      <c r="V893" s="242"/>
      <c r="W893" s="242"/>
      <c r="X893" s="242"/>
      <c r="Y893" s="242"/>
      <c r="Z893" s="242"/>
      <c r="AA893" s="242"/>
      <c r="AB893" s="242"/>
      <c r="AC893" s="242"/>
      <c r="AD893" s="242"/>
      <c r="AE893" s="242"/>
      <c r="AF893" s="242"/>
      <c r="AG893" s="242"/>
      <c r="AH893" s="242"/>
      <c r="AI893" s="242"/>
      <c r="AJ893" s="242"/>
      <c r="AK893" s="242"/>
      <c r="AL893" s="242"/>
      <c r="AM893" s="242"/>
      <c r="AN893" s="242"/>
      <c r="AO893" s="242"/>
    </row>
    <row r="894">
      <c r="A894" s="183">
        <v>15774.0</v>
      </c>
      <c r="B894" s="283" t="s">
        <v>4105</v>
      </c>
      <c r="C894" s="168">
        <v>2014.0</v>
      </c>
      <c r="D894" s="142" t="s">
        <v>188</v>
      </c>
      <c r="E894" s="142" t="s">
        <v>47</v>
      </c>
      <c r="F894" s="170" t="s">
        <v>4106</v>
      </c>
      <c r="G894" s="171">
        <v>45789.0</v>
      </c>
      <c r="H894" s="172">
        <f t="shared" si="1"/>
        <v>3</v>
      </c>
      <c r="I894" s="211" t="s">
        <v>4107</v>
      </c>
      <c r="J894" s="268">
        <v>45792.0</v>
      </c>
      <c r="K894" s="169" t="s">
        <v>2758</v>
      </c>
    </row>
    <row r="895">
      <c r="A895" s="181">
        <v>15776.0</v>
      </c>
      <c r="B895" s="175" t="s">
        <v>829</v>
      </c>
      <c r="C895" s="174">
        <v>2022.0</v>
      </c>
      <c r="D895" s="176" t="s">
        <v>52</v>
      </c>
      <c r="E895" s="176" t="s">
        <v>4072</v>
      </c>
      <c r="F895" s="177" t="s">
        <v>830</v>
      </c>
      <c r="G895" s="178">
        <v>45790.0</v>
      </c>
      <c r="H895" s="179">
        <f t="shared" si="1"/>
        <v>0</v>
      </c>
      <c r="I895" s="180" t="s">
        <v>3094</v>
      </c>
      <c r="J895" s="178">
        <v>45790.0</v>
      </c>
      <c r="K895" s="175" t="s">
        <v>2758</v>
      </c>
      <c r="L895" s="242"/>
      <c r="M895" s="242"/>
      <c r="N895" s="242"/>
      <c r="O895" s="242"/>
      <c r="P895" s="242"/>
      <c r="Q895" s="242"/>
      <c r="R895" s="242"/>
      <c r="S895" s="242"/>
      <c r="T895" s="242"/>
      <c r="U895" s="242"/>
      <c r="V895" s="242"/>
      <c r="W895" s="242"/>
      <c r="X895" s="242"/>
      <c r="Y895" s="242"/>
      <c r="Z895" s="242"/>
      <c r="AA895" s="242"/>
      <c r="AB895" s="242"/>
      <c r="AC895" s="242"/>
      <c r="AD895" s="242"/>
      <c r="AE895" s="242"/>
      <c r="AF895" s="242"/>
      <c r="AG895" s="242"/>
      <c r="AH895" s="242"/>
      <c r="AI895" s="242"/>
      <c r="AJ895" s="242"/>
      <c r="AK895" s="242"/>
      <c r="AL895" s="242"/>
      <c r="AM895" s="242"/>
      <c r="AN895" s="242"/>
      <c r="AO895" s="242"/>
    </row>
    <row r="896">
      <c r="A896" s="183">
        <v>15779.0</v>
      </c>
      <c r="B896" s="142" t="s">
        <v>729</v>
      </c>
      <c r="C896" s="168">
        <v>2020.0</v>
      </c>
      <c r="D896" s="142" t="s">
        <v>75</v>
      </c>
      <c r="E896" s="142" t="s">
        <v>1447</v>
      </c>
      <c r="F896" s="170" t="s">
        <v>731</v>
      </c>
      <c r="G896" s="171">
        <v>45790.0</v>
      </c>
      <c r="H896" s="172">
        <f t="shared" si="1"/>
        <v>2</v>
      </c>
      <c r="I896" s="211" t="s">
        <v>4108</v>
      </c>
      <c r="J896" s="268">
        <v>45792.0</v>
      </c>
      <c r="K896" s="169" t="s">
        <v>2758</v>
      </c>
    </row>
    <row r="897">
      <c r="A897" s="181">
        <v>15782.0</v>
      </c>
      <c r="B897" s="176" t="s">
        <v>3192</v>
      </c>
      <c r="C897" s="174">
        <v>2010.0</v>
      </c>
      <c r="D897" s="176" t="s">
        <v>367</v>
      </c>
      <c r="E897" s="176" t="s">
        <v>3448</v>
      </c>
      <c r="F897" s="177" t="s">
        <v>3542</v>
      </c>
      <c r="G897" s="178">
        <v>45790.0</v>
      </c>
      <c r="H897" s="179">
        <f t="shared" si="1"/>
        <v>2</v>
      </c>
      <c r="I897" s="182" t="s">
        <v>4109</v>
      </c>
      <c r="J897" s="269">
        <v>45792.0</v>
      </c>
      <c r="K897" s="175" t="s">
        <v>31</v>
      </c>
    </row>
    <row r="898">
      <c r="A898" s="183">
        <v>15784.0</v>
      </c>
      <c r="B898" s="169" t="s">
        <v>4110</v>
      </c>
      <c r="C898" s="168">
        <v>2015.0</v>
      </c>
      <c r="D898" s="142" t="s">
        <v>52</v>
      </c>
      <c r="E898" s="142" t="s">
        <v>547</v>
      </c>
      <c r="F898" s="241">
        <v>45878.0</v>
      </c>
      <c r="G898" s="171">
        <v>45790.0</v>
      </c>
      <c r="H898" s="172">
        <f t="shared" si="1"/>
        <v>0</v>
      </c>
      <c r="I898" s="173" t="s">
        <v>4111</v>
      </c>
      <c r="J898" s="171">
        <v>45790.0</v>
      </c>
      <c r="K898" s="169" t="s">
        <v>2758</v>
      </c>
    </row>
    <row r="899">
      <c r="A899" s="181">
        <v>15785.0</v>
      </c>
      <c r="B899" s="175" t="s">
        <v>388</v>
      </c>
      <c r="C899" s="174">
        <v>2010.0</v>
      </c>
      <c r="D899" s="176" t="s">
        <v>367</v>
      </c>
      <c r="E899" s="176" t="s">
        <v>805</v>
      </c>
      <c r="F899" s="177" t="s">
        <v>389</v>
      </c>
      <c r="G899" s="178">
        <v>45790.0</v>
      </c>
      <c r="H899" s="179">
        <f t="shared" si="1"/>
        <v>1</v>
      </c>
      <c r="I899" s="180" t="s">
        <v>3792</v>
      </c>
      <c r="J899" s="178">
        <v>45791.0</v>
      </c>
      <c r="K899" s="175" t="s">
        <v>2758</v>
      </c>
    </row>
    <row r="900">
      <c r="A900" s="183">
        <v>15786.0</v>
      </c>
      <c r="B900" s="142" t="s">
        <v>3967</v>
      </c>
      <c r="C900" s="168">
        <v>2022.0</v>
      </c>
      <c r="D900" s="142" t="s">
        <v>14</v>
      </c>
      <c r="E900" s="142" t="s">
        <v>2746</v>
      </c>
      <c r="F900" s="170" t="s">
        <v>3969</v>
      </c>
      <c r="G900" s="171">
        <v>45790.0</v>
      </c>
      <c r="H900" s="172">
        <f t="shared" si="1"/>
        <v>2</v>
      </c>
      <c r="I900" s="211" t="s">
        <v>4112</v>
      </c>
      <c r="J900" s="268">
        <v>45792.0</v>
      </c>
      <c r="K900" s="169" t="s">
        <v>2758</v>
      </c>
    </row>
    <row r="901">
      <c r="A901" s="181">
        <v>15790.0</v>
      </c>
      <c r="B901" s="176" t="s">
        <v>3425</v>
      </c>
      <c r="C901" s="174">
        <v>2020.0</v>
      </c>
      <c r="D901" s="176" t="s">
        <v>14</v>
      </c>
      <c r="E901" s="176" t="s">
        <v>855</v>
      </c>
      <c r="F901" s="177" t="s">
        <v>3426</v>
      </c>
      <c r="G901" s="178">
        <v>45791.0</v>
      </c>
      <c r="H901" s="179">
        <f t="shared" si="1"/>
        <v>15</v>
      </c>
      <c r="I901" s="253" t="s">
        <v>3097</v>
      </c>
      <c r="J901" s="178">
        <v>45806.0</v>
      </c>
      <c r="K901" s="175" t="s">
        <v>2758</v>
      </c>
    </row>
    <row r="902">
      <c r="A902" s="183">
        <v>15794.0</v>
      </c>
      <c r="B902" s="142" t="s">
        <v>1518</v>
      </c>
      <c r="C902" s="168">
        <v>2018.0</v>
      </c>
      <c r="D902" s="142" t="s">
        <v>14</v>
      </c>
      <c r="E902" s="142" t="s">
        <v>912</v>
      </c>
      <c r="F902" s="170" t="s">
        <v>912</v>
      </c>
      <c r="G902" s="171">
        <v>45791.0</v>
      </c>
      <c r="H902" s="172">
        <f t="shared" si="1"/>
        <v>7</v>
      </c>
      <c r="I902" s="211" t="s">
        <v>3418</v>
      </c>
      <c r="J902" s="268">
        <v>45798.0</v>
      </c>
      <c r="K902" s="169" t="s">
        <v>37</v>
      </c>
    </row>
    <row r="903">
      <c r="A903" s="181">
        <v>15798.0</v>
      </c>
      <c r="B903" s="175" t="s">
        <v>39</v>
      </c>
      <c r="C903" s="174">
        <v>2022.0</v>
      </c>
      <c r="D903" s="176" t="s">
        <v>52</v>
      </c>
      <c r="E903" s="176" t="s">
        <v>41</v>
      </c>
      <c r="F903" s="177" t="s">
        <v>42</v>
      </c>
      <c r="G903" s="178">
        <v>45731.0</v>
      </c>
      <c r="H903" s="179">
        <f t="shared" si="1"/>
        <v>61</v>
      </c>
      <c r="I903" s="180" t="s">
        <v>4113</v>
      </c>
      <c r="J903" s="178">
        <v>45792.0</v>
      </c>
      <c r="K903" s="175" t="s">
        <v>2758</v>
      </c>
    </row>
    <row r="904">
      <c r="A904" s="183">
        <v>15801.0</v>
      </c>
      <c r="B904" s="169" t="s">
        <v>2927</v>
      </c>
      <c r="C904" s="168">
        <v>2022.0</v>
      </c>
      <c r="D904" s="142" t="s">
        <v>52</v>
      </c>
      <c r="E904" s="142" t="s">
        <v>610</v>
      </c>
      <c r="F904" s="170" t="s">
        <v>2928</v>
      </c>
      <c r="G904" s="171">
        <v>45792.0</v>
      </c>
      <c r="H904" s="172">
        <f t="shared" si="1"/>
        <v>0</v>
      </c>
      <c r="I904" s="303" t="s">
        <v>4114</v>
      </c>
      <c r="J904" s="171">
        <v>45792.0</v>
      </c>
      <c r="K904" s="169" t="s">
        <v>2758</v>
      </c>
    </row>
    <row r="905">
      <c r="A905" s="181">
        <v>15802.0</v>
      </c>
      <c r="B905" s="175" t="s">
        <v>4115</v>
      </c>
      <c r="C905" s="174">
        <v>2018.0</v>
      </c>
      <c r="D905" s="176" t="s">
        <v>14</v>
      </c>
      <c r="E905" s="176" t="s">
        <v>173</v>
      </c>
      <c r="F905" s="177" t="s">
        <v>4116</v>
      </c>
      <c r="G905" s="178">
        <v>45792.0</v>
      </c>
      <c r="H905" s="179">
        <f t="shared" si="1"/>
        <v>0</v>
      </c>
      <c r="I905" s="180" t="s">
        <v>533</v>
      </c>
      <c r="J905" s="178">
        <v>45792.0</v>
      </c>
      <c r="K905" s="175" t="s">
        <v>17</v>
      </c>
    </row>
    <row r="906">
      <c r="A906" s="183">
        <v>15804.0</v>
      </c>
      <c r="B906" s="169" t="s">
        <v>992</v>
      </c>
      <c r="C906" s="168">
        <v>2021.0</v>
      </c>
      <c r="D906" s="142" t="s">
        <v>358</v>
      </c>
      <c r="E906" s="142" t="s">
        <v>4117</v>
      </c>
      <c r="F906" s="170" t="s">
        <v>993</v>
      </c>
      <c r="G906" s="171">
        <v>45792.0</v>
      </c>
      <c r="H906" s="172">
        <f t="shared" si="1"/>
        <v>0</v>
      </c>
      <c r="I906" s="173" t="s">
        <v>579</v>
      </c>
      <c r="J906" s="171">
        <v>45792.0</v>
      </c>
      <c r="K906" s="169" t="s">
        <v>2758</v>
      </c>
    </row>
    <row r="907">
      <c r="A907" s="181">
        <v>15805.0</v>
      </c>
      <c r="B907" s="175" t="s">
        <v>1594</v>
      </c>
      <c r="C907" s="174">
        <v>2022.0</v>
      </c>
      <c r="D907" s="176" t="s">
        <v>52</v>
      </c>
      <c r="E907" s="176" t="s">
        <v>805</v>
      </c>
      <c r="F907" s="177" t="s">
        <v>65</v>
      </c>
      <c r="G907" s="178">
        <v>45792.0</v>
      </c>
      <c r="H907" s="179">
        <f t="shared" si="1"/>
        <v>6</v>
      </c>
      <c r="I907" s="180" t="s">
        <v>4118</v>
      </c>
      <c r="J907" s="178">
        <v>45798.0</v>
      </c>
      <c r="K907" s="175" t="s">
        <v>2758</v>
      </c>
    </row>
    <row r="908">
      <c r="A908" s="183">
        <v>15806.0</v>
      </c>
      <c r="B908" s="142" t="s">
        <v>4119</v>
      </c>
      <c r="C908" s="168">
        <v>2010.0</v>
      </c>
      <c r="D908" s="142" t="s">
        <v>367</v>
      </c>
      <c r="E908" s="142" t="s">
        <v>866</v>
      </c>
      <c r="F908" s="170" t="s">
        <v>4120</v>
      </c>
      <c r="G908" s="171">
        <v>45792.0</v>
      </c>
      <c r="H908" s="172">
        <f t="shared" si="1"/>
        <v>43</v>
      </c>
      <c r="I908" s="169" t="s">
        <v>4121</v>
      </c>
      <c r="J908" s="171">
        <v>45835.0</v>
      </c>
      <c r="K908" s="169" t="s">
        <v>2758</v>
      </c>
      <c r="L908" s="242"/>
      <c r="M908" s="242"/>
      <c r="N908" s="242"/>
      <c r="O908" s="242"/>
      <c r="P908" s="242"/>
      <c r="Q908" s="242"/>
      <c r="R908" s="242"/>
      <c r="S908" s="242"/>
      <c r="T908" s="242"/>
      <c r="U908" s="242"/>
      <c r="V908" s="242"/>
      <c r="W908" s="242"/>
      <c r="X908" s="242"/>
      <c r="Y908" s="242"/>
      <c r="Z908" s="242"/>
      <c r="AA908" s="242"/>
      <c r="AB908" s="242"/>
      <c r="AC908" s="242"/>
      <c r="AD908" s="242"/>
      <c r="AE908" s="242"/>
      <c r="AF908" s="242"/>
      <c r="AG908" s="242"/>
      <c r="AH908" s="242"/>
      <c r="AI908" s="242"/>
      <c r="AJ908" s="242"/>
      <c r="AK908" s="242"/>
      <c r="AL908" s="242"/>
      <c r="AM908" s="242"/>
      <c r="AN908" s="242"/>
      <c r="AO908" s="242"/>
    </row>
    <row r="909">
      <c r="A909" s="181">
        <v>15807.0</v>
      </c>
      <c r="B909" s="176" t="s">
        <v>1167</v>
      </c>
      <c r="C909" s="174">
        <v>2015.0</v>
      </c>
      <c r="D909" s="176" t="s">
        <v>14</v>
      </c>
      <c r="E909" s="176" t="s">
        <v>725</v>
      </c>
      <c r="F909" s="177" t="s">
        <v>1168</v>
      </c>
      <c r="G909" s="178">
        <v>45792.0</v>
      </c>
      <c r="H909" s="179">
        <f t="shared" si="1"/>
        <v>20</v>
      </c>
      <c r="I909" s="175" t="s">
        <v>4122</v>
      </c>
      <c r="J909" s="269">
        <v>45812.0</v>
      </c>
      <c r="K909" s="175" t="s">
        <v>2758</v>
      </c>
    </row>
    <row r="910">
      <c r="A910" s="183">
        <v>15808.0</v>
      </c>
      <c r="B910" s="142" t="s">
        <v>2499</v>
      </c>
      <c r="C910" s="168">
        <v>2014.0</v>
      </c>
      <c r="D910" s="142" t="s">
        <v>188</v>
      </c>
      <c r="E910" s="142" t="s">
        <v>2672</v>
      </c>
      <c r="F910" s="241">
        <v>45860.0</v>
      </c>
      <c r="G910" s="171">
        <v>45792.0</v>
      </c>
      <c r="H910" s="172">
        <f t="shared" si="1"/>
        <v>1</v>
      </c>
      <c r="I910" s="211" t="s">
        <v>4096</v>
      </c>
      <c r="J910" s="268">
        <v>45793.0</v>
      </c>
      <c r="K910" s="169" t="s">
        <v>2758</v>
      </c>
    </row>
    <row r="911">
      <c r="A911" s="181">
        <v>15809.0</v>
      </c>
      <c r="B911" s="175" t="s">
        <v>3538</v>
      </c>
      <c r="C911" s="174">
        <v>2022.0</v>
      </c>
      <c r="D911" s="176" t="s">
        <v>52</v>
      </c>
      <c r="E911" s="176" t="s">
        <v>2941</v>
      </c>
      <c r="F911" s="177" t="s">
        <v>4123</v>
      </c>
      <c r="G911" s="178">
        <v>45793.0</v>
      </c>
      <c r="H911" s="179">
        <f t="shared" si="1"/>
        <v>0</v>
      </c>
      <c r="I911" s="180" t="s">
        <v>4124</v>
      </c>
      <c r="J911" s="217">
        <v>45793.0</v>
      </c>
      <c r="K911" s="175" t="s">
        <v>2758</v>
      </c>
    </row>
    <row r="912">
      <c r="A912" s="183">
        <v>15811.0</v>
      </c>
      <c r="B912" s="169" t="s">
        <v>4125</v>
      </c>
      <c r="C912" s="168">
        <v>2014.0</v>
      </c>
      <c r="D912" s="142" t="s">
        <v>130</v>
      </c>
      <c r="E912" s="142" t="s">
        <v>2672</v>
      </c>
      <c r="F912" s="170" t="s">
        <v>2122</v>
      </c>
      <c r="G912" s="171">
        <v>45792.0</v>
      </c>
      <c r="H912" s="172">
        <f t="shared" si="1"/>
        <v>0</v>
      </c>
      <c r="I912" s="173" t="s">
        <v>4077</v>
      </c>
      <c r="J912" s="171">
        <v>45792.0</v>
      </c>
      <c r="K912" s="169" t="s">
        <v>1200</v>
      </c>
      <c r="L912" s="242"/>
      <c r="M912" s="242"/>
      <c r="N912" s="242"/>
      <c r="O912" s="242"/>
      <c r="P912" s="242"/>
      <c r="Q912" s="242"/>
      <c r="R912" s="242"/>
      <c r="S912" s="242"/>
      <c r="T912" s="242"/>
      <c r="U912" s="242"/>
      <c r="V912" s="242"/>
      <c r="W912" s="242"/>
      <c r="X912" s="242"/>
      <c r="Y912" s="242"/>
      <c r="Z912" s="242"/>
      <c r="AA912" s="242"/>
      <c r="AB912" s="242"/>
      <c r="AC912" s="242"/>
      <c r="AD912" s="242"/>
      <c r="AE912" s="242"/>
      <c r="AF912" s="242"/>
      <c r="AG912" s="242"/>
      <c r="AH912" s="242"/>
      <c r="AI912" s="242"/>
      <c r="AJ912" s="242"/>
      <c r="AK912" s="242"/>
      <c r="AL912" s="242"/>
      <c r="AM912" s="242"/>
      <c r="AN912" s="242"/>
      <c r="AO912" s="242"/>
    </row>
    <row r="913">
      <c r="A913" s="181">
        <v>15813.0</v>
      </c>
      <c r="B913" s="175" t="s">
        <v>2002</v>
      </c>
      <c r="C913" s="174">
        <v>2022.0</v>
      </c>
      <c r="D913" s="176" t="s">
        <v>52</v>
      </c>
      <c r="E913" s="176" t="s">
        <v>630</v>
      </c>
      <c r="F913" s="177" t="s">
        <v>2003</v>
      </c>
      <c r="G913" s="178">
        <v>45793.0</v>
      </c>
      <c r="H913" s="179">
        <f t="shared" si="1"/>
        <v>0</v>
      </c>
      <c r="I913" s="180" t="s">
        <v>2914</v>
      </c>
      <c r="J913" s="178">
        <v>45793.0</v>
      </c>
      <c r="K913" s="175" t="s">
        <v>31</v>
      </c>
      <c r="L913" s="242"/>
      <c r="M913" s="242"/>
      <c r="N913" s="242"/>
      <c r="O913" s="242"/>
      <c r="P913" s="242"/>
      <c r="Q913" s="242"/>
      <c r="R913" s="242"/>
      <c r="S913" s="242"/>
      <c r="T913" s="242"/>
      <c r="U913" s="242"/>
      <c r="V913" s="242"/>
      <c r="W913" s="242"/>
      <c r="X913" s="242"/>
      <c r="Y913" s="242"/>
      <c r="Z913" s="242"/>
      <c r="AA913" s="242"/>
      <c r="AB913" s="242"/>
      <c r="AC913" s="242"/>
      <c r="AD913" s="242"/>
      <c r="AE913" s="242"/>
      <c r="AF913" s="242"/>
      <c r="AG913" s="242"/>
      <c r="AH913" s="242"/>
      <c r="AI913" s="242"/>
      <c r="AJ913" s="242"/>
      <c r="AK913" s="242"/>
      <c r="AL913" s="242"/>
      <c r="AM913" s="242"/>
      <c r="AN913" s="242"/>
      <c r="AO913" s="242"/>
    </row>
    <row r="914">
      <c r="A914" s="183">
        <v>15814.0</v>
      </c>
      <c r="B914" s="169" t="s">
        <v>4126</v>
      </c>
      <c r="C914" s="168">
        <v>2014.0</v>
      </c>
      <c r="D914" s="142" t="s">
        <v>130</v>
      </c>
      <c r="E914" s="142" t="s">
        <v>805</v>
      </c>
      <c r="F914" s="170" t="s">
        <v>3388</v>
      </c>
      <c r="G914" s="171">
        <v>45793.0</v>
      </c>
      <c r="H914" s="172">
        <f t="shared" si="1"/>
        <v>4</v>
      </c>
      <c r="I914" s="173" t="s">
        <v>4127</v>
      </c>
      <c r="J914" s="171">
        <v>45797.0</v>
      </c>
      <c r="K914" s="169" t="s">
        <v>2758</v>
      </c>
    </row>
    <row r="915">
      <c r="A915" s="174">
        <v>15816.0</v>
      </c>
      <c r="B915" s="175" t="s">
        <v>4128</v>
      </c>
      <c r="C915" s="174">
        <v>2014.0</v>
      </c>
      <c r="D915" s="176" t="s">
        <v>130</v>
      </c>
      <c r="E915" s="176" t="s">
        <v>137</v>
      </c>
      <c r="F915" s="177" t="s">
        <v>4129</v>
      </c>
      <c r="G915" s="178">
        <v>45793.0</v>
      </c>
      <c r="H915" s="179">
        <f t="shared" si="1"/>
        <v>4</v>
      </c>
      <c r="I915" s="180" t="s">
        <v>133</v>
      </c>
      <c r="J915" s="178">
        <v>45797.0</v>
      </c>
      <c r="K915" s="175" t="s">
        <v>2758</v>
      </c>
    </row>
    <row r="916">
      <c r="A916" s="183">
        <v>15817.0</v>
      </c>
      <c r="B916" s="142" t="s">
        <v>3433</v>
      </c>
      <c r="C916" s="168">
        <v>2010.0</v>
      </c>
      <c r="D916" s="142" t="s">
        <v>2647</v>
      </c>
      <c r="E916" s="142" t="s">
        <v>53</v>
      </c>
      <c r="F916" s="170" t="s">
        <v>3434</v>
      </c>
      <c r="G916" s="171">
        <v>45793.0</v>
      </c>
      <c r="H916" s="172">
        <f t="shared" si="1"/>
        <v>97</v>
      </c>
      <c r="I916" s="169" t="s">
        <v>4130</v>
      </c>
      <c r="J916" s="171">
        <v>45890.0</v>
      </c>
      <c r="K916" s="169" t="s">
        <v>31</v>
      </c>
    </row>
    <row r="917" ht="15.0" customHeight="1">
      <c r="A917" s="181">
        <v>15818.0</v>
      </c>
      <c r="B917" s="175" t="s">
        <v>3022</v>
      </c>
      <c r="C917" s="174">
        <v>2020.0</v>
      </c>
      <c r="D917" s="176" t="s">
        <v>14</v>
      </c>
      <c r="E917" s="176" t="s">
        <v>2788</v>
      </c>
      <c r="F917" s="177">
        <v>29.0</v>
      </c>
      <c r="G917" s="178">
        <v>45793.0</v>
      </c>
      <c r="H917" s="179">
        <f t="shared" si="1"/>
        <v>4</v>
      </c>
      <c r="I917" s="180" t="s">
        <v>3097</v>
      </c>
      <c r="J917" s="178">
        <v>45797.0</v>
      </c>
      <c r="K917" s="175" t="s">
        <v>2758</v>
      </c>
    </row>
    <row r="918">
      <c r="A918" s="183">
        <v>15819.0</v>
      </c>
      <c r="B918" s="142" t="s">
        <v>1682</v>
      </c>
      <c r="C918" s="168">
        <v>2020.0</v>
      </c>
      <c r="D918" s="142" t="s">
        <v>14</v>
      </c>
      <c r="E918" s="142" t="s">
        <v>143</v>
      </c>
      <c r="F918" s="170" t="s">
        <v>1683</v>
      </c>
      <c r="G918" s="171">
        <v>45793.0</v>
      </c>
      <c r="H918" s="172">
        <f t="shared" si="1"/>
        <v>39</v>
      </c>
      <c r="I918" s="169" t="s">
        <v>1016</v>
      </c>
      <c r="J918" s="268">
        <v>45832.0</v>
      </c>
      <c r="K918" s="169" t="s">
        <v>31</v>
      </c>
    </row>
    <row r="919">
      <c r="A919" s="181">
        <v>15820.0</v>
      </c>
      <c r="B919" s="175" t="s">
        <v>705</v>
      </c>
      <c r="C919" s="174">
        <v>2022.0</v>
      </c>
      <c r="D919" s="176" t="s">
        <v>52</v>
      </c>
      <c r="E919" s="176" t="s">
        <v>169</v>
      </c>
      <c r="F919" s="177" t="s">
        <v>706</v>
      </c>
      <c r="G919" s="178">
        <v>45796.0</v>
      </c>
      <c r="H919" s="179">
        <f t="shared" si="1"/>
        <v>2</v>
      </c>
      <c r="I919" s="180" t="s">
        <v>4131</v>
      </c>
      <c r="J919" s="178">
        <v>45798.0</v>
      </c>
      <c r="K919" s="175" t="s">
        <v>2758</v>
      </c>
    </row>
    <row r="920">
      <c r="A920" s="183">
        <v>15824.0</v>
      </c>
      <c r="B920" s="142" t="s">
        <v>2812</v>
      </c>
      <c r="C920" s="168">
        <v>2015.0</v>
      </c>
      <c r="D920" s="142" t="s">
        <v>14</v>
      </c>
      <c r="E920" s="142" t="s">
        <v>4132</v>
      </c>
      <c r="F920" s="170" t="s">
        <v>2813</v>
      </c>
      <c r="G920" s="171">
        <v>45796.0</v>
      </c>
      <c r="H920" s="172">
        <f t="shared" si="1"/>
        <v>92</v>
      </c>
      <c r="I920" s="169" t="s">
        <v>4133</v>
      </c>
      <c r="J920" s="268">
        <v>45888.0</v>
      </c>
      <c r="K920" s="169" t="s">
        <v>31</v>
      </c>
    </row>
    <row r="921">
      <c r="A921" s="181">
        <v>15825.0</v>
      </c>
      <c r="B921" s="176" t="s">
        <v>181</v>
      </c>
      <c r="C921" s="174">
        <v>2017.0</v>
      </c>
      <c r="D921" s="176" t="s">
        <v>14</v>
      </c>
      <c r="E921" s="176" t="s">
        <v>183</v>
      </c>
      <c r="F921" s="177" t="s">
        <v>184</v>
      </c>
      <c r="G921" s="178">
        <v>45796.0</v>
      </c>
      <c r="H921" s="179">
        <f t="shared" si="1"/>
        <v>46</v>
      </c>
      <c r="I921" s="175" t="s">
        <v>4134</v>
      </c>
      <c r="J921" s="269">
        <v>45842.0</v>
      </c>
      <c r="K921" s="175" t="s">
        <v>31</v>
      </c>
    </row>
    <row r="922">
      <c r="A922" s="183">
        <v>15826.0</v>
      </c>
      <c r="B922" s="142" t="s">
        <v>1613</v>
      </c>
      <c r="C922" s="168">
        <v>2017.0</v>
      </c>
      <c r="D922" s="142" t="s">
        <v>14</v>
      </c>
      <c r="E922" s="142" t="s">
        <v>277</v>
      </c>
      <c r="F922" s="170" t="s">
        <v>226</v>
      </c>
      <c r="G922" s="171">
        <v>45796.0</v>
      </c>
      <c r="H922" s="172">
        <f t="shared" si="1"/>
        <v>31</v>
      </c>
      <c r="I922" s="169" t="s">
        <v>4135</v>
      </c>
      <c r="J922" s="268">
        <v>45827.0</v>
      </c>
      <c r="K922" s="169" t="s">
        <v>2758</v>
      </c>
      <c r="L922" s="242"/>
      <c r="M922" s="242"/>
      <c r="N922" s="242"/>
      <c r="O922" s="242"/>
      <c r="P922" s="242"/>
      <c r="Q922" s="242"/>
      <c r="R922" s="242"/>
      <c r="S922" s="242"/>
      <c r="T922" s="242"/>
      <c r="U922" s="242"/>
      <c r="V922" s="242"/>
      <c r="W922" s="242"/>
      <c r="X922" s="242"/>
      <c r="Y922" s="242"/>
      <c r="Z922" s="242"/>
      <c r="AA922" s="242"/>
      <c r="AB922" s="242"/>
      <c r="AC922" s="242"/>
      <c r="AD922" s="242"/>
      <c r="AE922" s="242"/>
      <c r="AF922" s="242"/>
      <c r="AG922" s="242"/>
      <c r="AH922" s="242"/>
      <c r="AI922" s="242"/>
      <c r="AJ922" s="242"/>
      <c r="AK922" s="242"/>
      <c r="AL922" s="242"/>
      <c r="AM922" s="242"/>
      <c r="AN922" s="242"/>
      <c r="AO922" s="242"/>
    </row>
    <row r="923">
      <c r="A923" s="304">
        <v>15827.0</v>
      </c>
      <c r="B923" s="176" t="s">
        <v>3206</v>
      </c>
      <c r="C923" s="174">
        <v>2013.0</v>
      </c>
      <c r="D923" s="176" t="s">
        <v>105</v>
      </c>
      <c r="E923" s="176" t="s">
        <v>106</v>
      </c>
      <c r="F923" s="177" t="s">
        <v>107</v>
      </c>
      <c r="G923" s="178">
        <v>45796.0</v>
      </c>
      <c r="H923" s="179">
        <f t="shared" si="1"/>
        <v>1</v>
      </c>
      <c r="I923" s="182" t="s">
        <v>4136</v>
      </c>
      <c r="J923" s="178">
        <v>45797.0</v>
      </c>
      <c r="K923" s="175" t="s">
        <v>2758</v>
      </c>
      <c r="L923" s="242"/>
      <c r="M923" s="242"/>
      <c r="N923" s="242"/>
      <c r="O923" s="242"/>
      <c r="P923" s="242"/>
      <c r="Q923" s="242"/>
      <c r="R923" s="242"/>
      <c r="S923" s="242"/>
      <c r="T923" s="242"/>
      <c r="U923" s="242"/>
      <c r="V923" s="242"/>
      <c r="W923" s="242"/>
      <c r="X923" s="242"/>
      <c r="Y923" s="242"/>
      <c r="Z923" s="242"/>
      <c r="AA923" s="242"/>
      <c r="AB923" s="242"/>
      <c r="AC923" s="242"/>
      <c r="AD923" s="242"/>
      <c r="AE923" s="242"/>
      <c r="AF923" s="242"/>
      <c r="AG923" s="242"/>
      <c r="AH923" s="242"/>
      <c r="AI923" s="242"/>
      <c r="AJ923" s="242"/>
      <c r="AK923" s="242"/>
      <c r="AL923" s="242"/>
      <c r="AM923" s="242"/>
      <c r="AN923" s="242"/>
      <c r="AO923" s="242"/>
    </row>
    <row r="924">
      <c r="A924" s="183">
        <v>15832.0</v>
      </c>
      <c r="B924" s="169" t="s">
        <v>670</v>
      </c>
      <c r="C924" s="168">
        <v>2015.0</v>
      </c>
      <c r="D924" s="142" t="s">
        <v>148</v>
      </c>
      <c r="E924" s="142" t="s">
        <v>183</v>
      </c>
      <c r="F924" s="241">
        <v>45964.0</v>
      </c>
      <c r="G924" s="171">
        <v>45797.0</v>
      </c>
      <c r="H924" s="172">
        <f t="shared" si="1"/>
        <v>0</v>
      </c>
      <c r="I924" s="173" t="s">
        <v>133</v>
      </c>
      <c r="J924" s="171">
        <v>45797.0</v>
      </c>
      <c r="K924" s="169" t="s">
        <v>2758</v>
      </c>
    </row>
    <row r="925">
      <c r="A925" s="305">
        <v>15836.0</v>
      </c>
      <c r="B925" s="176" t="s">
        <v>883</v>
      </c>
      <c r="C925" s="174">
        <v>2014.0</v>
      </c>
      <c r="D925" s="176" t="s">
        <v>130</v>
      </c>
      <c r="E925" s="176" t="s">
        <v>2672</v>
      </c>
      <c r="F925" s="177" t="s">
        <v>885</v>
      </c>
      <c r="G925" s="178">
        <v>45797.0</v>
      </c>
      <c r="H925" s="179">
        <f t="shared" si="1"/>
        <v>28</v>
      </c>
      <c r="I925" s="175" t="s">
        <v>4137</v>
      </c>
      <c r="J925" s="269">
        <v>45825.0</v>
      </c>
      <c r="K925" s="175" t="s">
        <v>2758</v>
      </c>
    </row>
    <row r="926">
      <c r="A926" s="183">
        <v>15836.0</v>
      </c>
      <c r="B926" s="169" t="s">
        <v>883</v>
      </c>
      <c r="C926" s="168">
        <v>2015.0</v>
      </c>
      <c r="D926" s="142" t="s">
        <v>130</v>
      </c>
      <c r="E926" s="142" t="s">
        <v>805</v>
      </c>
      <c r="F926" s="170" t="s">
        <v>885</v>
      </c>
      <c r="G926" s="171">
        <v>45897.0</v>
      </c>
      <c r="H926" s="172">
        <f t="shared" si="1"/>
        <v>0</v>
      </c>
      <c r="I926" s="173" t="s">
        <v>4138</v>
      </c>
      <c r="J926" s="171">
        <v>45897.0</v>
      </c>
      <c r="K926" s="169" t="s">
        <v>2758</v>
      </c>
      <c r="L926" s="242"/>
      <c r="M926" s="242"/>
      <c r="N926" s="242"/>
      <c r="O926" s="242"/>
      <c r="P926" s="242"/>
      <c r="Q926" s="242"/>
      <c r="R926" s="242"/>
      <c r="S926" s="242"/>
      <c r="T926" s="242"/>
      <c r="U926" s="242"/>
      <c r="V926" s="242"/>
      <c r="W926" s="242"/>
      <c r="X926" s="242"/>
      <c r="Y926" s="242"/>
      <c r="Z926" s="242"/>
      <c r="AA926" s="242"/>
      <c r="AB926" s="242"/>
      <c r="AC926" s="242"/>
      <c r="AD926" s="242"/>
      <c r="AE926" s="242"/>
      <c r="AF926" s="242"/>
      <c r="AG926" s="242"/>
      <c r="AH926" s="242"/>
      <c r="AI926" s="242"/>
      <c r="AJ926" s="242"/>
      <c r="AK926" s="242"/>
      <c r="AL926" s="242"/>
      <c r="AM926" s="242"/>
      <c r="AN926" s="242"/>
      <c r="AO926" s="242"/>
    </row>
    <row r="927">
      <c r="A927" s="181">
        <v>15837.0</v>
      </c>
      <c r="B927" s="175" t="s">
        <v>4139</v>
      </c>
      <c r="C927" s="174">
        <v>2009.0</v>
      </c>
      <c r="D927" s="176" t="s">
        <v>2629</v>
      </c>
      <c r="E927" s="176" t="s">
        <v>2029</v>
      </c>
      <c r="F927" s="177" t="s">
        <v>4140</v>
      </c>
      <c r="G927" s="178">
        <v>45797.0</v>
      </c>
      <c r="H927" s="179">
        <f t="shared" si="1"/>
        <v>0</v>
      </c>
      <c r="I927" s="180" t="s">
        <v>3308</v>
      </c>
      <c r="J927" s="178">
        <v>45797.0</v>
      </c>
      <c r="K927" s="175" t="s">
        <v>2758</v>
      </c>
    </row>
    <row r="928">
      <c r="A928" s="183">
        <v>15839.0</v>
      </c>
      <c r="B928" s="169" t="s">
        <v>4141</v>
      </c>
      <c r="C928" s="168">
        <v>2022.0</v>
      </c>
      <c r="D928" s="142" t="s">
        <v>52</v>
      </c>
      <c r="E928" s="142" t="s">
        <v>855</v>
      </c>
      <c r="F928" s="170" t="s">
        <v>4142</v>
      </c>
      <c r="G928" s="171">
        <v>45797.0</v>
      </c>
      <c r="H928" s="172">
        <f t="shared" si="1"/>
        <v>3</v>
      </c>
      <c r="I928" s="173" t="s">
        <v>4143</v>
      </c>
      <c r="J928" s="171">
        <v>45800.0</v>
      </c>
      <c r="K928" s="169" t="s">
        <v>2758</v>
      </c>
    </row>
    <row r="929">
      <c r="A929" s="181">
        <v>15841.0</v>
      </c>
      <c r="B929" s="175" t="s">
        <v>1840</v>
      </c>
      <c r="C929" s="174">
        <v>2020.0</v>
      </c>
      <c r="D929" s="176" t="s">
        <v>14</v>
      </c>
      <c r="E929" s="176" t="s">
        <v>368</v>
      </c>
      <c r="F929" s="177" t="s">
        <v>1841</v>
      </c>
      <c r="G929" s="178">
        <v>45797.0</v>
      </c>
      <c r="H929" s="179">
        <f t="shared" si="1"/>
        <v>0</v>
      </c>
      <c r="I929" s="180" t="s">
        <v>133</v>
      </c>
      <c r="J929" s="178">
        <v>45797.0</v>
      </c>
      <c r="K929" s="175" t="s">
        <v>2758</v>
      </c>
    </row>
    <row r="930">
      <c r="A930" s="183">
        <v>15841.0</v>
      </c>
      <c r="B930" s="169" t="s">
        <v>2781</v>
      </c>
      <c r="C930" s="168">
        <v>2014.0</v>
      </c>
      <c r="D930" s="142" t="s">
        <v>105</v>
      </c>
      <c r="E930" s="142" t="s">
        <v>368</v>
      </c>
      <c r="F930" s="170" t="s">
        <v>4144</v>
      </c>
      <c r="G930" s="171">
        <v>45797.0</v>
      </c>
      <c r="H930" s="172">
        <f t="shared" si="1"/>
        <v>0</v>
      </c>
      <c r="I930" s="173" t="s">
        <v>133</v>
      </c>
      <c r="J930" s="171">
        <v>45797.0</v>
      </c>
      <c r="K930" s="169" t="s">
        <v>2758</v>
      </c>
    </row>
    <row r="931">
      <c r="A931" s="181">
        <v>15842.0</v>
      </c>
      <c r="B931" s="176" t="s">
        <v>1274</v>
      </c>
      <c r="C931" s="174">
        <v>2015.0</v>
      </c>
      <c r="D931" s="176" t="s">
        <v>52</v>
      </c>
      <c r="E931" s="176" t="s">
        <v>399</v>
      </c>
      <c r="F931" s="177" t="s">
        <v>1275</v>
      </c>
      <c r="G931" s="178">
        <v>45797.0</v>
      </c>
      <c r="H931" s="179">
        <f t="shared" si="1"/>
        <v>1</v>
      </c>
      <c r="I931" s="182" t="s">
        <v>4145</v>
      </c>
      <c r="J931" s="269">
        <v>45798.0</v>
      </c>
      <c r="K931" s="175" t="s">
        <v>2758</v>
      </c>
    </row>
    <row r="932">
      <c r="A932" s="183">
        <v>15844.0</v>
      </c>
      <c r="B932" s="169" t="s">
        <v>4146</v>
      </c>
      <c r="C932" s="168">
        <v>2018.0</v>
      </c>
      <c r="D932" s="142" t="s">
        <v>14</v>
      </c>
      <c r="E932" s="142" t="s">
        <v>137</v>
      </c>
      <c r="F932" s="170" t="s">
        <v>4147</v>
      </c>
      <c r="G932" s="171">
        <v>45798.0</v>
      </c>
      <c r="H932" s="172">
        <f t="shared" si="1"/>
        <v>85</v>
      </c>
      <c r="I932" s="173" t="s">
        <v>4148</v>
      </c>
      <c r="J932" s="171">
        <v>45883.0</v>
      </c>
      <c r="K932" s="169" t="s">
        <v>2758</v>
      </c>
    </row>
    <row r="933">
      <c r="A933" s="181">
        <v>15845.0</v>
      </c>
      <c r="B933" s="176" t="s">
        <v>474</v>
      </c>
      <c r="C933" s="174">
        <v>2011.0</v>
      </c>
      <c r="D933" s="176" t="s">
        <v>367</v>
      </c>
      <c r="E933" s="176" t="s">
        <v>125</v>
      </c>
      <c r="F933" s="177" t="s">
        <v>476</v>
      </c>
      <c r="G933" s="178">
        <v>45798.0</v>
      </c>
      <c r="H933" s="179">
        <f t="shared" si="1"/>
        <v>34</v>
      </c>
      <c r="I933" s="175" t="s">
        <v>2718</v>
      </c>
      <c r="J933" s="269">
        <v>45832.0</v>
      </c>
      <c r="K933" s="175" t="s">
        <v>2758</v>
      </c>
    </row>
    <row r="934">
      <c r="A934" s="183">
        <v>15846.0</v>
      </c>
      <c r="B934" s="169" t="s">
        <v>2742</v>
      </c>
      <c r="C934" s="168">
        <v>2014.0</v>
      </c>
      <c r="D934" s="142" t="s">
        <v>324</v>
      </c>
      <c r="E934" s="142" t="s">
        <v>82</v>
      </c>
      <c r="F934" s="170" t="s">
        <v>2743</v>
      </c>
      <c r="G934" s="171">
        <v>45798.0</v>
      </c>
      <c r="H934" s="172">
        <f t="shared" si="1"/>
        <v>0</v>
      </c>
      <c r="I934" s="173" t="s">
        <v>3121</v>
      </c>
      <c r="J934" s="171">
        <v>45798.0</v>
      </c>
      <c r="K934" s="169" t="s">
        <v>2758</v>
      </c>
    </row>
    <row r="935">
      <c r="A935" s="181">
        <v>15849.0</v>
      </c>
      <c r="B935" s="176" t="s">
        <v>2749</v>
      </c>
      <c r="C935" s="174">
        <v>2011.0</v>
      </c>
      <c r="D935" s="176" t="s">
        <v>367</v>
      </c>
      <c r="E935" s="176" t="s">
        <v>125</v>
      </c>
      <c r="F935" s="177" t="s">
        <v>2751</v>
      </c>
      <c r="G935" s="178">
        <v>45798.0</v>
      </c>
      <c r="H935" s="179">
        <f t="shared" si="1"/>
        <v>43</v>
      </c>
      <c r="I935" s="175" t="s">
        <v>668</v>
      </c>
      <c r="J935" s="269">
        <v>45841.0</v>
      </c>
      <c r="K935" s="175" t="s">
        <v>2758</v>
      </c>
    </row>
    <row r="936">
      <c r="A936" s="183">
        <v>15850.0</v>
      </c>
      <c r="B936" s="142" t="s">
        <v>3115</v>
      </c>
      <c r="C936" s="168">
        <v>2022.0</v>
      </c>
      <c r="D936" s="142" t="s">
        <v>52</v>
      </c>
      <c r="E936" s="142" t="s">
        <v>855</v>
      </c>
      <c r="F936" s="170" t="s">
        <v>3116</v>
      </c>
      <c r="G936" s="171">
        <v>45798.0</v>
      </c>
      <c r="H936" s="172">
        <f t="shared" si="1"/>
        <v>5</v>
      </c>
      <c r="I936" s="211" t="s">
        <v>4149</v>
      </c>
      <c r="J936" s="268">
        <v>45803.0</v>
      </c>
      <c r="K936" s="169" t="s">
        <v>2758</v>
      </c>
      <c r="L936" s="242"/>
      <c r="M936" s="242"/>
      <c r="N936" s="242"/>
      <c r="O936" s="242"/>
      <c r="P936" s="242"/>
      <c r="Q936" s="242"/>
      <c r="R936" s="242"/>
      <c r="S936" s="242"/>
      <c r="T936" s="242"/>
      <c r="U936" s="242"/>
      <c r="V936" s="242"/>
      <c r="W936" s="242"/>
      <c r="X936" s="242"/>
      <c r="Y936" s="242"/>
      <c r="Z936" s="242"/>
      <c r="AA936" s="242"/>
      <c r="AB936" s="242"/>
      <c r="AC936" s="242"/>
      <c r="AD936" s="242"/>
      <c r="AE936" s="242"/>
      <c r="AF936" s="242"/>
      <c r="AG936" s="242"/>
      <c r="AH936" s="242"/>
      <c r="AI936" s="242"/>
      <c r="AJ936" s="242"/>
      <c r="AK936" s="242"/>
      <c r="AL936" s="242"/>
      <c r="AM936" s="242"/>
      <c r="AN936" s="242"/>
      <c r="AO936" s="242"/>
    </row>
    <row r="937">
      <c r="A937" s="181">
        <v>15853.0</v>
      </c>
      <c r="B937" s="176" t="s">
        <v>1556</v>
      </c>
      <c r="C937" s="174">
        <v>2015.0</v>
      </c>
      <c r="D937" s="176" t="s">
        <v>206</v>
      </c>
      <c r="E937" s="176" t="s">
        <v>725</v>
      </c>
      <c r="F937" s="177" t="s">
        <v>1558</v>
      </c>
      <c r="G937" s="178">
        <v>45799.0</v>
      </c>
      <c r="H937" s="179">
        <f t="shared" si="1"/>
        <v>4</v>
      </c>
      <c r="I937" s="182" t="s">
        <v>4150</v>
      </c>
      <c r="J937" s="178">
        <v>45803.0</v>
      </c>
      <c r="K937" s="175" t="s">
        <v>2758</v>
      </c>
    </row>
    <row r="938">
      <c r="A938" s="237">
        <v>15854.0</v>
      </c>
      <c r="B938" s="204" t="s">
        <v>4151</v>
      </c>
      <c r="C938" s="306">
        <v>2018.0</v>
      </c>
      <c r="D938" s="238" t="s">
        <v>14</v>
      </c>
      <c r="E938" s="238" t="s">
        <v>173</v>
      </c>
      <c r="F938" s="170" t="s">
        <v>4116</v>
      </c>
      <c r="G938" s="171">
        <v>45799.0</v>
      </c>
      <c r="H938" s="172">
        <f t="shared" si="1"/>
        <v>0</v>
      </c>
      <c r="I938" s="173" t="s">
        <v>4152</v>
      </c>
      <c r="J938" s="171">
        <v>45799.0</v>
      </c>
      <c r="K938" s="169" t="s">
        <v>2758</v>
      </c>
    </row>
    <row r="939">
      <c r="A939" s="181">
        <v>15857.0</v>
      </c>
      <c r="B939" s="176" t="s">
        <v>3698</v>
      </c>
      <c r="C939" s="174">
        <v>2018.0</v>
      </c>
      <c r="D939" s="176" t="s">
        <v>14</v>
      </c>
      <c r="E939" s="176" t="s">
        <v>2672</v>
      </c>
      <c r="F939" s="234">
        <v>45799.0</v>
      </c>
      <c r="G939" s="178">
        <v>45799.0</v>
      </c>
      <c r="H939" s="179">
        <f t="shared" si="1"/>
        <v>4</v>
      </c>
      <c r="I939" s="182" t="s">
        <v>4153</v>
      </c>
      <c r="J939" s="269">
        <v>45803.0</v>
      </c>
      <c r="K939" s="175" t="s">
        <v>2758</v>
      </c>
    </row>
    <row r="940">
      <c r="A940" s="183">
        <v>15860.0</v>
      </c>
      <c r="B940" s="169" t="s">
        <v>705</v>
      </c>
      <c r="C940" s="168">
        <v>2022.0</v>
      </c>
      <c r="D940" s="142" t="s">
        <v>52</v>
      </c>
      <c r="E940" s="142" t="s">
        <v>169</v>
      </c>
      <c r="F940" s="170" t="s">
        <v>706</v>
      </c>
      <c r="G940" s="171">
        <v>45800.0</v>
      </c>
      <c r="H940" s="172">
        <f t="shared" si="1"/>
        <v>0</v>
      </c>
      <c r="I940" s="173" t="s">
        <v>4154</v>
      </c>
      <c r="J940" s="171">
        <v>45800.0</v>
      </c>
      <c r="K940" s="169" t="s">
        <v>2758</v>
      </c>
    </row>
    <row r="941">
      <c r="A941" s="181">
        <v>15861.0</v>
      </c>
      <c r="B941" s="176" t="s">
        <v>4155</v>
      </c>
      <c r="C941" s="174">
        <v>2020.0</v>
      </c>
      <c r="D941" s="176" t="s">
        <v>14</v>
      </c>
      <c r="E941" s="176" t="s">
        <v>337</v>
      </c>
      <c r="F941" s="177" t="s">
        <v>4156</v>
      </c>
      <c r="G941" s="178">
        <v>45800.0</v>
      </c>
      <c r="H941" s="179">
        <f t="shared" si="1"/>
        <v>11</v>
      </c>
      <c r="I941" s="182" t="s">
        <v>1016</v>
      </c>
      <c r="J941" s="269">
        <v>45811.0</v>
      </c>
      <c r="K941" s="175" t="s">
        <v>2758</v>
      </c>
    </row>
    <row r="942">
      <c r="A942" s="183">
        <v>15861.0</v>
      </c>
      <c r="B942" s="142" t="s">
        <v>4155</v>
      </c>
      <c r="C942" s="168">
        <v>2020.0</v>
      </c>
      <c r="D942" s="142" t="s">
        <v>14</v>
      </c>
      <c r="E942" s="142" t="s">
        <v>337</v>
      </c>
      <c r="F942" s="170" t="s">
        <v>4156</v>
      </c>
      <c r="G942" s="171">
        <v>45800.0</v>
      </c>
      <c r="H942" s="172">
        <f t="shared" si="1"/>
        <v>11</v>
      </c>
      <c r="I942" s="211" t="s">
        <v>1016</v>
      </c>
      <c r="J942" s="268">
        <v>45811.0</v>
      </c>
      <c r="K942" s="169" t="s">
        <v>2758</v>
      </c>
      <c r="L942" s="242"/>
      <c r="M942" s="242"/>
      <c r="N942" s="242"/>
      <c r="O942" s="242"/>
      <c r="P942" s="242"/>
      <c r="Q942" s="242"/>
      <c r="R942" s="242"/>
      <c r="S942" s="242"/>
      <c r="T942" s="242"/>
      <c r="U942" s="242"/>
      <c r="V942" s="242"/>
      <c r="W942" s="242"/>
      <c r="X942" s="242"/>
      <c r="Y942" s="242"/>
      <c r="Z942" s="242"/>
      <c r="AA942" s="242"/>
      <c r="AB942" s="242"/>
      <c r="AC942" s="242"/>
      <c r="AD942" s="242"/>
      <c r="AE942" s="242"/>
      <c r="AF942" s="242"/>
      <c r="AG942" s="242"/>
      <c r="AH942" s="242"/>
      <c r="AI942" s="242"/>
      <c r="AJ942" s="242"/>
      <c r="AK942" s="242"/>
      <c r="AL942" s="242"/>
      <c r="AM942" s="242"/>
      <c r="AN942" s="242"/>
      <c r="AO942" s="242"/>
    </row>
    <row r="943">
      <c r="A943" s="181">
        <v>15862.0</v>
      </c>
      <c r="B943" s="176" t="s">
        <v>4157</v>
      </c>
      <c r="C943" s="174">
        <v>2011.0</v>
      </c>
      <c r="D943" s="176" t="s">
        <v>2647</v>
      </c>
      <c r="E943" s="176" t="s">
        <v>2672</v>
      </c>
      <c r="F943" s="177" t="s">
        <v>4158</v>
      </c>
      <c r="G943" s="178">
        <v>45800.0</v>
      </c>
      <c r="H943" s="179">
        <f t="shared" si="1"/>
        <v>55</v>
      </c>
      <c r="I943" s="175" t="s">
        <v>4159</v>
      </c>
      <c r="J943" s="178">
        <v>45855.0</v>
      </c>
      <c r="K943" s="175" t="s">
        <v>2758</v>
      </c>
      <c r="L943" s="242"/>
      <c r="M943" s="242"/>
      <c r="N943" s="242"/>
      <c r="O943" s="242"/>
      <c r="P943" s="242"/>
      <c r="Q943" s="242"/>
      <c r="R943" s="242"/>
      <c r="S943" s="242"/>
      <c r="T943" s="242"/>
      <c r="U943" s="242"/>
      <c r="V943" s="242"/>
      <c r="W943" s="242"/>
      <c r="X943" s="242"/>
      <c r="Y943" s="242"/>
      <c r="Z943" s="242"/>
      <c r="AA943" s="242"/>
      <c r="AB943" s="242"/>
      <c r="AC943" s="242"/>
      <c r="AD943" s="242"/>
      <c r="AE943" s="242"/>
      <c r="AF943" s="242"/>
      <c r="AG943" s="242"/>
      <c r="AH943" s="242"/>
      <c r="AI943" s="242"/>
      <c r="AJ943" s="242"/>
      <c r="AK943" s="242"/>
      <c r="AL943" s="242"/>
      <c r="AM943" s="242"/>
      <c r="AN943" s="242"/>
      <c r="AO943" s="242"/>
    </row>
    <row r="944">
      <c r="A944" s="183">
        <v>15863.0</v>
      </c>
      <c r="B944" s="169" t="s">
        <v>3109</v>
      </c>
      <c r="C944" s="168">
        <v>2022.0</v>
      </c>
      <c r="D944" s="142" t="s">
        <v>52</v>
      </c>
      <c r="E944" s="142" t="s">
        <v>459</v>
      </c>
      <c r="F944" s="170" t="s">
        <v>3464</v>
      </c>
      <c r="G944" s="171">
        <v>45800.0</v>
      </c>
      <c r="H944" s="172">
        <f t="shared" si="1"/>
        <v>0</v>
      </c>
      <c r="I944" s="173" t="s">
        <v>4160</v>
      </c>
      <c r="J944" s="171">
        <v>45800.0</v>
      </c>
      <c r="K944" s="169" t="s">
        <v>2758</v>
      </c>
      <c r="L944" s="242"/>
      <c r="M944" s="242"/>
      <c r="N944" s="242"/>
      <c r="O944" s="242"/>
      <c r="P944" s="242"/>
      <c r="Q944" s="242"/>
      <c r="R944" s="242"/>
      <c r="S944" s="242"/>
      <c r="T944" s="242"/>
      <c r="U944" s="242"/>
      <c r="V944" s="242"/>
      <c r="W944" s="242"/>
      <c r="X944" s="242"/>
      <c r="Y944" s="242"/>
      <c r="Z944" s="242"/>
      <c r="AA944" s="242"/>
      <c r="AB944" s="242"/>
      <c r="AC944" s="242"/>
      <c r="AD944" s="242"/>
      <c r="AE944" s="242"/>
      <c r="AF944" s="242"/>
      <c r="AG944" s="242"/>
      <c r="AH944" s="242"/>
      <c r="AI944" s="242"/>
      <c r="AJ944" s="242"/>
      <c r="AK944" s="242"/>
      <c r="AL944" s="242"/>
      <c r="AM944" s="242"/>
      <c r="AN944" s="242"/>
      <c r="AO944" s="242"/>
    </row>
    <row r="945">
      <c r="A945" s="181">
        <v>15864.0</v>
      </c>
      <c r="B945" s="176" t="s">
        <v>392</v>
      </c>
      <c r="C945" s="174">
        <v>2011.0</v>
      </c>
      <c r="D945" s="176" t="s">
        <v>367</v>
      </c>
      <c r="E945" s="176" t="s">
        <v>125</v>
      </c>
      <c r="F945" s="177" t="s">
        <v>393</v>
      </c>
      <c r="G945" s="178">
        <v>45800.0</v>
      </c>
      <c r="H945" s="179">
        <f t="shared" si="1"/>
        <v>49</v>
      </c>
      <c r="I945" s="175" t="s">
        <v>668</v>
      </c>
      <c r="J945" s="269">
        <v>45849.0</v>
      </c>
      <c r="K945" s="175" t="s">
        <v>2758</v>
      </c>
    </row>
    <row r="946">
      <c r="A946" s="307">
        <v>15870.0</v>
      </c>
      <c r="B946" s="169" t="s">
        <v>417</v>
      </c>
      <c r="C946" s="168">
        <v>2022.0</v>
      </c>
      <c r="D946" s="142" t="s">
        <v>52</v>
      </c>
      <c r="E946" s="142" t="s">
        <v>418</v>
      </c>
      <c r="F946" s="170" t="s">
        <v>419</v>
      </c>
      <c r="G946" s="171">
        <v>45803.0</v>
      </c>
      <c r="H946" s="172">
        <f t="shared" si="1"/>
        <v>1</v>
      </c>
      <c r="I946" s="173" t="s">
        <v>4161</v>
      </c>
      <c r="J946" s="171">
        <v>45804.0</v>
      </c>
      <c r="K946" s="169" t="s">
        <v>84</v>
      </c>
      <c r="L946" s="242"/>
      <c r="M946" s="242"/>
      <c r="N946" s="242"/>
      <c r="O946" s="242"/>
      <c r="P946" s="242"/>
      <c r="Q946" s="242"/>
      <c r="R946" s="242"/>
      <c r="S946" s="242"/>
      <c r="T946" s="242"/>
      <c r="U946" s="242"/>
      <c r="V946" s="242"/>
      <c r="W946" s="242"/>
      <c r="X946" s="242"/>
      <c r="Y946" s="242"/>
      <c r="Z946" s="242"/>
      <c r="AA946" s="242"/>
      <c r="AB946" s="242"/>
      <c r="AC946" s="242"/>
      <c r="AD946" s="242"/>
      <c r="AE946" s="242"/>
      <c r="AF946" s="242"/>
      <c r="AG946" s="242"/>
      <c r="AH946" s="242"/>
      <c r="AI946" s="242"/>
      <c r="AJ946" s="242"/>
      <c r="AK946" s="242"/>
      <c r="AL946" s="242"/>
      <c r="AM946" s="242"/>
      <c r="AN946" s="242"/>
      <c r="AO946" s="242"/>
    </row>
    <row r="947">
      <c r="A947" s="181">
        <v>15878.0</v>
      </c>
      <c r="B947" s="176" t="s">
        <v>3210</v>
      </c>
      <c r="C947" s="174">
        <v>2006.0</v>
      </c>
      <c r="D947" s="176" t="s">
        <v>3211</v>
      </c>
      <c r="E947" s="176" t="s">
        <v>725</v>
      </c>
      <c r="F947" s="177" t="s">
        <v>3212</v>
      </c>
      <c r="G947" s="178">
        <v>45803.0</v>
      </c>
      <c r="H947" s="179">
        <f t="shared" si="1"/>
        <v>8</v>
      </c>
      <c r="I947" s="182" t="s">
        <v>4162</v>
      </c>
      <c r="J947" s="269">
        <v>45811.0</v>
      </c>
      <c r="K947" s="175" t="s">
        <v>31</v>
      </c>
    </row>
    <row r="948">
      <c r="A948" s="183">
        <v>15880.0</v>
      </c>
      <c r="B948" s="169" t="s">
        <v>3133</v>
      </c>
      <c r="C948" s="168">
        <v>2015.0</v>
      </c>
      <c r="D948" s="142" t="s">
        <v>130</v>
      </c>
      <c r="E948" s="142" t="s">
        <v>2746</v>
      </c>
      <c r="F948" s="170" t="s">
        <v>4095</v>
      </c>
      <c r="G948" s="171">
        <v>45804.0</v>
      </c>
      <c r="H948" s="172">
        <f t="shared" si="1"/>
        <v>1</v>
      </c>
      <c r="I948" s="173" t="s">
        <v>4163</v>
      </c>
      <c r="J948" s="171">
        <v>45805.0</v>
      </c>
      <c r="K948" s="169" t="s">
        <v>2758</v>
      </c>
    </row>
    <row r="949">
      <c r="A949" s="181">
        <v>15882.0</v>
      </c>
      <c r="B949" s="175" t="s">
        <v>1594</v>
      </c>
      <c r="C949" s="174">
        <v>2022.0</v>
      </c>
      <c r="D949" s="176" t="s">
        <v>52</v>
      </c>
      <c r="E949" s="176" t="s">
        <v>64</v>
      </c>
      <c r="F949" s="177" t="s">
        <v>65</v>
      </c>
      <c r="G949" s="178">
        <v>45804.0</v>
      </c>
      <c r="H949" s="179">
        <f t="shared" si="1"/>
        <v>1</v>
      </c>
      <c r="I949" s="180" t="s">
        <v>4164</v>
      </c>
      <c r="J949" s="178">
        <v>45805.0</v>
      </c>
      <c r="K949" s="175" t="s">
        <v>37</v>
      </c>
    </row>
    <row r="950">
      <c r="A950" s="183">
        <v>15887.0</v>
      </c>
      <c r="B950" s="169" t="s">
        <v>3466</v>
      </c>
      <c r="C950" s="168">
        <v>2020.0</v>
      </c>
      <c r="D950" s="142" t="s">
        <v>358</v>
      </c>
      <c r="E950" s="142" t="s">
        <v>459</v>
      </c>
      <c r="F950" s="241">
        <v>46006.0</v>
      </c>
      <c r="G950" s="171">
        <v>45804.0</v>
      </c>
      <c r="H950" s="172">
        <f t="shared" si="1"/>
        <v>0</v>
      </c>
      <c r="I950" s="173" t="s">
        <v>3094</v>
      </c>
      <c r="J950" s="171">
        <v>45804.0</v>
      </c>
      <c r="K950" s="169" t="s">
        <v>2758</v>
      </c>
    </row>
    <row r="951">
      <c r="A951" s="181">
        <v>15888.0</v>
      </c>
      <c r="B951" s="176" t="s">
        <v>4165</v>
      </c>
      <c r="C951" s="174">
        <v>2020.0</v>
      </c>
      <c r="D951" s="176" t="s">
        <v>75</v>
      </c>
      <c r="E951" s="176" t="s">
        <v>125</v>
      </c>
      <c r="F951" s="177" t="s">
        <v>4166</v>
      </c>
      <c r="G951" s="178">
        <v>45804.0</v>
      </c>
      <c r="H951" s="179">
        <f t="shared" si="1"/>
        <v>8</v>
      </c>
      <c r="I951" s="175" t="s">
        <v>4167</v>
      </c>
      <c r="J951" s="269">
        <v>45812.0</v>
      </c>
      <c r="K951" s="175" t="s">
        <v>2758</v>
      </c>
      <c r="L951" s="242"/>
      <c r="M951" s="242"/>
      <c r="N951" s="242"/>
      <c r="O951" s="242"/>
      <c r="P951" s="242"/>
      <c r="Q951" s="242"/>
      <c r="R951" s="242"/>
      <c r="S951" s="242"/>
      <c r="T951" s="242"/>
      <c r="U951" s="242"/>
      <c r="V951" s="242"/>
      <c r="W951" s="242"/>
      <c r="X951" s="242"/>
      <c r="Y951" s="242"/>
      <c r="Z951" s="242"/>
      <c r="AA951" s="242"/>
      <c r="AB951" s="242"/>
      <c r="AC951" s="242"/>
      <c r="AD951" s="242"/>
      <c r="AE951" s="242"/>
      <c r="AF951" s="242"/>
      <c r="AG951" s="242"/>
      <c r="AH951" s="242"/>
      <c r="AI951" s="242"/>
      <c r="AJ951" s="242"/>
      <c r="AK951" s="242"/>
      <c r="AL951" s="242"/>
      <c r="AM951" s="242"/>
      <c r="AN951" s="242"/>
      <c r="AO951" s="242"/>
    </row>
    <row r="952">
      <c r="A952" s="183">
        <v>15889.0</v>
      </c>
      <c r="B952" s="142" t="s">
        <v>2799</v>
      </c>
      <c r="C952" s="168">
        <v>2015.0</v>
      </c>
      <c r="D952" s="142" t="s">
        <v>14</v>
      </c>
      <c r="E952" s="142" t="s">
        <v>125</v>
      </c>
      <c r="F952" s="170" t="s">
        <v>2800</v>
      </c>
      <c r="G952" s="171">
        <v>45804.0</v>
      </c>
      <c r="H952" s="172">
        <f t="shared" si="1"/>
        <v>86</v>
      </c>
      <c r="I952" s="169" t="s">
        <v>668</v>
      </c>
      <c r="J952" s="268">
        <v>45890.0</v>
      </c>
      <c r="K952" s="169" t="s">
        <v>31</v>
      </c>
    </row>
    <row r="953">
      <c r="A953" s="181">
        <v>15891.0</v>
      </c>
      <c r="B953" s="176" t="s">
        <v>2787</v>
      </c>
      <c r="C953" s="174">
        <v>2015.0</v>
      </c>
      <c r="D953" s="176" t="s">
        <v>14</v>
      </c>
      <c r="E953" s="176" t="s">
        <v>2788</v>
      </c>
      <c r="F953" s="177" t="s">
        <v>3491</v>
      </c>
      <c r="G953" s="178">
        <v>45804.0</v>
      </c>
      <c r="H953" s="179">
        <f t="shared" si="1"/>
        <v>8</v>
      </c>
      <c r="I953" s="182" t="s">
        <v>4168</v>
      </c>
      <c r="J953" s="269">
        <v>45812.0</v>
      </c>
      <c r="K953" s="175" t="s">
        <v>2758</v>
      </c>
    </row>
    <row r="954">
      <c r="A954" s="183">
        <v>15893.0</v>
      </c>
      <c r="B954" s="169" t="s">
        <v>3888</v>
      </c>
      <c r="C954" s="168">
        <v>2015.0</v>
      </c>
      <c r="D954" s="142" t="s">
        <v>130</v>
      </c>
      <c r="E954" s="142" t="s">
        <v>41</v>
      </c>
      <c r="F954" s="170" t="s">
        <v>3890</v>
      </c>
      <c r="G954" s="171">
        <v>45805.0</v>
      </c>
      <c r="H954" s="172">
        <f t="shared" si="1"/>
        <v>0</v>
      </c>
      <c r="I954" s="173" t="s">
        <v>4169</v>
      </c>
      <c r="J954" s="171">
        <v>45805.0</v>
      </c>
      <c r="K954" s="169" t="s">
        <v>2758</v>
      </c>
      <c r="L954" s="242"/>
      <c r="M954" s="242"/>
      <c r="N954" s="242"/>
      <c r="O954" s="242"/>
      <c r="P954" s="242"/>
      <c r="Q954" s="242"/>
      <c r="R954" s="242"/>
      <c r="S954" s="242"/>
      <c r="T954" s="242"/>
      <c r="U954" s="242"/>
      <c r="V954" s="242"/>
      <c r="W954" s="242"/>
      <c r="X954" s="242"/>
      <c r="Y954" s="242"/>
      <c r="Z954" s="242"/>
      <c r="AA954" s="242"/>
      <c r="AB954" s="242"/>
      <c r="AC954" s="242"/>
      <c r="AD954" s="242"/>
      <c r="AE954" s="242"/>
      <c r="AF954" s="242"/>
      <c r="AG954" s="242"/>
      <c r="AH954" s="242"/>
      <c r="AI954" s="242"/>
      <c r="AJ954" s="242"/>
      <c r="AK954" s="242"/>
      <c r="AL954" s="242"/>
      <c r="AM954" s="242"/>
      <c r="AN954" s="242"/>
      <c r="AO954" s="242"/>
    </row>
    <row r="955">
      <c r="A955" s="181">
        <v>15896.0</v>
      </c>
      <c r="B955" s="175" t="s">
        <v>854</v>
      </c>
      <c r="C955" s="174">
        <v>2022.0</v>
      </c>
      <c r="D955" s="176" t="s">
        <v>52</v>
      </c>
      <c r="E955" s="176" t="s">
        <v>855</v>
      </c>
      <c r="F955" s="177" t="s">
        <v>856</v>
      </c>
      <c r="G955" s="178">
        <v>45805.0</v>
      </c>
      <c r="H955" s="179">
        <f t="shared" si="1"/>
        <v>0</v>
      </c>
      <c r="I955" s="180" t="s">
        <v>3721</v>
      </c>
      <c r="J955" s="178">
        <v>45805.0</v>
      </c>
      <c r="K955" s="175" t="s">
        <v>2758</v>
      </c>
    </row>
    <row r="956">
      <c r="A956" s="183">
        <v>15898.0</v>
      </c>
      <c r="B956" s="142" t="s">
        <v>3143</v>
      </c>
      <c r="C956" s="168">
        <v>2010.0</v>
      </c>
      <c r="D956" s="142" t="s">
        <v>367</v>
      </c>
      <c r="E956" s="142" t="s">
        <v>2672</v>
      </c>
      <c r="F956" s="170" t="s">
        <v>3144</v>
      </c>
      <c r="G956" s="171">
        <v>45805.0</v>
      </c>
      <c r="H956" s="172">
        <f t="shared" si="1"/>
        <v>6</v>
      </c>
      <c r="I956" s="211" t="s">
        <v>4170</v>
      </c>
      <c r="J956" s="268">
        <v>45811.0</v>
      </c>
      <c r="K956" s="169" t="s">
        <v>2758</v>
      </c>
    </row>
    <row r="957">
      <c r="A957" s="181">
        <v>15913.0</v>
      </c>
      <c r="B957" s="175" t="s">
        <v>1503</v>
      </c>
      <c r="C957" s="174">
        <v>2022.0</v>
      </c>
      <c r="D957" s="176" t="s">
        <v>14</v>
      </c>
      <c r="E957" s="176" t="s">
        <v>610</v>
      </c>
      <c r="F957" s="177" t="s">
        <v>1504</v>
      </c>
      <c r="G957" s="178">
        <v>45806.0</v>
      </c>
      <c r="H957" s="179">
        <f t="shared" si="1"/>
        <v>0</v>
      </c>
      <c r="I957" s="180" t="s">
        <v>133</v>
      </c>
      <c r="J957" s="178">
        <v>45806.0</v>
      </c>
      <c r="K957" s="175" t="s">
        <v>2758</v>
      </c>
    </row>
    <row r="958">
      <c r="A958" s="183">
        <v>15915.0</v>
      </c>
      <c r="B958" s="169" t="s">
        <v>2414</v>
      </c>
      <c r="C958" s="168">
        <v>2014.0</v>
      </c>
      <c r="D958" s="142" t="s">
        <v>130</v>
      </c>
      <c r="E958" s="142" t="s">
        <v>2415</v>
      </c>
      <c r="F958" s="170" t="s">
        <v>2416</v>
      </c>
      <c r="G958" s="171">
        <v>45807.0</v>
      </c>
      <c r="H958" s="172">
        <f t="shared" si="1"/>
        <v>0</v>
      </c>
      <c r="I958" s="173" t="s">
        <v>133</v>
      </c>
      <c r="J958" s="171">
        <v>45807.0</v>
      </c>
      <c r="K958" s="169" t="s">
        <v>2758</v>
      </c>
    </row>
    <row r="959">
      <c r="A959" s="181">
        <v>15920.0</v>
      </c>
      <c r="B959" s="176" t="s">
        <v>634</v>
      </c>
      <c r="C959" s="174">
        <v>2014.0</v>
      </c>
      <c r="D959" s="176" t="s">
        <v>14</v>
      </c>
      <c r="E959" s="176" t="s">
        <v>82</v>
      </c>
      <c r="F959" s="177" t="s">
        <v>635</v>
      </c>
      <c r="G959" s="178">
        <v>45810.0</v>
      </c>
      <c r="H959" s="179">
        <f t="shared" si="1"/>
        <v>11</v>
      </c>
      <c r="I959" s="182" t="s">
        <v>4171</v>
      </c>
      <c r="J959" s="178">
        <v>45821.0</v>
      </c>
      <c r="K959" s="175" t="s">
        <v>84</v>
      </c>
    </row>
    <row r="960">
      <c r="A960" s="183">
        <v>15927.0</v>
      </c>
      <c r="B960" s="169" t="s">
        <v>1540</v>
      </c>
      <c r="C960" s="168">
        <v>2022.0</v>
      </c>
      <c r="D960" s="142" t="s">
        <v>52</v>
      </c>
      <c r="E960" s="142" t="s">
        <v>82</v>
      </c>
      <c r="F960" s="235" t="s">
        <v>3381</v>
      </c>
      <c r="G960" s="171">
        <v>45810.0</v>
      </c>
      <c r="H960" s="172">
        <f t="shared" si="1"/>
        <v>0</v>
      </c>
      <c r="I960" s="173" t="s">
        <v>579</v>
      </c>
      <c r="J960" s="171">
        <v>45810.0</v>
      </c>
      <c r="K960" s="169" t="s">
        <v>2758</v>
      </c>
      <c r="L960" s="242"/>
      <c r="M960" s="242"/>
      <c r="N960" s="242"/>
      <c r="O960" s="242"/>
      <c r="P960" s="242"/>
      <c r="Q960" s="242"/>
      <c r="R960" s="242"/>
      <c r="S960" s="242"/>
      <c r="T960" s="242"/>
      <c r="U960" s="242"/>
      <c r="V960" s="242"/>
      <c r="W960" s="242"/>
      <c r="X960" s="242"/>
      <c r="Y960" s="242"/>
      <c r="Z960" s="242"/>
      <c r="AA960" s="242"/>
      <c r="AB960" s="242"/>
      <c r="AC960" s="242"/>
      <c r="AD960" s="242"/>
      <c r="AE960" s="242"/>
      <c r="AF960" s="242"/>
      <c r="AG960" s="242"/>
      <c r="AH960" s="242"/>
      <c r="AI960" s="242"/>
      <c r="AJ960" s="242"/>
      <c r="AK960" s="242"/>
      <c r="AL960" s="242"/>
      <c r="AM960" s="242"/>
      <c r="AN960" s="242"/>
      <c r="AO960" s="242"/>
    </row>
    <row r="961">
      <c r="A961" s="181">
        <v>15928.0</v>
      </c>
      <c r="B961" s="176" t="s">
        <v>380</v>
      </c>
      <c r="C961" s="174">
        <v>2019.0</v>
      </c>
      <c r="D961" s="176" t="s">
        <v>14</v>
      </c>
      <c r="E961" s="176" t="s">
        <v>1639</v>
      </c>
      <c r="F961" s="177" t="s">
        <v>381</v>
      </c>
      <c r="G961" s="178">
        <v>45810.0</v>
      </c>
      <c r="H961" s="179">
        <f t="shared" si="1"/>
        <v>2</v>
      </c>
      <c r="I961" s="175" t="s">
        <v>4172</v>
      </c>
      <c r="J961" s="269">
        <v>45812.0</v>
      </c>
      <c r="K961" s="175" t="s">
        <v>2758</v>
      </c>
    </row>
    <row r="962">
      <c r="A962" s="183">
        <v>15929.0</v>
      </c>
      <c r="B962" s="142" t="s">
        <v>664</v>
      </c>
      <c r="C962" s="168">
        <v>2014.0</v>
      </c>
      <c r="D962" s="142" t="s">
        <v>105</v>
      </c>
      <c r="E962" s="142" t="s">
        <v>1639</v>
      </c>
      <c r="F962" s="170" t="s">
        <v>665</v>
      </c>
      <c r="G962" s="171">
        <v>45810.0</v>
      </c>
      <c r="H962" s="172">
        <f t="shared" si="1"/>
        <v>3</v>
      </c>
      <c r="I962" s="169" t="s">
        <v>4173</v>
      </c>
      <c r="J962" s="268">
        <v>45813.0</v>
      </c>
      <c r="K962" s="169" t="s">
        <v>2758</v>
      </c>
    </row>
    <row r="963">
      <c r="A963" s="181">
        <v>15930.0</v>
      </c>
      <c r="B963" s="176" t="s">
        <v>4174</v>
      </c>
      <c r="C963" s="174">
        <v>2018.0</v>
      </c>
      <c r="D963" s="176" t="s">
        <v>14</v>
      </c>
      <c r="E963" s="176" t="s">
        <v>1639</v>
      </c>
      <c r="F963" s="177" t="s">
        <v>4175</v>
      </c>
      <c r="G963" s="178">
        <v>45810.0</v>
      </c>
      <c r="H963" s="179">
        <f t="shared" si="1"/>
        <v>60</v>
      </c>
      <c r="I963" s="175" t="s">
        <v>4176</v>
      </c>
      <c r="J963" s="178">
        <v>45870.0</v>
      </c>
      <c r="K963" s="175" t="s">
        <v>2758</v>
      </c>
    </row>
    <row r="964">
      <c r="A964" s="183">
        <v>15931.0</v>
      </c>
      <c r="B964" s="142" t="s">
        <v>3222</v>
      </c>
      <c r="C964" s="168">
        <v>2019.0</v>
      </c>
      <c r="D964" s="142" t="s">
        <v>75</v>
      </c>
      <c r="E964" s="142" t="s">
        <v>1639</v>
      </c>
      <c r="F964" s="170" t="s">
        <v>3223</v>
      </c>
      <c r="G964" s="171">
        <v>45810.0</v>
      </c>
      <c r="H964" s="172">
        <f t="shared" si="1"/>
        <v>2</v>
      </c>
      <c r="I964" s="169" t="s">
        <v>4167</v>
      </c>
      <c r="J964" s="268">
        <v>45812.0</v>
      </c>
      <c r="K964" s="169" t="s">
        <v>2758</v>
      </c>
    </row>
    <row r="965">
      <c r="A965" s="181">
        <v>15934.0</v>
      </c>
      <c r="B965" s="175" t="s">
        <v>244</v>
      </c>
      <c r="C965" s="174">
        <v>2022.0</v>
      </c>
      <c r="D965" s="176" t="s">
        <v>14</v>
      </c>
      <c r="E965" s="176" t="s">
        <v>28</v>
      </c>
      <c r="F965" s="177" t="s">
        <v>246</v>
      </c>
      <c r="G965" s="178">
        <v>45811.0</v>
      </c>
      <c r="H965" s="179">
        <f t="shared" si="1"/>
        <v>0</v>
      </c>
      <c r="I965" s="180" t="s">
        <v>4177</v>
      </c>
      <c r="J965" s="178">
        <v>45811.0</v>
      </c>
      <c r="K965" s="175" t="s">
        <v>2758</v>
      </c>
    </row>
    <row r="966">
      <c r="A966" s="183">
        <v>15936.0</v>
      </c>
      <c r="B966" s="169" t="s">
        <v>3819</v>
      </c>
      <c r="C966" s="168">
        <v>2022.0</v>
      </c>
      <c r="D966" s="142" t="s">
        <v>3529</v>
      </c>
      <c r="E966" s="142" t="s">
        <v>82</v>
      </c>
      <c r="F966" s="308" t="s">
        <v>4178</v>
      </c>
      <c r="G966" s="171">
        <v>45811.0</v>
      </c>
      <c r="H966" s="172">
        <f t="shared" si="1"/>
        <v>0</v>
      </c>
      <c r="I966" s="173" t="s">
        <v>4179</v>
      </c>
      <c r="J966" s="171">
        <v>45811.0</v>
      </c>
      <c r="K966" s="169" t="s">
        <v>2758</v>
      </c>
    </row>
    <row r="967">
      <c r="A967" s="181">
        <v>15938.0</v>
      </c>
      <c r="B967" s="175" t="s">
        <v>2164</v>
      </c>
      <c r="C967" s="174">
        <v>2013.0</v>
      </c>
      <c r="D967" s="176" t="s">
        <v>105</v>
      </c>
      <c r="E967" s="176" t="s">
        <v>183</v>
      </c>
      <c r="F967" s="234">
        <v>45660.0</v>
      </c>
      <c r="G967" s="178">
        <v>45811.0</v>
      </c>
      <c r="H967" s="179">
        <f t="shared" si="1"/>
        <v>0</v>
      </c>
      <c r="I967" s="180" t="s">
        <v>3308</v>
      </c>
      <c r="J967" s="178">
        <v>45811.0</v>
      </c>
      <c r="K967" s="175" t="s">
        <v>2758</v>
      </c>
      <c r="L967" s="242"/>
      <c r="M967" s="242"/>
      <c r="N967" s="242"/>
      <c r="O967" s="242"/>
      <c r="P967" s="242"/>
      <c r="Q967" s="242"/>
      <c r="R967" s="242"/>
      <c r="S967" s="242"/>
      <c r="T967" s="242"/>
      <c r="U967" s="242"/>
      <c r="V967" s="242"/>
      <c r="W967" s="242"/>
      <c r="X967" s="242"/>
      <c r="Y967" s="242"/>
      <c r="Z967" s="242"/>
      <c r="AA967" s="242"/>
      <c r="AB967" s="242"/>
      <c r="AC967" s="242"/>
      <c r="AD967" s="242"/>
      <c r="AE967" s="242"/>
      <c r="AF967" s="242"/>
      <c r="AG967" s="242"/>
      <c r="AH967" s="242"/>
      <c r="AI967" s="242"/>
      <c r="AJ967" s="242"/>
      <c r="AK967" s="242"/>
      <c r="AL967" s="242"/>
      <c r="AM967" s="242"/>
      <c r="AN967" s="242"/>
      <c r="AO967" s="242"/>
    </row>
    <row r="968">
      <c r="A968" s="183">
        <v>15941.0</v>
      </c>
      <c r="B968" s="169" t="s">
        <v>992</v>
      </c>
      <c r="C968" s="168">
        <v>2019.0</v>
      </c>
      <c r="D968" s="142" t="s">
        <v>358</v>
      </c>
      <c r="E968" s="142" t="s">
        <v>4180</v>
      </c>
      <c r="F968" s="170" t="s">
        <v>993</v>
      </c>
      <c r="G968" s="171">
        <v>45811.0</v>
      </c>
      <c r="H968" s="172">
        <f t="shared" si="1"/>
        <v>0</v>
      </c>
      <c r="I968" s="173" t="s">
        <v>4181</v>
      </c>
      <c r="J968" s="171">
        <v>45811.0</v>
      </c>
      <c r="K968" s="169" t="s">
        <v>2758</v>
      </c>
    </row>
    <row r="969">
      <c r="A969" s="181">
        <v>15942.0</v>
      </c>
      <c r="B969" s="175" t="s">
        <v>3882</v>
      </c>
      <c r="C969" s="174">
        <v>2015.0</v>
      </c>
      <c r="D969" s="176" t="s">
        <v>14</v>
      </c>
      <c r="E969" s="176" t="s">
        <v>418</v>
      </c>
      <c r="F969" s="177" t="s">
        <v>3883</v>
      </c>
      <c r="G969" s="178">
        <v>45811.0</v>
      </c>
      <c r="H969" s="179">
        <f t="shared" si="1"/>
        <v>0</v>
      </c>
      <c r="I969" s="180" t="s">
        <v>4182</v>
      </c>
      <c r="J969" s="178">
        <v>45811.0</v>
      </c>
      <c r="K969" s="175" t="s">
        <v>2758</v>
      </c>
    </row>
    <row r="970">
      <c r="A970" s="183">
        <v>15943.0</v>
      </c>
      <c r="B970" s="142" t="s">
        <v>4183</v>
      </c>
      <c r="C970" s="168">
        <v>2015.0</v>
      </c>
      <c r="D970" s="142" t="s">
        <v>14</v>
      </c>
      <c r="E970" s="142" t="s">
        <v>418</v>
      </c>
      <c r="F970" s="170" t="s">
        <v>4184</v>
      </c>
      <c r="G970" s="171">
        <v>45811.0</v>
      </c>
      <c r="H970" s="172">
        <f t="shared" si="1"/>
        <v>63</v>
      </c>
      <c r="I970" s="169" t="s">
        <v>4185</v>
      </c>
      <c r="J970" s="268">
        <v>45874.0</v>
      </c>
      <c r="K970" s="169" t="s">
        <v>31</v>
      </c>
    </row>
    <row r="971">
      <c r="A971" s="181">
        <v>15944.0</v>
      </c>
      <c r="B971" s="175" t="s">
        <v>4186</v>
      </c>
      <c r="C971" s="174">
        <v>2019.0</v>
      </c>
      <c r="D971" s="176" t="s">
        <v>52</v>
      </c>
      <c r="E971" s="176" t="s">
        <v>3353</v>
      </c>
      <c r="F971" s="177" t="s">
        <v>4187</v>
      </c>
      <c r="G971" s="178">
        <v>45811.0</v>
      </c>
      <c r="H971" s="179">
        <f t="shared" si="1"/>
        <v>0</v>
      </c>
      <c r="I971" s="180" t="s">
        <v>3976</v>
      </c>
      <c r="J971" s="178">
        <v>45811.0</v>
      </c>
      <c r="K971" s="175" t="s">
        <v>2758</v>
      </c>
    </row>
    <row r="972">
      <c r="A972" s="183">
        <v>15953.0</v>
      </c>
      <c r="B972" s="169" t="s">
        <v>791</v>
      </c>
      <c r="C972" s="168">
        <v>2022.0</v>
      </c>
      <c r="D972" s="142" t="s">
        <v>52</v>
      </c>
      <c r="E972" s="142" t="s">
        <v>792</v>
      </c>
      <c r="F972" s="170" t="s">
        <v>793</v>
      </c>
      <c r="G972" s="171">
        <v>45812.0</v>
      </c>
      <c r="H972" s="172">
        <f t="shared" si="1"/>
        <v>1</v>
      </c>
      <c r="I972" s="173" t="s">
        <v>4188</v>
      </c>
      <c r="J972" s="171">
        <v>45813.0</v>
      </c>
      <c r="K972" s="169" t="s">
        <v>2758</v>
      </c>
    </row>
    <row r="973">
      <c r="A973" s="181">
        <v>15956.0</v>
      </c>
      <c r="B973" s="176" t="s">
        <v>3063</v>
      </c>
      <c r="C973" s="174">
        <v>2014.0</v>
      </c>
      <c r="D973" s="176" t="s">
        <v>197</v>
      </c>
      <c r="E973" s="176" t="s">
        <v>866</v>
      </c>
      <c r="F973" s="177" t="s">
        <v>3064</v>
      </c>
      <c r="G973" s="178">
        <v>45812.0</v>
      </c>
      <c r="H973" s="179">
        <f t="shared" si="1"/>
        <v>83</v>
      </c>
      <c r="I973" s="175" t="s">
        <v>4189</v>
      </c>
      <c r="J973" s="269">
        <v>45895.0</v>
      </c>
      <c r="K973" s="175" t="s">
        <v>31</v>
      </c>
    </row>
    <row r="974">
      <c r="A974" s="183">
        <v>15959.0</v>
      </c>
      <c r="B974" s="169" t="s">
        <v>2550</v>
      </c>
      <c r="C974" s="168">
        <v>2020.0</v>
      </c>
      <c r="D974" s="142" t="s">
        <v>4190</v>
      </c>
      <c r="E974" s="142" t="s">
        <v>82</v>
      </c>
      <c r="F974" s="170" t="s">
        <v>2552</v>
      </c>
      <c r="G974" s="171">
        <v>45813.0</v>
      </c>
      <c r="H974" s="172">
        <f t="shared" si="1"/>
        <v>0</v>
      </c>
      <c r="I974" s="173" t="s">
        <v>3089</v>
      </c>
      <c r="J974" s="171">
        <v>45813.0</v>
      </c>
      <c r="K974" s="169" t="s">
        <v>2758</v>
      </c>
      <c r="L974" s="242"/>
      <c r="M974" s="242"/>
      <c r="N974" s="242"/>
      <c r="O974" s="242"/>
      <c r="P974" s="242"/>
      <c r="Q974" s="242"/>
      <c r="R974" s="242"/>
      <c r="S974" s="242"/>
      <c r="T974" s="242"/>
      <c r="U974" s="242"/>
      <c r="V974" s="242"/>
      <c r="W974" s="242"/>
      <c r="X974" s="242"/>
      <c r="Y974" s="242"/>
      <c r="Z974" s="242"/>
      <c r="AA974" s="242"/>
      <c r="AB974" s="242"/>
      <c r="AC974" s="242"/>
      <c r="AD974" s="242"/>
      <c r="AE974" s="242"/>
      <c r="AF974" s="242"/>
      <c r="AG974" s="242"/>
      <c r="AH974" s="242"/>
      <c r="AI974" s="242"/>
      <c r="AJ974" s="242"/>
      <c r="AK974" s="242"/>
      <c r="AL974" s="242"/>
      <c r="AM974" s="242"/>
      <c r="AN974" s="242"/>
      <c r="AO974" s="242"/>
    </row>
    <row r="975">
      <c r="A975" s="181">
        <v>15961.0</v>
      </c>
      <c r="B975" s="175" t="s">
        <v>2742</v>
      </c>
      <c r="C975" s="174">
        <v>2014.0</v>
      </c>
      <c r="D975" s="176" t="s">
        <v>324</v>
      </c>
      <c r="E975" s="176" t="s">
        <v>82</v>
      </c>
      <c r="F975" s="177" t="s">
        <v>2743</v>
      </c>
      <c r="G975" s="178">
        <v>45813.0</v>
      </c>
      <c r="H975" s="179">
        <f t="shared" si="1"/>
        <v>6</v>
      </c>
      <c r="I975" s="180" t="s">
        <v>4191</v>
      </c>
      <c r="J975" s="178">
        <v>45819.0</v>
      </c>
      <c r="K975" s="175" t="s">
        <v>2758</v>
      </c>
    </row>
    <row r="976">
      <c r="A976" s="183">
        <v>15963.0</v>
      </c>
      <c r="B976" s="142" t="s">
        <v>3272</v>
      </c>
      <c r="C976" s="168">
        <v>2018.0</v>
      </c>
      <c r="D976" s="142" t="s">
        <v>14</v>
      </c>
      <c r="E976" s="142" t="s">
        <v>169</v>
      </c>
      <c r="F976" s="170" t="s">
        <v>3273</v>
      </c>
      <c r="G976" s="171">
        <v>45813.0</v>
      </c>
      <c r="H976" s="172">
        <f t="shared" si="1"/>
        <v>83</v>
      </c>
      <c r="I976" s="169" t="s">
        <v>2744</v>
      </c>
      <c r="J976" s="268">
        <v>45896.0</v>
      </c>
      <c r="K976" s="169" t="s">
        <v>31</v>
      </c>
      <c r="L976" s="242"/>
      <c r="M976" s="242"/>
      <c r="N976" s="242"/>
      <c r="O976" s="242"/>
      <c r="P976" s="242"/>
      <c r="Q976" s="242"/>
      <c r="R976" s="242"/>
      <c r="S976" s="242"/>
      <c r="T976" s="242"/>
      <c r="U976" s="242"/>
      <c r="V976" s="242"/>
      <c r="W976" s="242"/>
      <c r="X976" s="242"/>
      <c r="Y976" s="242"/>
      <c r="Z976" s="242"/>
      <c r="AA976" s="242"/>
      <c r="AB976" s="242"/>
      <c r="AC976" s="242"/>
      <c r="AD976" s="242"/>
      <c r="AE976" s="242"/>
      <c r="AF976" s="242"/>
      <c r="AG976" s="242"/>
      <c r="AH976" s="242"/>
      <c r="AI976" s="242"/>
      <c r="AJ976" s="242"/>
      <c r="AK976" s="242"/>
      <c r="AL976" s="242"/>
      <c r="AM976" s="242"/>
      <c r="AN976" s="242"/>
      <c r="AO976" s="242"/>
    </row>
    <row r="977">
      <c r="A977" s="181">
        <v>15964.0</v>
      </c>
      <c r="B977" s="176" t="s">
        <v>1907</v>
      </c>
      <c r="C977" s="174">
        <v>2013.0</v>
      </c>
      <c r="D977" s="176" t="s">
        <v>105</v>
      </c>
      <c r="E977" s="176" t="s">
        <v>169</v>
      </c>
      <c r="F977" s="234">
        <v>45719.0</v>
      </c>
      <c r="G977" s="178">
        <v>45813.0</v>
      </c>
      <c r="H977" s="179">
        <f t="shared" si="1"/>
        <v>74</v>
      </c>
      <c r="I977" s="175" t="s">
        <v>4192</v>
      </c>
      <c r="J977" s="269">
        <v>45887.0</v>
      </c>
      <c r="K977" s="175" t="s">
        <v>31</v>
      </c>
    </row>
    <row r="978" ht="15.0" customHeight="1">
      <c r="A978" s="183">
        <v>15967.0</v>
      </c>
      <c r="B978" s="142" t="s">
        <v>219</v>
      </c>
      <c r="C978" s="168">
        <v>2018.0</v>
      </c>
      <c r="D978" s="142" t="s">
        <v>14</v>
      </c>
      <c r="E978" s="142" t="s">
        <v>220</v>
      </c>
      <c r="F978" s="170" t="s">
        <v>221</v>
      </c>
      <c r="G978" s="171">
        <v>45814.0</v>
      </c>
      <c r="H978" s="172">
        <f t="shared" si="1"/>
        <v>5</v>
      </c>
      <c r="I978" s="211" t="s">
        <v>4193</v>
      </c>
      <c r="J978" s="268">
        <v>45819.0</v>
      </c>
      <c r="K978" s="169" t="s">
        <v>2758</v>
      </c>
    </row>
    <row r="979">
      <c r="A979" s="181">
        <v>15970.0</v>
      </c>
      <c r="B979" s="176" t="s">
        <v>3967</v>
      </c>
      <c r="C979" s="174">
        <v>2022.0</v>
      </c>
      <c r="D979" s="176" t="s">
        <v>14</v>
      </c>
      <c r="E979" s="176" t="s">
        <v>2746</v>
      </c>
      <c r="F979" s="177" t="s">
        <v>3969</v>
      </c>
      <c r="G979" s="178">
        <v>45814.0</v>
      </c>
      <c r="H979" s="179">
        <f t="shared" si="1"/>
        <v>12</v>
      </c>
      <c r="I979" s="175" t="s">
        <v>4194</v>
      </c>
      <c r="J979" s="178">
        <v>45826.0</v>
      </c>
      <c r="K979" s="175" t="s">
        <v>2758</v>
      </c>
    </row>
    <row r="980">
      <c r="A980" s="183">
        <v>15971.0</v>
      </c>
      <c r="B980" s="142" t="s">
        <v>2071</v>
      </c>
      <c r="C980" s="168">
        <v>2022.0</v>
      </c>
      <c r="D980" s="142" t="s">
        <v>256</v>
      </c>
      <c r="E980" s="142" t="s">
        <v>47</v>
      </c>
      <c r="F980" s="170" t="s">
        <v>2073</v>
      </c>
      <c r="G980" s="171">
        <v>45814.0</v>
      </c>
      <c r="H980" s="172">
        <f t="shared" si="1"/>
        <v>4</v>
      </c>
      <c r="I980" s="169" t="s">
        <v>4195</v>
      </c>
      <c r="J980" s="171">
        <v>45818.0</v>
      </c>
      <c r="K980" s="169" t="s">
        <v>2758</v>
      </c>
      <c r="L980" s="242"/>
      <c r="M980" s="242"/>
      <c r="N980" s="242"/>
      <c r="O980" s="242"/>
      <c r="P980" s="242"/>
      <c r="Q980" s="242"/>
      <c r="R980" s="242"/>
      <c r="S980" s="242"/>
      <c r="T980" s="242"/>
      <c r="U980" s="242"/>
      <c r="V980" s="242"/>
      <c r="W980" s="242"/>
      <c r="X980" s="242"/>
      <c r="Y980" s="242"/>
      <c r="Z980" s="242"/>
      <c r="AA980" s="242"/>
      <c r="AB980" s="242"/>
      <c r="AC980" s="242"/>
      <c r="AD980" s="242"/>
      <c r="AE980" s="242"/>
      <c r="AF980" s="242"/>
      <c r="AG980" s="242"/>
      <c r="AH980" s="242"/>
      <c r="AI980" s="242"/>
      <c r="AJ980" s="242"/>
      <c r="AK980" s="242"/>
      <c r="AL980" s="242"/>
      <c r="AM980" s="242"/>
      <c r="AN980" s="242"/>
      <c r="AO980" s="242"/>
    </row>
    <row r="981">
      <c r="A981" s="181">
        <v>15972.0</v>
      </c>
      <c r="B981" s="175" t="s">
        <v>601</v>
      </c>
      <c r="C981" s="174">
        <v>2022.0</v>
      </c>
      <c r="D981" s="176" t="s">
        <v>52</v>
      </c>
      <c r="E981" s="176" t="s">
        <v>2788</v>
      </c>
      <c r="F981" s="177" t="s">
        <v>602</v>
      </c>
      <c r="G981" s="178">
        <v>45817.0</v>
      </c>
      <c r="H981" s="179">
        <f t="shared" si="1"/>
        <v>0</v>
      </c>
      <c r="I981" s="180" t="s">
        <v>4196</v>
      </c>
      <c r="J981" s="178">
        <v>45817.0</v>
      </c>
      <c r="K981" s="175" t="s">
        <v>2758</v>
      </c>
      <c r="L981" s="242"/>
      <c r="M981" s="242"/>
      <c r="N981" s="242"/>
      <c r="O981" s="242"/>
      <c r="P981" s="242"/>
      <c r="Q981" s="242"/>
      <c r="R981" s="242"/>
      <c r="S981" s="242"/>
      <c r="T981" s="242"/>
      <c r="U981" s="242"/>
      <c r="V981" s="242"/>
      <c r="W981" s="242"/>
      <c r="X981" s="242"/>
      <c r="Y981" s="242"/>
      <c r="Z981" s="242"/>
      <c r="AA981" s="242"/>
      <c r="AB981" s="242"/>
      <c r="AC981" s="242"/>
      <c r="AD981" s="242"/>
      <c r="AE981" s="242"/>
      <c r="AF981" s="242"/>
      <c r="AG981" s="242"/>
      <c r="AH981" s="242"/>
      <c r="AI981" s="242"/>
      <c r="AJ981" s="242"/>
      <c r="AK981" s="242"/>
      <c r="AL981" s="242"/>
      <c r="AM981" s="242"/>
      <c r="AN981" s="242"/>
      <c r="AO981" s="242"/>
    </row>
    <row r="982">
      <c r="A982" s="168">
        <v>15975.0</v>
      </c>
      <c r="B982" s="169" t="s">
        <v>1874</v>
      </c>
      <c r="C982" s="168">
        <v>2014.0</v>
      </c>
      <c r="D982" s="142" t="s">
        <v>130</v>
      </c>
      <c r="E982" s="142" t="s">
        <v>47</v>
      </c>
      <c r="F982" s="170" t="s">
        <v>1875</v>
      </c>
      <c r="G982" s="171">
        <v>45817.0</v>
      </c>
      <c r="H982" s="172">
        <f t="shared" si="1"/>
        <v>0</v>
      </c>
      <c r="I982" s="173" t="s">
        <v>133</v>
      </c>
      <c r="J982" s="171">
        <v>45817.0</v>
      </c>
      <c r="K982" s="169" t="s">
        <v>2758</v>
      </c>
    </row>
    <row r="983">
      <c r="A983" s="181">
        <v>15976.0</v>
      </c>
      <c r="B983" s="176" t="s">
        <v>2274</v>
      </c>
      <c r="C983" s="174">
        <v>2018.0</v>
      </c>
      <c r="D983" s="176" t="s">
        <v>14</v>
      </c>
      <c r="E983" s="176" t="s">
        <v>183</v>
      </c>
      <c r="F983" s="177" t="s">
        <v>2275</v>
      </c>
      <c r="G983" s="178">
        <v>45817.0</v>
      </c>
      <c r="H983" s="179">
        <f t="shared" si="1"/>
        <v>80</v>
      </c>
      <c r="I983" s="175" t="s">
        <v>3252</v>
      </c>
      <c r="J983" s="269">
        <v>45897.0</v>
      </c>
      <c r="K983" s="175" t="s">
        <v>31</v>
      </c>
      <c r="L983" s="242"/>
      <c r="M983" s="242"/>
      <c r="N983" s="242"/>
      <c r="O983" s="242"/>
      <c r="P983" s="242"/>
      <c r="Q983" s="242"/>
      <c r="R983" s="242"/>
      <c r="S983" s="242"/>
      <c r="T983" s="242"/>
      <c r="U983" s="242"/>
      <c r="V983" s="242"/>
      <c r="W983" s="242"/>
      <c r="X983" s="242"/>
      <c r="Y983" s="242"/>
      <c r="Z983" s="242"/>
      <c r="AA983" s="242"/>
      <c r="AB983" s="242"/>
      <c r="AC983" s="242"/>
      <c r="AD983" s="242"/>
      <c r="AE983" s="242"/>
      <c r="AF983" s="242"/>
      <c r="AG983" s="242"/>
      <c r="AH983" s="242"/>
      <c r="AI983" s="242"/>
      <c r="AJ983" s="242"/>
      <c r="AK983" s="242"/>
      <c r="AL983" s="242"/>
      <c r="AM983" s="242"/>
      <c r="AN983" s="242"/>
      <c r="AO983" s="242"/>
    </row>
    <row r="984">
      <c r="A984" s="183">
        <v>15982.0</v>
      </c>
      <c r="B984" s="142" t="s">
        <v>2719</v>
      </c>
      <c r="C984" s="168">
        <v>2018.0</v>
      </c>
      <c r="D984" s="142" t="s">
        <v>4197</v>
      </c>
      <c r="E984" s="142" t="s">
        <v>725</v>
      </c>
      <c r="F984" s="170" t="s">
        <v>2721</v>
      </c>
      <c r="G984" s="171">
        <v>45817.0</v>
      </c>
      <c r="H984" s="172">
        <f t="shared" si="1"/>
        <v>80</v>
      </c>
      <c r="I984" s="169" t="s">
        <v>4198</v>
      </c>
      <c r="J984" s="171">
        <v>45897.0</v>
      </c>
      <c r="K984" s="169" t="s">
        <v>37</v>
      </c>
    </row>
    <row r="985">
      <c r="A985" s="181">
        <v>15988.0</v>
      </c>
      <c r="B985" s="175" t="s">
        <v>1246</v>
      </c>
      <c r="C985" s="174">
        <v>2015.0</v>
      </c>
      <c r="D985" s="176" t="s">
        <v>4199</v>
      </c>
      <c r="E985" s="176" t="s">
        <v>106</v>
      </c>
      <c r="F985" s="177" t="s">
        <v>1248</v>
      </c>
      <c r="G985" s="178">
        <v>45818.0</v>
      </c>
      <c r="H985" s="179">
        <f t="shared" si="1"/>
        <v>1</v>
      </c>
      <c r="I985" s="180" t="s">
        <v>2265</v>
      </c>
      <c r="J985" s="178">
        <v>45819.0</v>
      </c>
      <c r="K985" s="175" t="s">
        <v>2758</v>
      </c>
    </row>
    <row r="986">
      <c r="A986" s="183">
        <v>15989.0</v>
      </c>
      <c r="B986" s="169" t="s">
        <v>3748</v>
      </c>
      <c r="C986" s="168">
        <v>2022.0</v>
      </c>
      <c r="D986" s="142" t="s">
        <v>52</v>
      </c>
      <c r="E986" s="142" t="s">
        <v>183</v>
      </c>
      <c r="F986" s="170" t="s">
        <v>3083</v>
      </c>
      <c r="G986" s="171">
        <v>45818.0</v>
      </c>
      <c r="H986" s="172">
        <f t="shared" si="1"/>
        <v>0</v>
      </c>
      <c r="I986" s="173" t="s">
        <v>4200</v>
      </c>
      <c r="J986" s="171">
        <v>45818.0</v>
      </c>
      <c r="K986" s="169" t="s">
        <v>2758</v>
      </c>
    </row>
    <row r="987">
      <c r="A987" s="181">
        <v>15993.0</v>
      </c>
      <c r="B987" s="175" t="s">
        <v>965</v>
      </c>
      <c r="C987" s="174">
        <v>2022.0</v>
      </c>
      <c r="D987" s="176" t="s">
        <v>52</v>
      </c>
      <c r="E987" s="176" t="s">
        <v>4201</v>
      </c>
      <c r="F987" s="177" t="s">
        <v>966</v>
      </c>
      <c r="G987" s="178">
        <v>45819.0</v>
      </c>
      <c r="H987" s="179">
        <f t="shared" si="1"/>
        <v>0</v>
      </c>
      <c r="I987" s="180" t="s">
        <v>4202</v>
      </c>
      <c r="J987" s="178">
        <v>45819.0</v>
      </c>
      <c r="K987" s="175" t="s">
        <v>2758</v>
      </c>
      <c r="L987" s="242"/>
      <c r="M987" s="242"/>
      <c r="N987" s="242"/>
      <c r="O987" s="242"/>
      <c r="P987" s="242"/>
      <c r="Q987" s="242"/>
      <c r="R987" s="242"/>
      <c r="S987" s="242"/>
      <c r="T987" s="242"/>
      <c r="U987" s="242"/>
      <c r="V987" s="242"/>
      <c r="W987" s="242"/>
      <c r="X987" s="242"/>
      <c r="Y987" s="242"/>
      <c r="Z987" s="242"/>
      <c r="AA987" s="242"/>
      <c r="AB987" s="242"/>
      <c r="AC987" s="242"/>
      <c r="AD987" s="242"/>
      <c r="AE987" s="242"/>
      <c r="AF987" s="242"/>
      <c r="AG987" s="242"/>
      <c r="AH987" s="242"/>
      <c r="AI987" s="242"/>
      <c r="AJ987" s="242"/>
      <c r="AK987" s="242"/>
      <c r="AL987" s="242"/>
      <c r="AM987" s="242"/>
      <c r="AN987" s="242"/>
      <c r="AO987" s="242"/>
    </row>
    <row r="988">
      <c r="A988" s="183">
        <v>15994.0</v>
      </c>
      <c r="B988" s="169" t="s">
        <v>341</v>
      </c>
      <c r="C988" s="168">
        <v>2022.0</v>
      </c>
      <c r="D988" s="142" t="s">
        <v>52</v>
      </c>
      <c r="E988" s="142" t="s">
        <v>82</v>
      </c>
      <c r="F988" s="170" t="s">
        <v>342</v>
      </c>
      <c r="G988" s="171">
        <v>45820.0</v>
      </c>
      <c r="H988" s="172">
        <f t="shared" si="1"/>
        <v>0</v>
      </c>
      <c r="I988" s="173" t="s">
        <v>4203</v>
      </c>
      <c r="J988" s="171">
        <v>45820.0</v>
      </c>
      <c r="K988" s="169" t="s">
        <v>2758</v>
      </c>
      <c r="L988" s="242"/>
      <c r="M988" s="242"/>
      <c r="N988" s="242"/>
      <c r="O988" s="242"/>
      <c r="P988" s="242"/>
      <c r="Q988" s="242"/>
      <c r="R988" s="242"/>
      <c r="S988" s="242"/>
      <c r="T988" s="242"/>
      <c r="U988" s="242"/>
      <c r="V988" s="242"/>
      <c r="W988" s="242"/>
      <c r="X988" s="242"/>
      <c r="Y988" s="242"/>
      <c r="Z988" s="242"/>
      <c r="AA988" s="242"/>
      <c r="AB988" s="242"/>
      <c r="AC988" s="242"/>
      <c r="AD988" s="242"/>
      <c r="AE988" s="242"/>
      <c r="AF988" s="242"/>
      <c r="AG988" s="242"/>
      <c r="AH988" s="242"/>
      <c r="AI988" s="242"/>
      <c r="AJ988" s="242"/>
      <c r="AK988" s="242"/>
      <c r="AL988" s="242"/>
      <c r="AM988" s="242"/>
      <c r="AN988" s="242"/>
      <c r="AO988" s="242"/>
    </row>
    <row r="989">
      <c r="A989" s="181">
        <v>16000.0</v>
      </c>
      <c r="B989" s="175" t="s">
        <v>2835</v>
      </c>
      <c r="C989" s="174">
        <v>2017.0</v>
      </c>
      <c r="D989" s="176" t="s">
        <v>14</v>
      </c>
      <c r="E989" s="176" t="s">
        <v>725</v>
      </c>
      <c r="F989" s="177" t="s">
        <v>2836</v>
      </c>
      <c r="G989" s="178">
        <v>45820.0</v>
      </c>
      <c r="H989" s="179">
        <f t="shared" si="1"/>
        <v>0</v>
      </c>
      <c r="I989" s="180" t="s">
        <v>4204</v>
      </c>
      <c r="J989" s="178">
        <v>45820.0</v>
      </c>
      <c r="K989" s="175" t="s">
        <v>2758</v>
      </c>
    </row>
    <row r="990">
      <c r="A990" s="183">
        <v>16003.0</v>
      </c>
      <c r="B990" s="169" t="s">
        <v>4205</v>
      </c>
      <c r="C990" s="168">
        <v>2022.0</v>
      </c>
      <c r="D990" s="142" t="s">
        <v>52</v>
      </c>
      <c r="E990" s="142" t="s">
        <v>28</v>
      </c>
      <c r="F990" s="170" t="s">
        <v>112</v>
      </c>
      <c r="G990" s="171">
        <v>45820.0</v>
      </c>
      <c r="H990" s="172">
        <f t="shared" si="1"/>
        <v>0</v>
      </c>
      <c r="I990" s="173" t="s">
        <v>4206</v>
      </c>
      <c r="J990" s="171">
        <v>45820.0</v>
      </c>
      <c r="K990" s="169" t="s">
        <v>2758</v>
      </c>
    </row>
    <row r="991">
      <c r="A991" s="181">
        <v>16005.0</v>
      </c>
      <c r="B991" s="175" t="s">
        <v>3748</v>
      </c>
      <c r="C991" s="174">
        <v>2022.0</v>
      </c>
      <c r="D991" s="176" t="s">
        <v>52</v>
      </c>
      <c r="E991" s="176" t="s">
        <v>805</v>
      </c>
      <c r="F991" s="177" t="s">
        <v>3749</v>
      </c>
      <c r="G991" s="178">
        <v>45820.0</v>
      </c>
      <c r="H991" s="179">
        <f t="shared" si="1"/>
        <v>0</v>
      </c>
      <c r="I991" s="180" t="s">
        <v>4207</v>
      </c>
      <c r="J991" s="178">
        <v>45820.0</v>
      </c>
      <c r="K991" s="175" t="s">
        <v>2758</v>
      </c>
      <c r="L991" s="242"/>
      <c r="M991" s="242"/>
      <c r="N991" s="242"/>
      <c r="O991" s="242"/>
      <c r="P991" s="242"/>
      <c r="Q991" s="242"/>
      <c r="R991" s="242"/>
      <c r="S991" s="242"/>
      <c r="T991" s="242"/>
      <c r="U991" s="242"/>
      <c r="V991" s="242"/>
      <c r="W991" s="242"/>
      <c r="X991" s="242"/>
      <c r="Y991" s="242"/>
      <c r="Z991" s="242"/>
      <c r="AA991" s="242"/>
      <c r="AB991" s="242"/>
      <c r="AC991" s="242"/>
      <c r="AD991" s="242"/>
      <c r="AE991" s="242"/>
      <c r="AF991" s="242"/>
      <c r="AG991" s="242"/>
      <c r="AH991" s="242"/>
      <c r="AI991" s="242"/>
      <c r="AJ991" s="242"/>
      <c r="AK991" s="242"/>
      <c r="AL991" s="242"/>
      <c r="AM991" s="242"/>
      <c r="AN991" s="242"/>
      <c r="AO991" s="242"/>
    </row>
    <row r="992">
      <c r="A992" s="203">
        <v>16008.0</v>
      </c>
      <c r="B992" s="205" t="s">
        <v>4208</v>
      </c>
      <c r="C992" s="218">
        <v>2022.0</v>
      </c>
      <c r="D992" s="205" t="s">
        <v>14</v>
      </c>
      <c r="E992" s="205" t="s">
        <v>28</v>
      </c>
      <c r="F992" s="206" t="s">
        <v>4209</v>
      </c>
      <c r="G992" s="207">
        <v>45820.0</v>
      </c>
      <c r="H992" s="172">
        <f t="shared" si="1"/>
        <v>11</v>
      </c>
      <c r="I992" s="205" t="s">
        <v>4210</v>
      </c>
      <c r="J992" s="268">
        <v>45831.0</v>
      </c>
      <c r="K992" s="169" t="s">
        <v>2758</v>
      </c>
    </row>
    <row r="993">
      <c r="A993" s="181">
        <v>16009.0</v>
      </c>
      <c r="B993" s="175" t="s">
        <v>4211</v>
      </c>
      <c r="C993" s="174">
        <v>2019.0</v>
      </c>
      <c r="D993" s="176" t="s">
        <v>14</v>
      </c>
      <c r="E993" s="176" t="s">
        <v>337</v>
      </c>
      <c r="F993" s="177" t="s">
        <v>4212</v>
      </c>
      <c r="G993" s="178">
        <v>45820.0</v>
      </c>
      <c r="H993" s="179">
        <f t="shared" si="1"/>
        <v>6</v>
      </c>
      <c r="I993" s="180" t="s">
        <v>4213</v>
      </c>
      <c r="J993" s="178">
        <v>45826.0</v>
      </c>
      <c r="K993" s="175" t="s">
        <v>2758</v>
      </c>
    </row>
    <row r="994">
      <c r="A994" s="183">
        <v>16012.0</v>
      </c>
      <c r="B994" s="169" t="s">
        <v>3395</v>
      </c>
      <c r="C994" s="168">
        <v>2020.0</v>
      </c>
      <c r="D994" s="142" t="s">
        <v>75</v>
      </c>
      <c r="E994" s="142" t="s">
        <v>106</v>
      </c>
      <c r="F994" s="170" t="s">
        <v>3396</v>
      </c>
      <c r="G994" s="171">
        <v>45820.0</v>
      </c>
      <c r="H994" s="172">
        <f t="shared" si="1"/>
        <v>1</v>
      </c>
      <c r="I994" s="173" t="s">
        <v>3159</v>
      </c>
      <c r="J994" s="228">
        <v>45821.0</v>
      </c>
      <c r="K994" s="169" t="s">
        <v>2758</v>
      </c>
      <c r="L994" s="282"/>
      <c r="M994" s="282"/>
      <c r="N994" s="282"/>
      <c r="O994" s="282"/>
      <c r="P994" s="282"/>
      <c r="Q994" s="282"/>
      <c r="R994" s="282"/>
      <c r="S994" s="282"/>
      <c r="T994" s="282"/>
      <c r="U994" s="282"/>
      <c r="V994" s="282"/>
      <c r="W994" s="282"/>
      <c r="X994" s="282"/>
      <c r="Y994" s="282"/>
      <c r="Z994" s="282"/>
      <c r="AA994" s="282"/>
      <c r="AB994" s="282"/>
      <c r="AC994" s="282"/>
      <c r="AD994" s="282"/>
    </row>
    <row r="995">
      <c r="A995" s="183">
        <v>16013.0</v>
      </c>
      <c r="B995" s="142" t="s">
        <v>4214</v>
      </c>
      <c r="C995" s="168">
        <v>2019.0</v>
      </c>
      <c r="D995" s="142" t="s">
        <v>14</v>
      </c>
      <c r="E995" s="142" t="s">
        <v>855</v>
      </c>
      <c r="F995" s="170" t="s">
        <v>4215</v>
      </c>
      <c r="G995" s="171">
        <v>45821.0</v>
      </c>
      <c r="H995" s="179">
        <f t="shared" si="1"/>
        <v>62</v>
      </c>
      <c r="I995" s="169" t="s">
        <v>4216</v>
      </c>
      <c r="J995" s="178">
        <v>45883.0</v>
      </c>
      <c r="K995" s="175" t="s">
        <v>2758</v>
      </c>
      <c r="L995" s="282"/>
      <c r="M995" s="282"/>
      <c r="N995" s="282"/>
      <c r="O995" s="282"/>
      <c r="P995" s="282"/>
      <c r="Q995" s="282"/>
      <c r="R995" s="282"/>
      <c r="S995" s="282"/>
      <c r="T995" s="282"/>
      <c r="U995" s="282"/>
      <c r="V995" s="282"/>
      <c r="W995" s="282"/>
      <c r="X995" s="282"/>
      <c r="Y995" s="282"/>
      <c r="Z995" s="282"/>
      <c r="AA995" s="282"/>
      <c r="AB995" s="282"/>
      <c r="AC995" s="282"/>
      <c r="AD995" s="282"/>
    </row>
    <row r="996">
      <c r="A996" s="183">
        <v>16014.0</v>
      </c>
      <c r="B996" s="169" t="s">
        <v>490</v>
      </c>
      <c r="C996" s="168">
        <v>2022.0</v>
      </c>
      <c r="D996" s="142" t="s">
        <v>52</v>
      </c>
      <c r="E996" s="142" t="s">
        <v>125</v>
      </c>
      <c r="F996" s="170" t="s">
        <v>491</v>
      </c>
      <c r="G996" s="171">
        <v>45821.0</v>
      </c>
      <c r="H996" s="172">
        <f t="shared" si="1"/>
        <v>4</v>
      </c>
      <c r="I996" s="173" t="s">
        <v>4217</v>
      </c>
      <c r="J996" s="171">
        <v>45825.0</v>
      </c>
      <c r="K996" s="169" t="s">
        <v>2758</v>
      </c>
    </row>
    <row r="997">
      <c r="A997" s="181">
        <v>16016.0</v>
      </c>
      <c r="B997" s="175" t="s">
        <v>1369</v>
      </c>
      <c r="C997" s="174">
        <v>2013.0</v>
      </c>
      <c r="D997" s="176" t="s">
        <v>105</v>
      </c>
      <c r="E997" s="176" t="s">
        <v>418</v>
      </c>
      <c r="F997" s="177" t="s">
        <v>1370</v>
      </c>
      <c r="G997" s="178">
        <v>45821.0</v>
      </c>
      <c r="H997" s="179">
        <f t="shared" si="1"/>
        <v>0</v>
      </c>
      <c r="I997" s="180" t="s">
        <v>3976</v>
      </c>
      <c r="J997" s="178">
        <v>45821.0</v>
      </c>
      <c r="K997" s="175" t="s">
        <v>2758</v>
      </c>
      <c r="L997" s="282"/>
      <c r="M997" s="282"/>
      <c r="N997" s="282"/>
      <c r="O997" s="282"/>
      <c r="P997" s="282"/>
      <c r="Q997" s="282"/>
      <c r="R997" s="282"/>
      <c r="S997" s="282"/>
      <c r="T997" s="282"/>
      <c r="U997" s="282"/>
      <c r="V997" s="282"/>
      <c r="W997" s="282"/>
      <c r="X997" s="282"/>
      <c r="Y997" s="282"/>
      <c r="Z997" s="282"/>
      <c r="AA997" s="282"/>
      <c r="AB997" s="282"/>
      <c r="AC997" s="282"/>
      <c r="AD997" s="282"/>
    </row>
    <row r="998">
      <c r="A998" s="183">
        <v>16021.0</v>
      </c>
      <c r="B998" s="169" t="s">
        <v>2927</v>
      </c>
      <c r="C998" s="168">
        <v>2022.0</v>
      </c>
      <c r="D998" s="142" t="s">
        <v>52</v>
      </c>
      <c r="E998" s="142" t="s">
        <v>610</v>
      </c>
      <c r="F998" s="170" t="s">
        <v>2928</v>
      </c>
      <c r="G998" s="171">
        <v>45824.0</v>
      </c>
      <c r="H998" s="172">
        <f t="shared" si="1"/>
        <v>1</v>
      </c>
      <c r="I998" s="173" t="s">
        <v>4218</v>
      </c>
      <c r="J998" s="171">
        <v>45825.0</v>
      </c>
      <c r="K998" s="169" t="s">
        <v>31</v>
      </c>
      <c r="L998" s="282"/>
      <c r="M998" s="282"/>
      <c r="N998" s="282"/>
      <c r="O998" s="282"/>
      <c r="P998" s="282"/>
      <c r="Q998" s="282"/>
      <c r="R998" s="282"/>
      <c r="S998" s="282"/>
      <c r="T998" s="282"/>
      <c r="U998" s="282"/>
      <c r="V998" s="282"/>
      <c r="W998" s="282"/>
      <c r="X998" s="282"/>
      <c r="Y998" s="282"/>
      <c r="Z998" s="282"/>
      <c r="AA998" s="282"/>
      <c r="AB998" s="282"/>
      <c r="AC998" s="282"/>
      <c r="AD998" s="282"/>
    </row>
    <row r="999">
      <c r="A999" s="181">
        <v>16023.0</v>
      </c>
      <c r="B999" s="176" t="s">
        <v>4219</v>
      </c>
      <c r="C999" s="174">
        <v>2011.0</v>
      </c>
      <c r="D999" s="176" t="s">
        <v>75</v>
      </c>
      <c r="E999" s="176" t="s">
        <v>169</v>
      </c>
      <c r="F999" s="177" t="s">
        <v>4220</v>
      </c>
      <c r="G999" s="178">
        <v>45824.0</v>
      </c>
      <c r="H999" s="179">
        <f t="shared" si="1"/>
        <v>79</v>
      </c>
      <c r="I999" s="175" t="s">
        <v>4221</v>
      </c>
      <c r="J999" s="269">
        <v>45903.0</v>
      </c>
      <c r="K999" s="175" t="s">
        <v>31</v>
      </c>
      <c r="L999" s="242"/>
      <c r="M999" s="242"/>
      <c r="N999" s="242"/>
      <c r="O999" s="242"/>
      <c r="P999" s="242"/>
      <c r="Q999" s="242"/>
      <c r="R999" s="242"/>
      <c r="S999" s="242"/>
      <c r="T999" s="242"/>
      <c r="U999" s="242"/>
      <c r="V999" s="242"/>
      <c r="W999" s="242"/>
      <c r="X999" s="242"/>
      <c r="Y999" s="242"/>
      <c r="Z999" s="242"/>
      <c r="AA999" s="242"/>
      <c r="AB999" s="242"/>
      <c r="AC999" s="242"/>
      <c r="AD999" s="242"/>
      <c r="AE999" s="242"/>
      <c r="AF999" s="242"/>
      <c r="AG999" s="242"/>
      <c r="AH999" s="242"/>
      <c r="AI999" s="242"/>
      <c r="AJ999" s="242"/>
      <c r="AK999" s="242"/>
      <c r="AL999" s="242"/>
      <c r="AM999" s="242"/>
      <c r="AN999" s="242"/>
      <c r="AO999" s="242"/>
    </row>
    <row r="1000">
      <c r="A1000" s="183">
        <v>16026.0</v>
      </c>
      <c r="B1000" s="169" t="s">
        <v>1322</v>
      </c>
      <c r="C1000" s="168">
        <v>2022.0</v>
      </c>
      <c r="D1000" s="142" t="s">
        <v>197</v>
      </c>
      <c r="E1000" s="142" t="s">
        <v>855</v>
      </c>
      <c r="F1000" s="170" t="s">
        <v>1323</v>
      </c>
      <c r="G1000" s="171">
        <v>45824.0</v>
      </c>
      <c r="H1000" s="172">
        <f t="shared" si="1"/>
        <v>63</v>
      </c>
      <c r="I1000" s="173" t="s">
        <v>4222</v>
      </c>
      <c r="J1000" s="171">
        <v>45887.0</v>
      </c>
      <c r="K1000" s="169" t="s">
        <v>2758</v>
      </c>
      <c r="L1000" s="242"/>
      <c r="M1000" s="242"/>
      <c r="N1000" s="242"/>
      <c r="O1000" s="242"/>
      <c r="P1000" s="242"/>
      <c r="Q1000" s="242"/>
      <c r="R1000" s="242"/>
      <c r="S1000" s="242"/>
      <c r="T1000" s="242"/>
      <c r="U1000" s="242"/>
      <c r="V1000" s="242"/>
      <c r="W1000" s="242"/>
      <c r="X1000" s="242"/>
      <c r="Y1000" s="242"/>
      <c r="Z1000" s="242"/>
      <c r="AA1000" s="242"/>
      <c r="AB1000" s="242"/>
      <c r="AC1000" s="242"/>
      <c r="AD1000" s="242"/>
      <c r="AE1000" s="242"/>
      <c r="AF1000" s="242"/>
      <c r="AG1000" s="242"/>
      <c r="AH1000" s="242"/>
      <c r="AI1000" s="242"/>
      <c r="AJ1000" s="242"/>
      <c r="AK1000" s="242"/>
      <c r="AL1000" s="242"/>
      <c r="AM1000" s="242"/>
      <c r="AN1000" s="242"/>
      <c r="AO1000" s="242"/>
    </row>
    <row r="1001">
      <c r="A1001" s="181">
        <v>16029.0</v>
      </c>
      <c r="B1001" s="176" t="s">
        <v>3073</v>
      </c>
      <c r="C1001" s="174">
        <v>2015.0</v>
      </c>
      <c r="D1001" s="176" t="s">
        <v>14</v>
      </c>
      <c r="E1001" s="176" t="s">
        <v>855</v>
      </c>
      <c r="F1001" s="177" t="s">
        <v>3074</v>
      </c>
      <c r="G1001" s="178">
        <v>45824.0</v>
      </c>
      <c r="H1001" s="179">
        <f t="shared" si="1"/>
        <v>1</v>
      </c>
      <c r="I1001" s="175" t="s">
        <v>4223</v>
      </c>
      <c r="J1001" s="178">
        <v>45825.0</v>
      </c>
      <c r="K1001" s="175" t="s">
        <v>2758</v>
      </c>
      <c r="L1001" s="309"/>
      <c r="M1001" s="309"/>
      <c r="N1001" s="309"/>
      <c r="O1001" s="309"/>
      <c r="P1001" s="309"/>
      <c r="Q1001" s="309"/>
      <c r="R1001" s="309"/>
      <c r="S1001" s="309"/>
      <c r="T1001" s="309"/>
      <c r="U1001" s="309"/>
      <c r="V1001" s="309"/>
      <c r="W1001" s="309"/>
      <c r="X1001" s="309"/>
      <c r="Y1001" s="309"/>
      <c r="Z1001" s="309"/>
      <c r="AA1001" s="309"/>
      <c r="AB1001" s="309"/>
      <c r="AC1001" s="309"/>
      <c r="AD1001" s="309"/>
      <c r="AE1001" s="242"/>
      <c r="AF1001" s="242"/>
      <c r="AG1001" s="242"/>
      <c r="AH1001" s="242"/>
      <c r="AI1001" s="242"/>
      <c r="AJ1001" s="242"/>
      <c r="AK1001" s="242"/>
      <c r="AL1001" s="242"/>
      <c r="AM1001" s="242"/>
      <c r="AN1001" s="242"/>
      <c r="AO1001" s="242"/>
    </row>
    <row r="1002">
      <c r="A1002" s="183">
        <v>16030.0</v>
      </c>
      <c r="B1002" s="169" t="s">
        <v>4224</v>
      </c>
      <c r="C1002" s="168">
        <v>2014.0</v>
      </c>
      <c r="D1002" s="142" t="s">
        <v>130</v>
      </c>
      <c r="E1002" s="142" t="s">
        <v>1626</v>
      </c>
      <c r="F1002" s="170" t="s">
        <v>4225</v>
      </c>
      <c r="G1002" s="171">
        <v>45825.0</v>
      </c>
      <c r="H1002" s="172">
        <f t="shared" si="1"/>
        <v>0</v>
      </c>
      <c r="I1002" s="173" t="s">
        <v>4226</v>
      </c>
      <c r="J1002" s="171">
        <v>45825.0</v>
      </c>
      <c r="K1002" s="169" t="s">
        <v>2758</v>
      </c>
      <c r="L1002" s="282"/>
      <c r="M1002" s="282"/>
      <c r="N1002" s="282"/>
      <c r="O1002" s="282"/>
      <c r="P1002" s="282"/>
      <c r="Q1002" s="282"/>
      <c r="R1002" s="282"/>
      <c r="S1002" s="282"/>
      <c r="T1002" s="282"/>
      <c r="U1002" s="282"/>
      <c r="V1002" s="282"/>
      <c r="W1002" s="282"/>
      <c r="X1002" s="282"/>
      <c r="Y1002" s="282"/>
      <c r="Z1002" s="282"/>
      <c r="AA1002" s="282"/>
      <c r="AB1002" s="282"/>
      <c r="AC1002" s="282"/>
      <c r="AD1002" s="282"/>
    </row>
    <row r="1003">
      <c r="A1003" s="181">
        <v>16032.0</v>
      </c>
      <c r="B1003" s="176" t="s">
        <v>1894</v>
      </c>
      <c r="C1003" s="174">
        <v>2015.0</v>
      </c>
      <c r="D1003" s="176" t="s">
        <v>75</v>
      </c>
      <c r="E1003" s="176" t="s">
        <v>28</v>
      </c>
      <c r="F1003" s="177" t="s">
        <v>1896</v>
      </c>
      <c r="G1003" s="178">
        <v>45825.0</v>
      </c>
      <c r="H1003" s="179">
        <f t="shared" si="1"/>
        <v>73</v>
      </c>
      <c r="I1003" s="175" t="s">
        <v>4227</v>
      </c>
      <c r="J1003" s="269">
        <v>45898.0</v>
      </c>
      <c r="K1003" s="175" t="s">
        <v>31</v>
      </c>
    </row>
    <row r="1004">
      <c r="A1004" s="293">
        <v>16034.0</v>
      </c>
      <c r="B1004" s="169" t="s">
        <v>609</v>
      </c>
      <c r="C1004" s="168">
        <v>2022.0</v>
      </c>
      <c r="D1004" s="142" t="s">
        <v>52</v>
      </c>
      <c r="E1004" s="142" t="s">
        <v>610</v>
      </c>
      <c r="F1004" s="170" t="s">
        <v>611</v>
      </c>
      <c r="G1004" s="171">
        <v>45825.0</v>
      </c>
      <c r="H1004" s="172">
        <f t="shared" si="1"/>
        <v>0</v>
      </c>
      <c r="I1004" s="173" t="s">
        <v>707</v>
      </c>
      <c r="J1004" s="171">
        <v>45825.0</v>
      </c>
      <c r="K1004" s="169" t="s">
        <v>2758</v>
      </c>
    </row>
    <row r="1005">
      <c r="A1005" s="181">
        <v>16035.0</v>
      </c>
      <c r="B1005" s="175" t="s">
        <v>1046</v>
      </c>
      <c r="C1005" s="174">
        <v>2022.0</v>
      </c>
      <c r="D1005" s="176" t="s">
        <v>52</v>
      </c>
      <c r="E1005" s="176" t="s">
        <v>912</v>
      </c>
      <c r="F1005" s="177" t="s">
        <v>1047</v>
      </c>
      <c r="G1005" s="178">
        <v>45825.0</v>
      </c>
      <c r="H1005" s="179">
        <f t="shared" si="1"/>
        <v>0</v>
      </c>
      <c r="I1005" s="180" t="s">
        <v>133</v>
      </c>
      <c r="J1005" s="178">
        <v>45825.0</v>
      </c>
      <c r="K1005" s="175" t="s">
        <v>2758</v>
      </c>
    </row>
    <row r="1006">
      <c r="A1006" s="183">
        <v>16038.0</v>
      </c>
      <c r="B1006" s="169" t="s">
        <v>441</v>
      </c>
      <c r="C1006" s="168">
        <v>2022.0</v>
      </c>
      <c r="D1006" s="142" t="s">
        <v>52</v>
      </c>
      <c r="E1006" s="142" t="s">
        <v>442</v>
      </c>
      <c r="F1006" s="170" t="s">
        <v>443</v>
      </c>
      <c r="G1006" s="171">
        <v>45826.0</v>
      </c>
      <c r="H1006" s="172">
        <f t="shared" si="1"/>
        <v>0</v>
      </c>
      <c r="I1006" s="173" t="s">
        <v>4228</v>
      </c>
      <c r="J1006" s="171">
        <v>45826.0</v>
      </c>
      <c r="K1006" s="169" t="s">
        <v>2758</v>
      </c>
    </row>
    <row r="1007">
      <c r="A1007" s="181">
        <v>16046.0</v>
      </c>
      <c r="B1007" s="175" t="s">
        <v>2259</v>
      </c>
      <c r="C1007" s="174">
        <v>2015.0</v>
      </c>
      <c r="D1007" s="176" t="s">
        <v>52</v>
      </c>
      <c r="E1007" s="176" t="s">
        <v>1299</v>
      </c>
      <c r="F1007" s="177" t="s">
        <v>2260</v>
      </c>
      <c r="G1007" s="178">
        <v>45828.0</v>
      </c>
      <c r="H1007" s="179">
        <f t="shared" si="1"/>
        <v>0</v>
      </c>
      <c r="I1007" s="180" t="s">
        <v>4229</v>
      </c>
      <c r="J1007" s="178">
        <v>45828.0</v>
      </c>
      <c r="K1007" s="175" t="s">
        <v>37</v>
      </c>
    </row>
    <row r="1008">
      <c r="A1008" s="183">
        <v>16048.0</v>
      </c>
      <c r="B1008" s="169" t="s">
        <v>4230</v>
      </c>
      <c r="C1008" s="168">
        <v>2014.0</v>
      </c>
      <c r="D1008" s="142" t="s">
        <v>75</v>
      </c>
      <c r="E1008" s="142" t="s">
        <v>2333</v>
      </c>
      <c r="F1008" s="170" t="s">
        <v>2334</v>
      </c>
      <c r="G1008" s="171">
        <v>45831.0</v>
      </c>
      <c r="H1008" s="172">
        <f t="shared" si="1"/>
        <v>0</v>
      </c>
      <c r="I1008" s="173" t="s">
        <v>133</v>
      </c>
      <c r="J1008" s="171">
        <v>45831.0</v>
      </c>
      <c r="K1008" s="169" t="s">
        <v>2758</v>
      </c>
    </row>
    <row r="1009">
      <c r="A1009" s="181">
        <v>16052.0</v>
      </c>
      <c r="B1009" s="175" t="s">
        <v>3129</v>
      </c>
      <c r="C1009" s="174">
        <v>2014.0</v>
      </c>
      <c r="D1009" s="176" t="s">
        <v>130</v>
      </c>
      <c r="E1009" s="176" t="s">
        <v>725</v>
      </c>
      <c r="F1009" s="177" t="s">
        <v>4231</v>
      </c>
      <c r="G1009" s="178">
        <v>45831.0</v>
      </c>
      <c r="H1009" s="179">
        <f t="shared" si="1"/>
        <v>0</v>
      </c>
      <c r="I1009" s="180" t="s">
        <v>4232</v>
      </c>
      <c r="J1009" s="178">
        <v>45831.0</v>
      </c>
      <c r="K1009" s="175" t="s">
        <v>2758</v>
      </c>
      <c r="L1009" s="282"/>
      <c r="M1009" s="282"/>
      <c r="N1009" s="282"/>
      <c r="O1009" s="282"/>
      <c r="P1009" s="282"/>
      <c r="Q1009" s="282"/>
      <c r="R1009" s="282"/>
      <c r="S1009" s="282"/>
      <c r="T1009" s="282"/>
      <c r="U1009" s="282"/>
      <c r="V1009" s="282"/>
      <c r="W1009" s="282"/>
      <c r="X1009" s="282"/>
      <c r="Y1009" s="282"/>
      <c r="Z1009" s="282"/>
      <c r="AA1009" s="282"/>
      <c r="AB1009" s="282"/>
      <c r="AC1009" s="282"/>
      <c r="AD1009" s="282"/>
    </row>
    <row r="1010">
      <c r="A1010" s="183">
        <v>16054.0</v>
      </c>
      <c r="B1010" s="169" t="s">
        <v>1369</v>
      </c>
      <c r="C1010" s="168">
        <v>2014.0</v>
      </c>
      <c r="D1010" s="142" t="s">
        <v>105</v>
      </c>
      <c r="E1010" s="142" t="s">
        <v>418</v>
      </c>
      <c r="F1010" s="170" t="s">
        <v>1370</v>
      </c>
      <c r="G1010" s="171">
        <v>45832.0</v>
      </c>
      <c r="H1010" s="172">
        <f t="shared" si="1"/>
        <v>0</v>
      </c>
      <c r="I1010" s="173" t="s">
        <v>4233</v>
      </c>
      <c r="J1010" s="171">
        <v>45832.0</v>
      </c>
      <c r="K1010" s="169" t="s">
        <v>2758</v>
      </c>
    </row>
    <row r="1011">
      <c r="A1011" s="181">
        <v>16060.0</v>
      </c>
      <c r="B1011" s="176" t="s">
        <v>250</v>
      </c>
      <c r="C1011" s="174">
        <v>2014.0</v>
      </c>
      <c r="D1011" s="273" t="s">
        <v>130</v>
      </c>
      <c r="E1011" s="176" t="s">
        <v>805</v>
      </c>
      <c r="F1011" s="177" t="s">
        <v>252</v>
      </c>
      <c r="G1011" s="178">
        <v>45832.0</v>
      </c>
      <c r="H1011" s="179">
        <f t="shared" si="1"/>
        <v>31</v>
      </c>
      <c r="I1011" s="175" t="s">
        <v>4234</v>
      </c>
      <c r="J1011" s="269">
        <v>45863.0</v>
      </c>
      <c r="K1011" s="175" t="s">
        <v>2758</v>
      </c>
    </row>
    <row r="1012">
      <c r="A1012" s="183">
        <v>16061.0</v>
      </c>
      <c r="B1012" s="169" t="s">
        <v>4235</v>
      </c>
      <c r="C1012" s="168">
        <v>2022.0</v>
      </c>
      <c r="D1012" s="142" t="s">
        <v>52</v>
      </c>
      <c r="E1012" s="142" t="s">
        <v>3318</v>
      </c>
      <c r="F1012" s="170" t="s">
        <v>4236</v>
      </c>
      <c r="G1012" s="171">
        <v>45832.0</v>
      </c>
      <c r="H1012" s="172">
        <f t="shared" si="1"/>
        <v>0</v>
      </c>
      <c r="I1012" s="173" t="s">
        <v>4237</v>
      </c>
      <c r="J1012" s="171">
        <v>45832.0</v>
      </c>
      <c r="K1012" s="169" t="s">
        <v>2758</v>
      </c>
      <c r="L1012" s="282"/>
      <c r="M1012" s="282"/>
      <c r="N1012" s="282"/>
      <c r="O1012" s="282"/>
      <c r="P1012" s="282"/>
      <c r="Q1012" s="282"/>
      <c r="R1012" s="282"/>
      <c r="S1012" s="282"/>
      <c r="T1012" s="282"/>
      <c r="U1012" s="282"/>
      <c r="V1012" s="282"/>
      <c r="W1012" s="282"/>
      <c r="X1012" s="282"/>
      <c r="Y1012" s="282"/>
      <c r="Z1012" s="282"/>
      <c r="AA1012" s="282"/>
      <c r="AB1012" s="282"/>
      <c r="AC1012" s="282"/>
      <c r="AD1012" s="282"/>
    </row>
    <row r="1013">
      <c r="A1013" s="181">
        <v>16063.0</v>
      </c>
      <c r="B1013" s="176" t="s">
        <v>2553</v>
      </c>
      <c r="C1013" s="174">
        <v>2018.0</v>
      </c>
      <c r="D1013" s="176" t="s">
        <v>14</v>
      </c>
      <c r="E1013" s="176" t="s">
        <v>277</v>
      </c>
      <c r="F1013" s="177" t="s">
        <v>2554</v>
      </c>
      <c r="G1013" s="178">
        <v>45832.0</v>
      </c>
      <c r="H1013" s="179">
        <f t="shared" si="1"/>
        <v>37</v>
      </c>
      <c r="I1013" s="175" t="s">
        <v>4238</v>
      </c>
      <c r="J1013" s="269">
        <v>45869.0</v>
      </c>
      <c r="K1013" s="175" t="s">
        <v>31</v>
      </c>
      <c r="L1013" s="282"/>
      <c r="M1013" s="282"/>
      <c r="N1013" s="282"/>
      <c r="O1013" s="282"/>
      <c r="P1013" s="282"/>
      <c r="Q1013" s="282"/>
      <c r="R1013" s="282"/>
      <c r="S1013" s="282"/>
      <c r="T1013" s="282"/>
      <c r="U1013" s="282"/>
      <c r="V1013" s="282"/>
      <c r="W1013" s="282"/>
      <c r="X1013" s="282"/>
      <c r="Y1013" s="282"/>
      <c r="Z1013" s="282"/>
      <c r="AA1013" s="282"/>
      <c r="AB1013" s="282"/>
      <c r="AC1013" s="282"/>
      <c r="AD1013" s="282"/>
    </row>
    <row r="1014">
      <c r="A1014" s="183">
        <v>16065.0</v>
      </c>
      <c r="B1014" s="169" t="s">
        <v>1056</v>
      </c>
      <c r="C1014" s="168">
        <v>2022.0</v>
      </c>
      <c r="D1014" s="142" t="s">
        <v>136</v>
      </c>
      <c r="E1014" s="142" t="s">
        <v>173</v>
      </c>
      <c r="F1014" s="170" t="s">
        <v>1058</v>
      </c>
      <c r="G1014" s="171">
        <v>45832.0</v>
      </c>
      <c r="H1014" s="172">
        <f t="shared" si="1"/>
        <v>0</v>
      </c>
      <c r="I1014" s="173" t="s">
        <v>4239</v>
      </c>
      <c r="J1014" s="171">
        <v>45832.0</v>
      </c>
      <c r="K1014" s="169" t="s">
        <v>2758</v>
      </c>
      <c r="L1014" s="282"/>
      <c r="M1014" s="282"/>
      <c r="N1014" s="282"/>
      <c r="O1014" s="282"/>
      <c r="P1014" s="282"/>
      <c r="Q1014" s="282"/>
      <c r="R1014" s="282"/>
      <c r="S1014" s="282"/>
      <c r="T1014" s="282"/>
      <c r="U1014" s="282"/>
      <c r="V1014" s="282"/>
      <c r="W1014" s="282"/>
      <c r="X1014" s="282"/>
      <c r="Y1014" s="282"/>
      <c r="Z1014" s="282"/>
      <c r="AA1014" s="282"/>
      <c r="AB1014" s="282"/>
      <c r="AC1014" s="282"/>
      <c r="AD1014" s="282"/>
    </row>
    <row r="1015">
      <c r="A1015" s="181">
        <v>16070.0</v>
      </c>
      <c r="B1015" s="175" t="s">
        <v>39</v>
      </c>
      <c r="C1015" s="174">
        <v>2022.0</v>
      </c>
      <c r="D1015" s="176" t="s">
        <v>52</v>
      </c>
      <c r="E1015" s="176" t="s">
        <v>41</v>
      </c>
      <c r="F1015" s="177" t="s">
        <v>42</v>
      </c>
      <c r="G1015" s="178">
        <v>45833.0</v>
      </c>
      <c r="H1015" s="179">
        <f t="shared" si="1"/>
        <v>0</v>
      </c>
      <c r="I1015" s="180" t="s">
        <v>3839</v>
      </c>
      <c r="J1015" s="178">
        <v>45833.0</v>
      </c>
      <c r="K1015" s="175" t="s">
        <v>2758</v>
      </c>
      <c r="L1015" s="282"/>
      <c r="M1015" s="282"/>
      <c r="N1015" s="282"/>
      <c r="O1015" s="282"/>
      <c r="P1015" s="282"/>
      <c r="Q1015" s="282"/>
      <c r="R1015" s="282"/>
      <c r="S1015" s="282"/>
      <c r="T1015" s="282"/>
      <c r="U1015" s="282"/>
      <c r="V1015" s="282"/>
      <c r="W1015" s="282"/>
      <c r="X1015" s="282"/>
      <c r="Y1015" s="282"/>
      <c r="Z1015" s="282"/>
      <c r="AA1015" s="282"/>
      <c r="AB1015" s="282"/>
      <c r="AC1015" s="282"/>
      <c r="AD1015" s="282"/>
    </row>
    <row r="1016">
      <c r="A1016" s="183">
        <v>16073.0</v>
      </c>
      <c r="B1016" s="169" t="s">
        <v>1233</v>
      </c>
      <c r="C1016" s="168">
        <v>2022.0</v>
      </c>
      <c r="D1016" s="142" t="s">
        <v>14</v>
      </c>
      <c r="E1016" s="142" t="s">
        <v>28</v>
      </c>
      <c r="F1016" s="170" t="s">
        <v>1234</v>
      </c>
      <c r="G1016" s="171">
        <v>45833.0</v>
      </c>
      <c r="H1016" s="172">
        <f t="shared" si="1"/>
        <v>0</v>
      </c>
      <c r="I1016" s="173" t="s">
        <v>4240</v>
      </c>
      <c r="J1016" s="171">
        <v>45833.0</v>
      </c>
      <c r="K1016" s="169" t="s">
        <v>2758</v>
      </c>
      <c r="L1016" s="282"/>
      <c r="M1016" s="282"/>
      <c r="N1016" s="282"/>
      <c r="O1016" s="282"/>
      <c r="P1016" s="282"/>
      <c r="Q1016" s="282"/>
      <c r="R1016" s="282"/>
      <c r="S1016" s="282"/>
      <c r="T1016" s="282"/>
      <c r="U1016" s="282"/>
      <c r="V1016" s="282"/>
      <c r="W1016" s="282"/>
      <c r="X1016" s="282"/>
      <c r="Y1016" s="282"/>
      <c r="Z1016" s="282"/>
      <c r="AA1016" s="282"/>
      <c r="AB1016" s="282"/>
      <c r="AC1016" s="282"/>
      <c r="AD1016" s="282"/>
    </row>
    <row r="1017">
      <c r="A1017" s="181">
        <v>16076.0</v>
      </c>
      <c r="B1017" s="175" t="s">
        <v>1755</v>
      </c>
      <c r="C1017" s="174">
        <v>2022.0</v>
      </c>
      <c r="D1017" s="176" t="s">
        <v>52</v>
      </c>
      <c r="E1017" s="176" t="s">
        <v>582</v>
      </c>
      <c r="F1017" s="177" t="s">
        <v>1756</v>
      </c>
      <c r="G1017" s="178">
        <v>45833.0</v>
      </c>
      <c r="H1017" s="179">
        <f t="shared" si="1"/>
        <v>0</v>
      </c>
      <c r="I1017" s="180" t="s">
        <v>444</v>
      </c>
      <c r="J1017" s="178">
        <v>45833.0</v>
      </c>
      <c r="K1017" s="175" t="s">
        <v>2758</v>
      </c>
      <c r="L1017" s="282"/>
      <c r="M1017" s="282"/>
      <c r="N1017" s="282"/>
      <c r="O1017" s="282"/>
      <c r="P1017" s="282"/>
      <c r="Q1017" s="282"/>
      <c r="R1017" s="282"/>
      <c r="S1017" s="282"/>
      <c r="T1017" s="282"/>
      <c r="U1017" s="282"/>
      <c r="V1017" s="282"/>
      <c r="W1017" s="282"/>
      <c r="X1017" s="282"/>
      <c r="Y1017" s="282"/>
      <c r="Z1017" s="282"/>
      <c r="AA1017" s="282"/>
      <c r="AB1017" s="282"/>
      <c r="AC1017" s="282"/>
      <c r="AD1017" s="282"/>
    </row>
    <row r="1018">
      <c r="A1018" s="183">
        <v>16079.0</v>
      </c>
      <c r="B1018" s="169" t="s">
        <v>1648</v>
      </c>
      <c r="C1018" s="168">
        <v>2014.0</v>
      </c>
      <c r="D1018" s="142" t="s">
        <v>3130</v>
      </c>
      <c r="E1018" s="142" t="s">
        <v>399</v>
      </c>
      <c r="F1018" s="170" t="s">
        <v>1649</v>
      </c>
      <c r="G1018" s="171">
        <v>45833.0</v>
      </c>
      <c r="H1018" s="172">
        <f t="shared" si="1"/>
        <v>0</v>
      </c>
      <c r="I1018" s="173" t="s">
        <v>4241</v>
      </c>
      <c r="J1018" s="171">
        <v>45833.0</v>
      </c>
      <c r="K1018" s="169" t="s">
        <v>2758</v>
      </c>
      <c r="L1018" s="282"/>
      <c r="M1018" s="282"/>
      <c r="N1018" s="282"/>
      <c r="O1018" s="282"/>
      <c r="P1018" s="282"/>
      <c r="Q1018" s="282"/>
      <c r="R1018" s="282"/>
      <c r="S1018" s="282"/>
      <c r="T1018" s="282"/>
      <c r="U1018" s="282"/>
      <c r="V1018" s="282"/>
      <c r="W1018" s="282"/>
      <c r="X1018" s="282"/>
      <c r="Y1018" s="282"/>
      <c r="Z1018" s="282"/>
      <c r="AA1018" s="282"/>
      <c r="AB1018" s="282"/>
      <c r="AC1018" s="282"/>
      <c r="AD1018" s="282"/>
    </row>
    <row r="1019">
      <c r="A1019" s="181">
        <v>16080.0</v>
      </c>
      <c r="B1019" s="175" t="s">
        <v>417</v>
      </c>
      <c r="C1019" s="174">
        <v>2022.0</v>
      </c>
      <c r="D1019" s="176" t="s">
        <v>52</v>
      </c>
      <c r="E1019" s="176" t="s">
        <v>418</v>
      </c>
      <c r="F1019" s="177" t="s">
        <v>419</v>
      </c>
      <c r="G1019" s="178">
        <v>45833.0</v>
      </c>
      <c r="H1019" s="179">
        <f t="shared" si="1"/>
        <v>0</v>
      </c>
      <c r="I1019" s="180" t="s">
        <v>4242</v>
      </c>
      <c r="J1019" s="178">
        <v>45833.0</v>
      </c>
      <c r="K1019" s="175" t="s">
        <v>2758</v>
      </c>
      <c r="L1019" s="242"/>
      <c r="M1019" s="242"/>
      <c r="N1019" s="242"/>
      <c r="O1019" s="242"/>
      <c r="P1019" s="242"/>
      <c r="Q1019" s="242"/>
      <c r="R1019" s="242"/>
      <c r="S1019" s="242"/>
      <c r="T1019" s="242"/>
      <c r="U1019" s="242"/>
      <c r="V1019" s="242"/>
      <c r="W1019" s="242"/>
      <c r="X1019" s="242"/>
      <c r="Y1019" s="242"/>
      <c r="Z1019" s="242"/>
      <c r="AA1019" s="242"/>
      <c r="AB1019" s="242"/>
      <c r="AC1019" s="242"/>
      <c r="AD1019" s="242"/>
      <c r="AE1019" s="242"/>
      <c r="AF1019" s="242"/>
      <c r="AG1019" s="242"/>
      <c r="AH1019" s="242"/>
      <c r="AI1019" s="242"/>
      <c r="AJ1019" s="242"/>
      <c r="AK1019" s="242"/>
      <c r="AL1019" s="242"/>
      <c r="AM1019" s="242"/>
      <c r="AN1019" s="242"/>
      <c r="AO1019" s="242"/>
    </row>
    <row r="1020">
      <c r="A1020" s="183">
        <v>16081.0</v>
      </c>
      <c r="B1020" s="169" t="s">
        <v>229</v>
      </c>
      <c r="C1020" s="168">
        <v>2015.0</v>
      </c>
      <c r="D1020" s="142" t="s">
        <v>14</v>
      </c>
      <c r="E1020" s="142" t="s">
        <v>277</v>
      </c>
      <c r="F1020" s="170" t="s">
        <v>230</v>
      </c>
      <c r="G1020" s="171">
        <v>45833.0</v>
      </c>
      <c r="H1020" s="172">
        <f t="shared" si="1"/>
        <v>2</v>
      </c>
      <c r="I1020" s="173" t="s">
        <v>133</v>
      </c>
      <c r="J1020" s="171">
        <v>45835.0</v>
      </c>
      <c r="K1020" s="169" t="s">
        <v>2758</v>
      </c>
      <c r="L1020" s="282"/>
      <c r="M1020" s="282"/>
      <c r="N1020" s="282"/>
      <c r="O1020" s="282"/>
      <c r="P1020" s="282"/>
      <c r="Q1020" s="282"/>
      <c r="R1020" s="282"/>
      <c r="S1020" s="282"/>
      <c r="T1020" s="282"/>
      <c r="U1020" s="282"/>
      <c r="V1020" s="282"/>
      <c r="W1020" s="282"/>
      <c r="X1020" s="282"/>
      <c r="Y1020" s="282"/>
      <c r="Z1020" s="282"/>
      <c r="AA1020" s="282"/>
      <c r="AB1020" s="282"/>
      <c r="AC1020" s="282"/>
      <c r="AD1020" s="282"/>
    </row>
    <row r="1021">
      <c r="A1021" s="181">
        <v>16082.0</v>
      </c>
      <c r="B1021" s="176" t="s">
        <v>4243</v>
      </c>
      <c r="C1021" s="174">
        <v>2011.0</v>
      </c>
      <c r="D1021" s="176" t="s">
        <v>2857</v>
      </c>
      <c r="E1021" s="176" t="s">
        <v>277</v>
      </c>
      <c r="F1021" s="177" t="s">
        <v>2210</v>
      </c>
      <c r="G1021" s="178">
        <v>45833.0</v>
      </c>
      <c r="H1021" s="179">
        <f t="shared" si="1"/>
        <v>64</v>
      </c>
      <c r="I1021" s="175" t="s">
        <v>3252</v>
      </c>
      <c r="J1021" s="269">
        <v>45897.0</v>
      </c>
      <c r="K1021" s="175" t="s">
        <v>2758</v>
      </c>
      <c r="L1021" s="282"/>
      <c r="M1021" s="282"/>
      <c r="N1021" s="282"/>
      <c r="O1021" s="282"/>
      <c r="P1021" s="282"/>
      <c r="Q1021" s="282"/>
      <c r="R1021" s="282"/>
      <c r="S1021" s="282"/>
      <c r="T1021" s="282"/>
      <c r="U1021" s="282"/>
      <c r="V1021" s="282"/>
      <c r="W1021" s="282"/>
      <c r="X1021" s="282"/>
      <c r="Y1021" s="282"/>
      <c r="Z1021" s="282"/>
      <c r="AA1021" s="282"/>
      <c r="AB1021" s="282"/>
      <c r="AC1021" s="282"/>
      <c r="AD1021" s="282"/>
    </row>
    <row r="1022">
      <c r="A1022" s="183">
        <v>16088.0</v>
      </c>
      <c r="B1022" s="142" t="s">
        <v>1641</v>
      </c>
      <c r="C1022" s="168">
        <v>2018.0</v>
      </c>
      <c r="D1022" s="142" t="s">
        <v>52</v>
      </c>
      <c r="E1022" s="142" t="s">
        <v>1639</v>
      </c>
      <c r="F1022" s="170" t="s">
        <v>1642</v>
      </c>
      <c r="G1022" s="171">
        <v>45834.0</v>
      </c>
      <c r="H1022" s="172">
        <f t="shared" si="1"/>
        <v>5</v>
      </c>
      <c r="I1022" s="169" t="s">
        <v>4244</v>
      </c>
      <c r="J1022" s="268">
        <v>45839.0</v>
      </c>
      <c r="K1022" s="169" t="s">
        <v>2758</v>
      </c>
      <c r="L1022" s="282"/>
      <c r="M1022" s="282"/>
      <c r="N1022" s="282"/>
      <c r="O1022" s="282"/>
      <c r="P1022" s="282"/>
      <c r="Q1022" s="282"/>
      <c r="R1022" s="282"/>
      <c r="S1022" s="282"/>
      <c r="T1022" s="282"/>
      <c r="U1022" s="282"/>
      <c r="V1022" s="282"/>
      <c r="W1022" s="282"/>
      <c r="X1022" s="282"/>
      <c r="Y1022" s="282"/>
      <c r="Z1022" s="282"/>
      <c r="AA1022" s="282"/>
      <c r="AB1022" s="282"/>
      <c r="AC1022" s="282"/>
      <c r="AD1022" s="282"/>
    </row>
    <row r="1023">
      <c r="A1023" s="181">
        <v>16091.0</v>
      </c>
      <c r="B1023" s="175" t="s">
        <v>1369</v>
      </c>
      <c r="C1023" s="174">
        <v>2014.0</v>
      </c>
      <c r="D1023" s="176" t="s">
        <v>105</v>
      </c>
      <c r="E1023" s="176" t="s">
        <v>418</v>
      </c>
      <c r="F1023" s="177" t="s">
        <v>1370</v>
      </c>
      <c r="G1023" s="178">
        <v>45834.0</v>
      </c>
      <c r="H1023" s="179">
        <f t="shared" si="1"/>
        <v>14</v>
      </c>
      <c r="I1023" s="175" t="s">
        <v>4245</v>
      </c>
      <c r="J1023" s="178">
        <v>45848.0</v>
      </c>
      <c r="K1023" s="175" t="s">
        <v>2758</v>
      </c>
      <c r="L1023" s="282"/>
      <c r="M1023" s="282"/>
      <c r="N1023" s="282"/>
      <c r="O1023" s="282"/>
      <c r="P1023" s="282"/>
      <c r="Q1023" s="282"/>
      <c r="R1023" s="282"/>
      <c r="S1023" s="282"/>
      <c r="T1023" s="282"/>
      <c r="U1023" s="282"/>
      <c r="V1023" s="282"/>
      <c r="W1023" s="282"/>
      <c r="X1023" s="282"/>
      <c r="Y1023" s="282"/>
      <c r="Z1023" s="282"/>
      <c r="AA1023" s="282"/>
      <c r="AB1023" s="282"/>
      <c r="AC1023" s="282"/>
      <c r="AD1023" s="282"/>
    </row>
    <row r="1024">
      <c r="A1024" s="183">
        <v>16094.0</v>
      </c>
      <c r="B1024" s="169" t="s">
        <v>910</v>
      </c>
      <c r="C1024" s="168">
        <v>2018.0</v>
      </c>
      <c r="D1024" s="142" t="s">
        <v>14</v>
      </c>
      <c r="E1024" s="142" t="s">
        <v>912</v>
      </c>
      <c r="F1024" s="170" t="s">
        <v>913</v>
      </c>
      <c r="G1024" s="171">
        <v>45835.0</v>
      </c>
      <c r="H1024" s="172">
        <f t="shared" si="1"/>
        <v>4</v>
      </c>
      <c r="I1024" s="173" t="s">
        <v>133</v>
      </c>
      <c r="J1024" s="171">
        <v>45839.0</v>
      </c>
      <c r="K1024" s="169" t="s">
        <v>2758</v>
      </c>
      <c r="L1024" s="282"/>
      <c r="M1024" s="282"/>
      <c r="N1024" s="282"/>
      <c r="O1024" s="282"/>
      <c r="P1024" s="282"/>
      <c r="Q1024" s="282"/>
      <c r="R1024" s="282"/>
      <c r="S1024" s="282"/>
      <c r="T1024" s="282"/>
      <c r="U1024" s="282"/>
      <c r="V1024" s="282"/>
      <c r="W1024" s="282"/>
      <c r="X1024" s="282"/>
      <c r="Y1024" s="282"/>
      <c r="Z1024" s="282"/>
      <c r="AA1024" s="282"/>
      <c r="AB1024" s="282"/>
      <c r="AC1024" s="282"/>
      <c r="AD1024" s="282"/>
    </row>
    <row r="1025">
      <c r="A1025" s="181">
        <v>16099.0</v>
      </c>
      <c r="B1025" s="175" t="s">
        <v>586</v>
      </c>
      <c r="C1025" s="174">
        <v>2014.0</v>
      </c>
      <c r="D1025" s="176" t="s">
        <v>130</v>
      </c>
      <c r="E1025" s="176" t="s">
        <v>173</v>
      </c>
      <c r="F1025" s="177" t="s">
        <v>587</v>
      </c>
      <c r="G1025" s="178">
        <v>45838.0</v>
      </c>
      <c r="H1025" s="179">
        <f t="shared" si="1"/>
        <v>4</v>
      </c>
      <c r="I1025" s="180" t="s">
        <v>4246</v>
      </c>
      <c r="J1025" s="178">
        <v>45842.0</v>
      </c>
      <c r="K1025" s="175" t="s">
        <v>31</v>
      </c>
      <c r="L1025" s="282"/>
      <c r="M1025" s="282"/>
      <c r="N1025" s="282"/>
      <c r="O1025" s="282"/>
      <c r="P1025" s="282"/>
      <c r="Q1025" s="282"/>
      <c r="R1025" s="282"/>
      <c r="S1025" s="282"/>
      <c r="T1025" s="282"/>
      <c r="U1025" s="282"/>
      <c r="V1025" s="282"/>
      <c r="W1025" s="282"/>
      <c r="X1025" s="282"/>
      <c r="Y1025" s="282"/>
      <c r="Z1025" s="282"/>
      <c r="AA1025" s="282"/>
      <c r="AB1025" s="282"/>
      <c r="AC1025" s="282"/>
      <c r="AD1025" s="282"/>
    </row>
    <row r="1026">
      <c r="A1026" s="183">
        <v>16101.0</v>
      </c>
      <c r="B1026" s="142" t="s">
        <v>2242</v>
      </c>
      <c r="C1026" s="168">
        <v>2014.0</v>
      </c>
      <c r="D1026" s="142" t="s">
        <v>130</v>
      </c>
      <c r="E1026" s="142" t="s">
        <v>884</v>
      </c>
      <c r="F1026" s="170" t="s">
        <v>2243</v>
      </c>
      <c r="G1026" s="171">
        <v>45838.0</v>
      </c>
      <c r="H1026" s="172">
        <f t="shared" si="1"/>
        <v>22</v>
      </c>
      <c r="I1026" s="169" t="s">
        <v>4247</v>
      </c>
      <c r="J1026" s="268">
        <v>45860.0</v>
      </c>
      <c r="K1026" s="169" t="s">
        <v>2758</v>
      </c>
      <c r="L1026" s="282"/>
      <c r="M1026" s="282"/>
      <c r="N1026" s="282"/>
      <c r="O1026" s="282"/>
      <c r="P1026" s="282"/>
      <c r="Q1026" s="282"/>
      <c r="R1026" s="282"/>
      <c r="S1026" s="282"/>
      <c r="T1026" s="282"/>
      <c r="U1026" s="282"/>
      <c r="V1026" s="282"/>
      <c r="W1026" s="282"/>
      <c r="X1026" s="282"/>
      <c r="Y1026" s="282"/>
      <c r="Z1026" s="282"/>
      <c r="AA1026" s="282"/>
      <c r="AB1026" s="282"/>
      <c r="AC1026" s="282"/>
      <c r="AD1026" s="282"/>
    </row>
    <row r="1027">
      <c r="A1027" s="181">
        <v>16105.0</v>
      </c>
      <c r="B1027" s="175" t="s">
        <v>965</v>
      </c>
      <c r="C1027" s="174">
        <v>2022.0</v>
      </c>
      <c r="D1027" s="176" t="s">
        <v>52</v>
      </c>
      <c r="E1027" s="176" t="s">
        <v>4248</v>
      </c>
      <c r="F1027" s="177" t="s">
        <v>966</v>
      </c>
      <c r="G1027" s="178">
        <v>45838.0</v>
      </c>
      <c r="H1027" s="179">
        <f t="shared" si="1"/>
        <v>0</v>
      </c>
      <c r="I1027" s="180" t="s">
        <v>4249</v>
      </c>
      <c r="J1027" s="178">
        <v>45838.0</v>
      </c>
      <c r="K1027" s="175" t="s">
        <v>2758</v>
      </c>
      <c r="L1027" s="282"/>
      <c r="M1027" s="282"/>
      <c r="N1027" s="282"/>
      <c r="O1027" s="282"/>
      <c r="P1027" s="282"/>
      <c r="Q1027" s="282"/>
      <c r="R1027" s="282"/>
      <c r="S1027" s="282"/>
      <c r="T1027" s="282"/>
      <c r="U1027" s="282"/>
      <c r="V1027" s="282"/>
      <c r="W1027" s="282"/>
      <c r="X1027" s="282"/>
      <c r="Y1027" s="282"/>
      <c r="Z1027" s="282"/>
      <c r="AA1027" s="282"/>
      <c r="AB1027" s="282"/>
      <c r="AC1027" s="282"/>
      <c r="AD1027" s="282"/>
    </row>
    <row r="1028">
      <c r="A1028" s="183">
        <v>16115.0</v>
      </c>
      <c r="B1028" s="142" t="s">
        <v>723</v>
      </c>
      <c r="C1028" s="168">
        <v>2017.0</v>
      </c>
      <c r="D1028" s="142" t="s">
        <v>14</v>
      </c>
      <c r="E1028" s="142" t="s">
        <v>725</v>
      </c>
      <c r="F1028" s="170" t="s">
        <v>726</v>
      </c>
      <c r="G1028" s="171">
        <v>45839.0</v>
      </c>
      <c r="H1028" s="172">
        <f t="shared" si="1"/>
        <v>52</v>
      </c>
      <c r="I1028" s="169" t="s">
        <v>4250</v>
      </c>
      <c r="J1028" s="171">
        <v>45891.0</v>
      </c>
      <c r="K1028" s="169" t="s">
        <v>2758</v>
      </c>
      <c r="L1028" s="152" t="s">
        <v>2758</v>
      </c>
      <c r="M1028" s="152" t="s">
        <v>2758</v>
      </c>
      <c r="N1028" s="152" t="s">
        <v>2758</v>
      </c>
      <c r="O1028" s="152" t="s">
        <v>2758</v>
      </c>
      <c r="P1028" s="152" t="s">
        <v>2758</v>
      </c>
      <c r="Q1028" s="152" t="s">
        <v>2758</v>
      </c>
      <c r="R1028" s="152" t="s">
        <v>2758</v>
      </c>
      <c r="S1028" s="152" t="s">
        <v>2758</v>
      </c>
      <c r="T1028" s="152" t="s">
        <v>2758</v>
      </c>
      <c r="U1028" s="152" t="s">
        <v>2758</v>
      </c>
      <c r="V1028" s="152" t="s">
        <v>2758</v>
      </c>
      <c r="W1028" s="152" t="s">
        <v>2758</v>
      </c>
      <c r="X1028" s="152" t="s">
        <v>2758</v>
      </c>
      <c r="Y1028" s="152" t="s">
        <v>2758</v>
      </c>
      <c r="Z1028" s="152" t="s">
        <v>2758</v>
      </c>
      <c r="AA1028" s="152" t="s">
        <v>2758</v>
      </c>
      <c r="AB1028" s="152" t="s">
        <v>2758</v>
      </c>
      <c r="AC1028" s="152" t="s">
        <v>2758</v>
      </c>
      <c r="AD1028" s="152" t="s">
        <v>2758</v>
      </c>
    </row>
    <row r="1029">
      <c r="A1029" s="181">
        <v>16116.0</v>
      </c>
      <c r="B1029" s="175" t="s">
        <v>1437</v>
      </c>
      <c r="C1029" s="174">
        <v>2022.0</v>
      </c>
      <c r="D1029" s="176" t="s">
        <v>52</v>
      </c>
      <c r="E1029" s="176" t="s">
        <v>53</v>
      </c>
      <c r="F1029" s="234">
        <v>45674.0</v>
      </c>
      <c r="G1029" s="178">
        <v>45839.0</v>
      </c>
      <c r="H1029" s="179">
        <f t="shared" si="1"/>
        <v>0</v>
      </c>
      <c r="I1029" s="180" t="s">
        <v>2265</v>
      </c>
      <c r="J1029" s="178">
        <v>45839.0</v>
      </c>
      <c r="K1029" s="175" t="s">
        <v>2758</v>
      </c>
      <c r="L1029" s="242"/>
      <c r="M1029" s="242"/>
      <c r="N1029" s="242"/>
      <c r="O1029" s="242"/>
      <c r="P1029" s="242"/>
      <c r="Q1029" s="242"/>
      <c r="R1029" s="242"/>
      <c r="S1029" s="242"/>
      <c r="T1029" s="242"/>
      <c r="U1029" s="242"/>
      <c r="V1029" s="242"/>
      <c r="W1029" s="242"/>
      <c r="X1029" s="242"/>
      <c r="Y1029" s="242"/>
      <c r="Z1029" s="242"/>
      <c r="AA1029" s="242"/>
      <c r="AB1029" s="242"/>
      <c r="AC1029" s="242"/>
      <c r="AD1029" s="242"/>
      <c r="AE1029" s="242"/>
      <c r="AF1029" s="242"/>
      <c r="AG1029" s="242"/>
      <c r="AH1029" s="242"/>
      <c r="AI1029" s="242"/>
      <c r="AJ1029" s="242"/>
      <c r="AK1029" s="242"/>
      <c r="AL1029" s="242"/>
      <c r="AM1029" s="242"/>
      <c r="AN1029" s="242"/>
      <c r="AO1029" s="242"/>
    </row>
    <row r="1030">
      <c r="A1030" s="183">
        <v>16119.0</v>
      </c>
      <c r="B1030" s="169" t="s">
        <v>3160</v>
      </c>
      <c r="C1030" s="168">
        <v>2015.0</v>
      </c>
      <c r="D1030" s="142" t="s">
        <v>130</v>
      </c>
      <c r="E1030" s="142" t="s">
        <v>137</v>
      </c>
      <c r="F1030" s="170" t="s">
        <v>4129</v>
      </c>
      <c r="G1030" s="171">
        <v>45839.0</v>
      </c>
      <c r="H1030" s="172">
        <f t="shared" si="1"/>
        <v>1</v>
      </c>
      <c r="I1030" s="173" t="s">
        <v>31</v>
      </c>
      <c r="J1030" s="171">
        <v>45840.0</v>
      </c>
      <c r="K1030" s="169" t="s">
        <v>31</v>
      </c>
      <c r="L1030" s="282"/>
      <c r="M1030" s="282"/>
      <c r="N1030" s="282"/>
      <c r="O1030" s="282"/>
      <c r="P1030" s="282"/>
      <c r="Q1030" s="282"/>
      <c r="R1030" s="282"/>
      <c r="S1030" s="282"/>
      <c r="T1030" s="282"/>
      <c r="U1030" s="282"/>
      <c r="V1030" s="282"/>
      <c r="W1030" s="282"/>
      <c r="X1030" s="282"/>
      <c r="Y1030" s="282"/>
      <c r="Z1030" s="282"/>
      <c r="AA1030" s="282"/>
      <c r="AB1030" s="282"/>
      <c r="AC1030" s="282"/>
      <c r="AD1030" s="282"/>
    </row>
    <row r="1031">
      <c r="A1031" s="181">
        <v>16123.0</v>
      </c>
      <c r="B1031" s="176" t="s">
        <v>39</v>
      </c>
      <c r="C1031" s="174">
        <v>2022.0</v>
      </c>
      <c r="D1031" s="273" t="s">
        <v>52</v>
      </c>
      <c r="E1031" s="176" t="s">
        <v>41</v>
      </c>
      <c r="F1031" s="177" t="s">
        <v>42</v>
      </c>
      <c r="G1031" s="178">
        <v>45840.0</v>
      </c>
      <c r="H1031" s="179">
        <f t="shared" si="1"/>
        <v>29</v>
      </c>
      <c r="I1031" s="175" t="s">
        <v>4251</v>
      </c>
      <c r="J1031" s="178">
        <v>45869.0</v>
      </c>
      <c r="K1031" s="175" t="s">
        <v>31</v>
      </c>
      <c r="L1031" s="282"/>
      <c r="M1031" s="282"/>
      <c r="N1031" s="282"/>
      <c r="O1031" s="282"/>
      <c r="P1031" s="282"/>
      <c r="Q1031" s="282"/>
      <c r="R1031" s="282"/>
      <c r="S1031" s="282"/>
      <c r="T1031" s="282"/>
      <c r="U1031" s="282"/>
      <c r="V1031" s="282"/>
      <c r="W1031" s="282"/>
      <c r="X1031" s="282"/>
      <c r="Y1031" s="282"/>
      <c r="Z1031" s="282"/>
      <c r="AA1031" s="282"/>
      <c r="AB1031" s="282"/>
      <c r="AC1031" s="282"/>
      <c r="AD1031" s="282"/>
    </row>
    <row r="1032">
      <c r="A1032" s="183">
        <v>16125.0</v>
      </c>
      <c r="B1032" s="169" t="s">
        <v>1500</v>
      </c>
      <c r="C1032" s="168">
        <v>2014.0</v>
      </c>
      <c r="D1032" s="142" t="s">
        <v>136</v>
      </c>
      <c r="E1032" s="142" t="s">
        <v>207</v>
      </c>
      <c r="F1032" s="170" t="s">
        <v>1501</v>
      </c>
      <c r="G1032" s="171">
        <v>45840.0</v>
      </c>
      <c r="H1032" s="172">
        <f t="shared" si="1"/>
        <v>0</v>
      </c>
      <c r="I1032" s="173" t="s">
        <v>4252</v>
      </c>
      <c r="J1032" s="171">
        <v>45840.0</v>
      </c>
      <c r="K1032" s="169" t="s">
        <v>2758</v>
      </c>
      <c r="L1032" s="282"/>
      <c r="M1032" s="282"/>
      <c r="N1032" s="282"/>
      <c r="O1032" s="282"/>
      <c r="P1032" s="282"/>
      <c r="Q1032" s="282"/>
      <c r="R1032" s="282"/>
      <c r="S1032" s="282"/>
      <c r="T1032" s="282"/>
      <c r="U1032" s="282"/>
      <c r="V1032" s="282"/>
      <c r="W1032" s="282"/>
      <c r="X1032" s="282"/>
      <c r="Y1032" s="282"/>
      <c r="Z1032" s="282"/>
      <c r="AA1032" s="282"/>
      <c r="AB1032" s="282"/>
      <c r="AC1032" s="282"/>
      <c r="AD1032" s="282"/>
    </row>
    <row r="1033">
      <c r="A1033" s="181">
        <v>16127.0</v>
      </c>
      <c r="B1033" s="176" t="s">
        <v>2200</v>
      </c>
      <c r="C1033" s="174">
        <v>2021.0</v>
      </c>
      <c r="D1033" s="176" t="s">
        <v>52</v>
      </c>
      <c r="E1033" s="176" t="s">
        <v>53</v>
      </c>
      <c r="F1033" s="234">
        <v>45733.0</v>
      </c>
      <c r="G1033" s="178">
        <v>45840.0</v>
      </c>
      <c r="H1033" s="179">
        <f t="shared" si="1"/>
        <v>9</v>
      </c>
      <c r="I1033" s="175" t="s">
        <v>4253</v>
      </c>
      <c r="J1033" s="269">
        <v>45849.0</v>
      </c>
      <c r="K1033" s="175" t="s">
        <v>2758</v>
      </c>
      <c r="L1033" s="282"/>
      <c r="M1033" s="282"/>
      <c r="N1033" s="282"/>
      <c r="O1033" s="282"/>
      <c r="P1033" s="282"/>
      <c r="Q1033" s="282"/>
      <c r="R1033" s="282"/>
      <c r="S1033" s="282"/>
      <c r="T1033" s="282"/>
      <c r="U1033" s="282"/>
      <c r="V1033" s="282"/>
      <c r="W1033" s="282"/>
      <c r="X1033" s="282"/>
      <c r="Y1033" s="282"/>
      <c r="Z1033" s="282"/>
      <c r="AA1033" s="282"/>
      <c r="AB1033" s="282"/>
      <c r="AC1033" s="282"/>
      <c r="AD1033" s="282"/>
    </row>
    <row r="1034">
      <c r="A1034" s="183">
        <v>16128.0</v>
      </c>
      <c r="B1034" s="169" t="s">
        <v>759</v>
      </c>
      <c r="C1034" s="168">
        <v>2022.0</v>
      </c>
      <c r="D1034" s="142" t="s">
        <v>52</v>
      </c>
      <c r="E1034" s="142" t="s">
        <v>4254</v>
      </c>
      <c r="F1034" s="170" t="s">
        <v>760</v>
      </c>
      <c r="G1034" s="171">
        <v>45841.0</v>
      </c>
      <c r="H1034" s="172">
        <f t="shared" si="1"/>
        <v>0</v>
      </c>
      <c r="I1034" s="173" t="s">
        <v>4255</v>
      </c>
      <c r="J1034" s="171">
        <v>45841.0</v>
      </c>
      <c r="K1034" s="169" t="s">
        <v>2758</v>
      </c>
      <c r="L1034" s="282"/>
      <c r="M1034" s="282"/>
      <c r="N1034" s="282"/>
      <c r="O1034" s="282"/>
      <c r="P1034" s="282"/>
      <c r="Q1034" s="282"/>
      <c r="R1034" s="282"/>
      <c r="S1034" s="282"/>
      <c r="T1034" s="282"/>
      <c r="U1034" s="282"/>
      <c r="V1034" s="282"/>
      <c r="W1034" s="282"/>
      <c r="X1034" s="282"/>
      <c r="Y1034" s="282"/>
      <c r="Z1034" s="282"/>
      <c r="AA1034" s="282"/>
      <c r="AB1034" s="282"/>
      <c r="AC1034" s="282"/>
      <c r="AD1034" s="282"/>
    </row>
    <row r="1035">
      <c r="A1035" s="181">
        <v>16135.0</v>
      </c>
      <c r="B1035" s="176" t="s">
        <v>4256</v>
      </c>
      <c r="C1035" s="174">
        <v>2014.0</v>
      </c>
      <c r="D1035" s="142" t="s">
        <v>130</v>
      </c>
      <c r="E1035" s="176" t="s">
        <v>125</v>
      </c>
      <c r="F1035" s="177" t="s">
        <v>4257</v>
      </c>
      <c r="G1035" s="178">
        <v>45841.0</v>
      </c>
      <c r="H1035" s="179">
        <f t="shared" si="1"/>
        <v>29</v>
      </c>
      <c r="I1035" s="175" t="s">
        <v>4258</v>
      </c>
      <c r="J1035" s="269">
        <v>45870.0</v>
      </c>
      <c r="K1035" s="175" t="s">
        <v>31</v>
      </c>
      <c r="L1035" s="282"/>
      <c r="M1035" s="282"/>
      <c r="N1035" s="282"/>
      <c r="O1035" s="282"/>
      <c r="P1035" s="282"/>
      <c r="Q1035" s="282"/>
      <c r="R1035" s="282"/>
      <c r="S1035" s="282"/>
      <c r="T1035" s="282"/>
      <c r="U1035" s="282"/>
      <c r="V1035" s="282"/>
      <c r="W1035" s="282"/>
      <c r="X1035" s="282"/>
      <c r="Y1035" s="282"/>
      <c r="Z1035" s="282"/>
      <c r="AA1035" s="282"/>
      <c r="AB1035" s="282"/>
      <c r="AC1035" s="282"/>
      <c r="AD1035" s="282"/>
    </row>
    <row r="1036">
      <c r="A1036" s="183">
        <v>16136.0</v>
      </c>
      <c r="B1036" s="142" t="s">
        <v>820</v>
      </c>
      <c r="C1036" s="168">
        <v>2022.0</v>
      </c>
      <c r="D1036" s="142" t="s">
        <v>52</v>
      </c>
      <c r="E1036" s="142" t="s">
        <v>125</v>
      </c>
      <c r="F1036" s="170" t="s">
        <v>822</v>
      </c>
      <c r="G1036" s="171">
        <v>45841.0</v>
      </c>
      <c r="H1036" s="172">
        <f t="shared" si="1"/>
        <v>14</v>
      </c>
      <c r="I1036" s="169" t="s">
        <v>668</v>
      </c>
      <c r="J1036" s="268">
        <v>45855.0</v>
      </c>
      <c r="K1036" s="169" t="s">
        <v>2758</v>
      </c>
      <c r="L1036" s="282"/>
      <c r="M1036" s="282"/>
      <c r="N1036" s="282"/>
      <c r="O1036" s="282"/>
      <c r="P1036" s="282"/>
      <c r="Q1036" s="282"/>
      <c r="R1036" s="282"/>
      <c r="S1036" s="282"/>
      <c r="T1036" s="282"/>
      <c r="U1036" s="282"/>
      <c r="V1036" s="282"/>
      <c r="W1036" s="282"/>
      <c r="X1036" s="282"/>
      <c r="Y1036" s="282"/>
      <c r="Z1036" s="282"/>
      <c r="AA1036" s="282"/>
      <c r="AB1036" s="282"/>
      <c r="AC1036" s="282"/>
      <c r="AD1036" s="282"/>
    </row>
    <row r="1037">
      <c r="A1037" s="181">
        <v>16138.0</v>
      </c>
      <c r="B1037" s="176" t="s">
        <v>4259</v>
      </c>
      <c r="C1037" s="174">
        <v>2022.0</v>
      </c>
      <c r="D1037" s="176" t="s">
        <v>52</v>
      </c>
      <c r="E1037" s="176" t="s">
        <v>125</v>
      </c>
      <c r="F1037" s="177" t="s">
        <v>4260</v>
      </c>
      <c r="G1037" s="178">
        <v>45841.0</v>
      </c>
      <c r="H1037" s="179">
        <f t="shared" si="1"/>
        <v>7</v>
      </c>
      <c r="I1037" s="175" t="s">
        <v>668</v>
      </c>
      <c r="J1037" s="269">
        <v>45848.0</v>
      </c>
      <c r="K1037" s="175" t="s">
        <v>2758</v>
      </c>
      <c r="L1037" s="282"/>
      <c r="M1037" s="282"/>
      <c r="N1037" s="282"/>
      <c r="O1037" s="282"/>
      <c r="P1037" s="282"/>
      <c r="Q1037" s="282"/>
      <c r="R1037" s="282"/>
      <c r="S1037" s="282"/>
      <c r="T1037" s="282"/>
      <c r="U1037" s="282"/>
      <c r="V1037" s="282"/>
      <c r="W1037" s="282"/>
      <c r="X1037" s="282"/>
      <c r="Y1037" s="282"/>
      <c r="Z1037" s="282"/>
      <c r="AA1037" s="282"/>
      <c r="AB1037" s="282"/>
      <c r="AC1037" s="282"/>
      <c r="AD1037" s="282"/>
    </row>
    <row r="1038">
      <c r="A1038" s="183">
        <v>16140.0</v>
      </c>
      <c r="B1038" s="142" t="s">
        <v>366</v>
      </c>
      <c r="C1038" s="168">
        <v>2010.0</v>
      </c>
      <c r="D1038" s="142" t="s">
        <v>367</v>
      </c>
      <c r="E1038" s="142" t="s">
        <v>399</v>
      </c>
      <c r="F1038" s="170" t="s">
        <v>369</v>
      </c>
      <c r="G1038" s="171">
        <v>45841.0</v>
      </c>
      <c r="H1038" s="172">
        <f t="shared" si="1"/>
        <v>8</v>
      </c>
      <c r="I1038" s="169" t="s">
        <v>4261</v>
      </c>
      <c r="J1038" s="268">
        <v>45849.0</v>
      </c>
      <c r="K1038" s="169" t="s">
        <v>31</v>
      </c>
      <c r="L1038" s="282"/>
      <c r="M1038" s="282"/>
      <c r="N1038" s="282"/>
      <c r="O1038" s="282"/>
      <c r="P1038" s="282"/>
      <c r="Q1038" s="282"/>
      <c r="R1038" s="282"/>
      <c r="S1038" s="282"/>
      <c r="T1038" s="282"/>
      <c r="U1038" s="282"/>
      <c r="V1038" s="282"/>
      <c r="W1038" s="282"/>
      <c r="X1038" s="282"/>
      <c r="Y1038" s="282"/>
      <c r="Z1038" s="282"/>
      <c r="AA1038" s="282"/>
      <c r="AB1038" s="282"/>
      <c r="AC1038" s="282"/>
      <c r="AD1038" s="282"/>
    </row>
    <row r="1039">
      <c r="A1039" s="310">
        <v>16143.0</v>
      </c>
      <c r="B1039" s="175" t="s">
        <v>3275</v>
      </c>
      <c r="C1039" s="174">
        <v>2013.0</v>
      </c>
      <c r="D1039" s="176" t="s">
        <v>105</v>
      </c>
      <c r="E1039" s="176" t="s">
        <v>730</v>
      </c>
      <c r="F1039" s="177" t="s">
        <v>3277</v>
      </c>
      <c r="G1039" s="178">
        <v>45842.0</v>
      </c>
      <c r="H1039" s="179">
        <f t="shared" si="1"/>
        <v>6</v>
      </c>
      <c r="I1039" s="175" t="s">
        <v>4262</v>
      </c>
      <c r="J1039" s="178">
        <v>45848.0</v>
      </c>
      <c r="K1039" s="175" t="s">
        <v>2758</v>
      </c>
      <c r="L1039" s="242"/>
      <c r="M1039" s="242"/>
      <c r="N1039" s="242"/>
      <c r="O1039" s="242"/>
      <c r="P1039" s="242"/>
      <c r="Q1039" s="242"/>
      <c r="R1039" s="242"/>
      <c r="S1039" s="242"/>
      <c r="T1039" s="242"/>
      <c r="U1039" s="242"/>
      <c r="V1039" s="242"/>
      <c r="W1039" s="242"/>
      <c r="X1039" s="242"/>
      <c r="Y1039" s="242"/>
      <c r="Z1039" s="242"/>
      <c r="AA1039" s="242"/>
      <c r="AB1039" s="242"/>
      <c r="AC1039" s="242"/>
      <c r="AD1039" s="242"/>
      <c r="AE1039" s="242"/>
      <c r="AF1039" s="242"/>
      <c r="AG1039" s="242"/>
      <c r="AH1039" s="242"/>
      <c r="AI1039" s="242"/>
      <c r="AJ1039" s="242"/>
      <c r="AK1039" s="242"/>
      <c r="AL1039" s="242"/>
      <c r="AM1039" s="242"/>
      <c r="AN1039" s="242"/>
      <c r="AO1039" s="242"/>
    </row>
    <row r="1040">
      <c r="A1040" s="183">
        <v>16149.0</v>
      </c>
      <c r="B1040" s="142" t="s">
        <v>1537</v>
      </c>
      <c r="C1040" s="168">
        <v>2011.0</v>
      </c>
      <c r="D1040" s="142" t="s">
        <v>2705</v>
      </c>
      <c r="E1040" s="142" t="s">
        <v>277</v>
      </c>
      <c r="F1040" s="170" t="s">
        <v>1538</v>
      </c>
      <c r="G1040" s="171">
        <v>45842.0</v>
      </c>
      <c r="H1040" s="172">
        <f t="shared" si="1"/>
        <v>13</v>
      </c>
      <c r="I1040" s="169" t="s">
        <v>4263</v>
      </c>
      <c r="J1040" s="268">
        <v>45855.0</v>
      </c>
      <c r="K1040" s="169" t="s">
        <v>2758</v>
      </c>
      <c r="L1040" s="282"/>
      <c r="M1040" s="282"/>
      <c r="N1040" s="282"/>
      <c r="O1040" s="282"/>
      <c r="P1040" s="282"/>
      <c r="Q1040" s="282"/>
      <c r="R1040" s="282"/>
      <c r="S1040" s="282"/>
      <c r="T1040" s="282"/>
      <c r="U1040" s="282"/>
      <c r="V1040" s="282"/>
      <c r="W1040" s="282"/>
      <c r="X1040" s="282"/>
      <c r="Y1040" s="282"/>
      <c r="Z1040" s="282"/>
      <c r="AA1040" s="282"/>
      <c r="AB1040" s="282"/>
      <c r="AC1040" s="282"/>
      <c r="AD1040" s="282"/>
    </row>
    <row r="1041">
      <c r="A1041" s="181">
        <v>16150.0</v>
      </c>
      <c r="B1041" s="176" t="s">
        <v>229</v>
      </c>
      <c r="C1041" s="174">
        <v>2015.0</v>
      </c>
      <c r="D1041" s="176" t="s">
        <v>14</v>
      </c>
      <c r="E1041" s="176" t="s">
        <v>277</v>
      </c>
      <c r="F1041" s="177" t="s">
        <v>230</v>
      </c>
      <c r="G1041" s="178">
        <v>45842.0</v>
      </c>
      <c r="H1041" s="179">
        <f t="shared" si="1"/>
        <v>49</v>
      </c>
      <c r="I1041" s="182" t="s">
        <v>4264</v>
      </c>
      <c r="J1041" s="178">
        <v>45891.0</v>
      </c>
      <c r="K1041" s="175" t="s">
        <v>2758</v>
      </c>
      <c r="L1041" s="282"/>
      <c r="M1041" s="282"/>
      <c r="N1041" s="282"/>
      <c r="O1041" s="282"/>
      <c r="P1041" s="282"/>
      <c r="Q1041" s="282"/>
      <c r="R1041" s="282"/>
      <c r="S1041" s="282"/>
      <c r="T1041" s="282"/>
      <c r="U1041" s="282"/>
      <c r="V1041" s="282"/>
      <c r="W1041" s="282"/>
      <c r="X1041" s="282"/>
      <c r="Y1041" s="282"/>
      <c r="Z1041" s="282"/>
      <c r="AA1041" s="282"/>
      <c r="AB1041" s="282"/>
      <c r="AC1041" s="282"/>
      <c r="AD1041" s="282"/>
    </row>
    <row r="1042">
      <c r="A1042" s="168">
        <v>16153.0</v>
      </c>
      <c r="B1042" s="169" t="s">
        <v>4265</v>
      </c>
      <c r="C1042" s="168">
        <v>2014.0</v>
      </c>
      <c r="D1042" s="142" t="s">
        <v>130</v>
      </c>
      <c r="E1042" s="142" t="s">
        <v>2746</v>
      </c>
      <c r="F1042" s="170" t="s">
        <v>4095</v>
      </c>
      <c r="G1042" s="171">
        <v>45845.0</v>
      </c>
      <c r="H1042" s="172">
        <f t="shared" si="1"/>
        <v>1</v>
      </c>
      <c r="I1042" s="173" t="s">
        <v>4266</v>
      </c>
      <c r="J1042" s="228">
        <v>45846.0</v>
      </c>
      <c r="K1042" s="169" t="s">
        <v>2758</v>
      </c>
      <c r="L1042" s="282"/>
      <c r="M1042" s="282"/>
      <c r="N1042" s="282"/>
      <c r="O1042" s="282"/>
      <c r="P1042" s="282"/>
      <c r="Q1042" s="282"/>
      <c r="R1042" s="282"/>
      <c r="S1042" s="282"/>
      <c r="T1042" s="282"/>
      <c r="U1042" s="282"/>
      <c r="V1042" s="282"/>
      <c r="W1042" s="282"/>
      <c r="X1042" s="282"/>
      <c r="Y1042" s="282"/>
      <c r="Z1042" s="282"/>
      <c r="AA1042" s="282"/>
      <c r="AB1042" s="282"/>
      <c r="AC1042" s="282"/>
      <c r="AD1042" s="282"/>
    </row>
    <row r="1043">
      <c r="A1043" s="181">
        <v>16154.0</v>
      </c>
      <c r="B1043" s="176" t="s">
        <v>4267</v>
      </c>
      <c r="C1043" s="174">
        <v>2015.0</v>
      </c>
      <c r="D1043" s="176" t="s">
        <v>14</v>
      </c>
      <c r="E1043" s="176" t="s">
        <v>730</v>
      </c>
      <c r="F1043" s="177" t="s">
        <v>2921</v>
      </c>
      <c r="G1043" s="178">
        <v>45845.0</v>
      </c>
      <c r="H1043" s="179">
        <f t="shared" si="1"/>
        <v>3</v>
      </c>
      <c r="I1043" s="175" t="s">
        <v>4262</v>
      </c>
      <c r="J1043" s="269">
        <v>45848.0</v>
      </c>
      <c r="K1043" s="175" t="s">
        <v>2758</v>
      </c>
      <c r="L1043" s="282"/>
      <c r="M1043" s="282"/>
      <c r="N1043" s="282"/>
      <c r="O1043" s="282"/>
      <c r="P1043" s="282"/>
      <c r="Q1043" s="282"/>
      <c r="R1043" s="282"/>
      <c r="S1043" s="282"/>
      <c r="T1043" s="282"/>
      <c r="U1043" s="282"/>
      <c r="V1043" s="282"/>
      <c r="W1043" s="282"/>
      <c r="X1043" s="282"/>
      <c r="Y1043" s="282"/>
      <c r="Z1043" s="282"/>
      <c r="AA1043" s="282"/>
      <c r="AB1043" s="282"/>
      <c r="AC1043" s="282"/>
      <c r="AD1043" s="282"/>
    </row>
    <row r="1044">
      <c r="A1044" s="183">
        <v>16157.0</v>
      </c>
      <c r="B1044" s="142" t="s">
        <v>1233</v>
      </c>
      <c r="C1044" s="168">
        <v>2022.0</v>
      </c>
      <c r="D1044" s="142" t="s">
        <v>14</v>
      </c>
      <c r="E1044" s="142" t="s">
        <v>28</v>
      </c>
      <c r="F1044" s="170" t="s">
        <v>1234</v>
      </c>
      <c r="G1044" s="171">
        <v>45845.0</v>
      </c>
      <c r="H1044" s="172">
        <f t="shared" si="1"/>
        <v>38</v>
      </c>
      <c r="I1044" s="169" t="s">
        <v>4268</v>
      </c>
      <c r="J1044" s="171">
        <v>45883.0</v>
      </c>
      <c r="K1044" s="169" t="s">
        <v>2758</v>
      </c>
      <c r="L1044" s="242"/>
      <c r="M1044" s="242"/>
      <c r="N1044" s="242"/>
      <c r="O1044" s="242"/>
      <c r="P1044" s="242"/>
      <c r="Q1044" s="242"/>
      <c r="R1044" s="242"/>
      <c r="S1044" s="242"/>
      <c r="T1044" s="242"/>
      <c r="U1044" s="242"/>
      <c r="V1044" s="242"/>
      <c r="W1044" s="242"/>
      <c r="X1044" s="242"/>
      <c r="Y1044" s="242"/>
      <c r="Z1044" s="242"/>
      <c r="AA1044" s="242"/>
      <c r="AB1044" s="242"/>
      <c r="AC1044" s="242"/>
      <c r="AD1044" s="242"/>
      <c r="AE1044" s="242"/>
      <c r="AF1044" s="242"/>
      <c r="AG1044" s="242"/>
      <c r="AH1044" s="242"/>
      <c r="AI1044" s="242"/>
      <c r="AJ1044" s="242"/>
      <c r="AK1044" s="242"/>
      <c r="AL1044" s="242"/>
      <c r="AM1044" s="242"/>
      <c r="AN1044" s="242"/>
      <c r="AO1044" s="242"/>
    </row>
    <row r="1045">
      <c r="A1045" s="181">
        <v>16159.0</v>
      </c>
      <c r="B1045" s="176" t="s">
        <v>4105</v>
      </c>
      <c r="C1045" s="174">
        <v>2014.0</v>
      </c>
      <c r="D1045" s="176" t="s">
        <v>188</v>
      </c>
      <c r="E1045" s="176" t="s">
        <v>125</v>
      </c>
      <c r="F1045" s="177" t="s">
        <v>4106</v>
      </c>
      <c r="G1045" s="178">
        <v>45845.0</v>
      </c>
      <c r="H1045" s="179">
        <f t="shared" si="1"/>
        <v>65</v>
      </c>
      <c r="I1045" s="175" t="s">
        <v>668</v>
      </c>
      <c r="J1045" s="269">
        <v>45910.0</v>
      </c>
      <c r="K1045" s="175" t="s">
        <v>2758</v>
      </c>
      <c r="L1045" s="282"/>
      <c r="M1045" s="282"/>
      <c r="N1045" s="282"/>
      <c r="O1045" s="282"/>
      <c r="P1045" s="282"/>
      <c r="Q1045" s="282"/>
      <c r="R1045" s="282"/>
      <c r="S1045" s="282"/>
      <c r="T1045" s="282"/>
      <c r="U1045" s="282"/>
      <c r="V1045" s="282"/>
      <c r="W1045" s="282"/>
      <c r="X1045" s="282"/>
      <c r="Y1045" s="282"/>
      <c r="Z1045" s="282"/>
      <c r="AA1045" s="282"/>
      <c r="AB1045" s="282"/>
      <c r="AC1045" s="282"/>
      <c r="AD1045" s="282"/>
    </row>
    <row r="1046">
      <c r="A1046" s="183">
        <v>16160.0</v>
      </c>
      <c r="B1046" s="169" t="s">
        <v>829</v>
      </c>
      <c r="C1046" s="168">
        <v>2022.0</v>
      </c>
      <c r="D1046" s="142" t="s">
        <v>52</v>
      </c>
      <c r="E1046" s="142" t="s">
        <v>99</v>
      </c>
      <c r="F1046" s="170" t="s">
        <v>830</v>
      </c>
      <c r="G1046" s="171">
        <v>45846.0</v>
      </c>
      <c r="H1046" s="172">
        <f t="shared" si="1"/>
        <v>0</v>
      </c>
      <c r="I1046" s="173" t="s">
        <v>4269</v>
      </c>
      <c r="J1046" s="171">
        <v>45846.0</v>
      </c>
      <c r="K1046" s="169" t="s">
        <v>2758</v>
      </c>
      <c r="L1046" s="282"/>
      <c r="M1046" s="282"/>
      <c r="N1046" s="282"/>
      <c r="O1046" s="282"/>
      <c r="P1046" s="282"/>
      <c r="Q1046" s="282"/>
      <c r="R1046" s="282"/>
      <c r="S1046" s="282"/>
      <c r="T1046" s="282"/>
      <c r="U1046" s="282"/>
      <c r="V1046" s="282"/>
      <c r="W1046" s="282"/>
      <c r="X1046" s="282"/>
      <c r="Y1046" s="282"/>
      <c r="Z1046" s="282"/>
      <c r="AA1046" s="282"/>
      <c r="AB1046" s="282"/>
      <c r="AC1046" s="282"/>
      <c r="AD1046" s="282"/>
    </row>
    <row r="1047">
      <c r="A1047" s="181">
        <v>16168.0</v>
      </c>
      <c r="B1047" s="176" t="s">
        <v>786</v>
      </c>
      <c r="C1047" s="174">
        <v>2019.0</v>
      </c>
      <c r="D1047" s="176" t="s">
        <v>75</v>
      </c>
      <c r="E1047" s="176" t="s">
        <v>183</v>
      </c>
      <c r="F1047" s="177" t="s">
        <v>787</v>
      </c>
      <c r="G1047" s="178">
        <v>45846.0</v>
      </c>
      <c r="H1047" s="179">
        <f t="shared" si="1"/>
        <v>44</v>
      </c>
      <c r="I1047" s="175" t="s">
        <v>4270</v>
      </c>
      <c r="J1047" s="269">
        <v>45890.0</v>
      </c>
      <c r="K1047" s="175" t="s">
        <v>2758</v>
      </c>
      <c r="L1047" s="282"/>
      <c r="M1047" s="282"/>
      <c r="N1047" s="282"/>
      <c r="O1047" s="282"/>
      <c r="P1047" s="282"/>
      <c r="Q1047" s="282"/>
      <c r="R1047" s="282"/>
      <c r="S1047" s="282"/>
      <c r="T1047" s="282"/>
      <c r="U1047" s="282"/>
      <c r="V1047" s="282"/>
      <c r="W1047" s="282"/>
      <c r="X1047" s="282"/>
      <c r="Y1047" s="282"/>
      <c r="Z1047" s="282"/>
      <c r="AA1047" s="282"/>
      <c r="AB1047" s="282"/>
      <c r="AC1047" s="282"/>
      <c r="AD1047" s="282"/>
    </row>
    <row r="1048">
      <c r="A1048" s="183">
        <v>16175.0</v>
      </c>
      <c r="B1048" s="142" t="s">
        <v>670</v>
      </c>
      <c r="C1048" s="168">
        <v>2015.0</v>
      </c>
      <c r="D1048" s="142" t="s">
        <v>2875</v>
      </c>
      <c r="E1048" s="142" t="s">
        <v>183</v>
      </c>
      <c r="F1048" s="241">
        <v>45964.0</v>
      </c>
      <c r="G1048" s="171">
        <v>45848.0</v>
      </c>
      <c r="H1048" s="172">
        <f t="shared" si="1"/>
        <v>63</v>
      </c>
      <c r="I1048" s="169" t="s">
        <v>31</v>
      </c>
      <c r="J1048" s="171">
        <v>45911.0</v>
      </c>
      <c r="K1048" s="169" t="s">
        <v>31</v>
      </c>
      <c r="L1048" s="242"/>
      <c r="M1048" s="242"/>
      <c r="N1048" s="242"/>
      <c r="O1048" s="242"/>
      <c r="P1048" s="242"/>
      <c r="Q1048" s="242"/>
      <c r="R1048" s="242"/>
      <c r="S1048" s="242"/>
      <c r="T1048" s="242"/>
      <c r="U1048" s="242"/>
      <c r="V1048" s="242"/>
      <c r="W1048" s="242"/>
      <c r="X1048" s="242"/>
      <c r="Y1048" s="242"/>
      <c r="Z1048" s="242"/>
      <c r="AA1048" s="242"/>
      <c r="AB1048" s="242"/>
      <c r="AC1048" s="242"/>
      <c r="AD1048" s="242"/>
      <c r="AE1048" s="242"/>
      <c r="AF1048" s="242"/>
      <c r="AG1048" s="242"/>
      <c r="AH1048" s="242"/>
      <c r="AI1048" s="242"/>
      <c r="AJ1048" s="242"/>
      <c r="AK1048" s="242"/>
      <c r="AL1048" s="242"/>
      <c r="AM1048" s="242"/>
      <c r="AN1048" s="242"/>
      <c r="AO1048" s="242"/>
    </row>
    <row r="1049">
      <c r="A1049" s="181">
        <v>16177.0</v>
      </c>
      <c r="B1049" s="175" t="s">
        <v>1622</v>
      </c>
      <c r="C1049" s="174">
        <v>2022.0</v>
      </c>
      <c r="D1049" s="176" t="s">
        <v>52</v>
      </c>
      <c r="E1049" s="176" t="s">
        <v>866</v>
      </c>
      <c r="F1049" s="177" t="s">
        <v>1623</v>
      </c>
      <c r="G1049" s="178">
        <v>45848.0</v>
      </c>
      <c r="H1049" s="179">
        <f t="shared" si="1"/>
        <v>0</v>
      </c>
      <c r="I1049" s="180" t="s">
        <v>4271</v>
      </c>
      <c r="J1049" s="178">
        <v>45848.0</v>
      </c>
      <c r="K1049" s="175" t="s">
        <v>2758</v>
      </c>
      <c r="L1049" s="282"/>
      <c r="M1049" s="282"/>
      <c r="N1049" s="282"/>
      <c r="O1049" s="282"/>
      <c r="P1049" s="282"/>
      <c r="Q1049" s="282"/>
      <c r="R1049" s="282"/>
      <c r="S1049" s="282"/>
      <c r="T1049" s="282"/>
      <c r="U1049" s="282"/>
      <c r="V1049" s="282"/>
      <c r="W1049" s="282"/>
      <c r="X1049" s="282"/>
      <c r="Y1049" s="282"/>
      <c r="Z1049" s="282"/>
      <c r="AA1049" s="282"/>
      <c r="AB1049" s="282"/>
      <c r="AC1049" s="282"/>
      <c r="AD1049" s="282"/>
    </row>
    <row r="1050">
      <c r="A1050" s="183">
        <v>16178.0</v>
      </c>
      <c r="B1050" s="142" t="s">
        <v>380</v>
      </c>
      <c r="C1050" s="168">
        <v>2019.0</v>
      </c>
      <c r="D1050" s="142" t="s">
        <v>14</v>
      </c>
      <c r="E1050" s="142" t="s">
        <v>125</v>
      </c>
      <c r="F1050" s="170" t="s">
        <v>381</v>
      </c>
      <c r="G1050" s="171">
        <v>45848.0</v>
      </c>
      <c r="H1050" s="172">
        <f t="shared" si="1"/>
        <v>54</v>
      </c>
      <c r="I1050" s="169" t="s">
        <v>3188</v>
      </c>
      <c r="J1050" s="268">
        <v>45902.0</v>
      </c>
      <c r="K1050" s="169" t="s">
        <v>31</v>
      </c>
      <c r="L1050" s="242"/>
      <c r="M1050" s="242"/>
      <c r="N1050" s="242"/>
      <c r="O1050" s="242"/>
      <c r="P1050" s="242"/>
      <c r="Q1050" s="242"/>
      <c r="R1050" s="242"/>
      <c r="S1050" s="242"/>
      <c r="T1050" s="242"/>
      <c r="U1050" s="242"/>
      <c r="V1050" s="242"/>
      <c r="W1050" s="242"/>
      <c r="X1050" s="242"/>
      <c r="Y1050" s="242"/>
      <c r="Z1050" s="242"/>
      <c r="AA1050" s="242"/>
      <c r="AB1050" s="242"/>
      <c r="AC1050" s="242"/>
      <c r="AD1050" s="242"/>
      <c r="AE1050" s="242"/>
      <c r="AF1050" s="242"/>
      <c r="AG1050" s="242"/>
      <c r="AH1050" s="242"/>
      <c r="AI1050" s="242"/>
      <c r="AJ1050" s="242"/>
      <c r="AK1050" s="242"/>
      <c r="AL1050" s="242"/>
      <c r="AM1050" s="242"/>
      <c r="AN1050" s="242"/>
      <c r="AO1050" s="242"/>
    </row>
    <row r="1051">
      <c r="A1051" s="174">
        <v>16183.0</v>
      </c>
      <c r="B1051" s="175" t="s">
        <v>3616</v>
      </c>
      <c r="C1051" s="174">
        <v>2022.0</v>
      </c>
      <c r="D1051" s="176" t="s">
        <v>52</v>
      </c>
      <c r="E1051" s="176" t="s">
        <v>28</v>
      </c>
      <c r="F1051" s="177" t="s">
        <v>4272</v>
      </c>
      <c r="G1051" s="178">
        <v>45848.0</v>
      </c>
      <c r="H1051" s="179">
        <f t="shared" si="1"/>
        <v>0</v>
      </c>
      <c r="I1051" s="180" t="s">
        <v>4273</v>
      </c>
      <c r="J1051" s="178">
        <v>45848.0</v>
      </c>
      <c r="K1051" s="175" t="s">
        <v>2758</v>
      </c>
      <c r="L1051" s="282"/>
      <c r="M1051" s="282"/>
      <c r="N1051" s="282"/>
      <c r="O1051" s="282"/>
      <c r="P1051" s="282"/>
      <c r="Q1051" s="282"/>
      <c r="R1051" s="282"/>
      <c r="S1051" s="282"/>
      <c r="T1051" s="282"/>
      <c r="U1051" s="282"/>
      <c r="V1051" s="282"/>
      <c r="W1051" s="282"/>
      <c r="X1051" s="282"/>
      <c r="Y1051" s="282"/>
      <c r="Z1051" s="282"/>
      <c r="AA1051" s="282"/>
      <c r="AB1051" s="282"/>
      <c r="AC1051" s="282"/>
      <c r="AD1051" s="282"/>
    </row>
    <row r="1052">
      <c r="A1052" s="183">
        <v>16192.0</v>
      </c>
      <c r="B1052" s="169" t="s">
        <v>804</v>
      </c>
      <c r="C1052" s="168">
        <v>2022.0</v>
      </c>
      <c r="D1052" s="142" t="s">
        <v>52</v>
      </c>
      <c r="E1052" s="142" t="s">
        <v>160</v>
      </c>
      <c r="F1052" s="170" t="s">
        <v>806</v>
      </c>
      <c r="G1052" s="171">
        <v>45852.0</v>
      </c>
      <c r="H1052" s="172">
        <f t="shared" si="1"/>
        <v>0</v>
      </c>
      <c r="I1052" s="173" t="s">
        <v>4274</v>
      </c>
      <c r="J1052" s="171">
        <v>45852.0</v>
      </c>
      <c r="K1052" s="169" t="s">
        <v>2758</v>
      </c>
      <c r="L1052" s="242"/>
      <c r="M1052" s="242"/>
      <c r="N1052" s="242"/>
      <c r="O1052" s="242"/>
      <c r="P1052" s="242"/>
      <c r="Q1052" s="242"/>
      <c r="R1052" s="242"/>
      <c r="S1052" s="242"/>
      <c r="T1052" s="242"/>
      <c r="U1052" s="242"/>
      <c r="V1052" s="242"/>
      <c r="W1052" s="242"/>
      <c r="X1052" s="242"/>
      <c r="Y1052" s="242"/>
      <c r="Z1052" s="242"/>
      <c r="AA1052" s="242"/>
      <c r="AB1052" s="242"/>
      <c r="AC1052" s="242"/>
      <c r="AD1052" s="242"/>
      <c r="AE1052" s="242"/>
      <c r="AF1052" s="242"/>
      <c r="AG1052" s="242"/>
      <c r="AH1052" s="242"/>
      <c r="AI1052" s="242"/>
      <c r="AJ1052" s="242"/>
      <c r="AK1052" s="242"/>
      <c r="AL1052" s="242"/>
      <c r="AM1052" s="242"/>
      <c r="AN1052" s="242"/>
      <c r="AO1052" s="242"/>
    </row>
    <row r="1053">
      <c r="A1053" s="181">
        <v>16194.0</v>
      </c>
      <c r="B1053" s="175" t="s">
        <v>1591</v>
      </c>
      <c r="C1053" s="174">
        <v>2014.0</v>
      </c>
      <c r="D1053" s="176" t="s">
        <v>130</v>
      </c>
      <c r="E1053" s="176" t="s">
        <v>1110</v>
      </c>
      <c r="F1053" s="177" t="s">
        <v>3175</v>
      </c>
      <c r="G1053" s="178">
        <v>45852.0</v>
      </c>
      <c r="H1053" s="179">
        <f t="shared" si="1"/>
        <v>0</v>
      </c>
      <c r="I1053" s="180" t="s">
        <v>133</v>
      </c>
      <c r="J1053" s="178">
        <v>45852.0</v>
      </c>
      <c r="K1053" s="175" t="s">
        <v>2758</v>
      </c>
      <c r="L1053" s="282"/>
      <c r="M1053" s="282"/>
      <c r="N1053" s="282"/>
      <c r="O1053" s="282"/>
      <c r="P1053" s="282"/>
      <c r="Q1053" s="282"/>
      <c r="R1053" s="282"/>
      <c r="S1053" s="282"/>
      <c r="T1053" s="282"/>
      <c r="U1053" s="282"/>
      <c r="V1053" s="282"/>
      <c r="W1053" s="282"/>
      <c r="X1053" s="282"/>
      <c r="Y1053" s="282"/>
      <c r="Z1053" s="282"/>
      <c r="AA1053" s="282"/>
      <c r="AB1053" s="282"/>
      <c r="AC1053" s="282"/>
      <c r="AD1053" s="282"/>
    </row>
    <row r="1054">
      <c r="A1054" s="183">
        <v>16195.0</v>
      </c>
      <c r="B1054" s="169" t="s">
        <v>664</v>
      </c>
      <c r="C1054" s="168">
        <v>2014.0</v>
      </c>
      <c r="D1054" s="142" t="s">
        <v>105</v>
      </c>
      <c r="E1054" s="142" t="s">
        <v>1639</v>
      </c>
      <c r="F1054" s="170" t="s">
        <v>665</v>
      </c>
      <c r="G1054" s="171">
        <v>45852.0</v>
      </c>
      <c r="H1054" s="172">
        <f t="shared" si="1"/>
        <v>0</v>
      </c>
      <c r="I1054" s="173" t="s">
        <v>2265</v>
      </c>
      <c r="J1054" s="171">
        <v>45852.0</v>
      </c>
      <c r="K1054" s="169" t="s">
        <v>2758</v>
      </c>
      <c r="L1054" s="282"/>
      <c r="M1054" s="282"/>
      <c r="N1054" s="282"/>
      <c r="O1054" s="282"/>
      <c r="P1054" s="282"/>
      <c r="Q1054" s="282"/>
      <c r="R1054" s="282"/>
      <c r="S1054" s="282"/>
      <c r="T1054" s="282"/>
      <c r="U1054" s="282"/>
      <c r="V1054" s="282"/>
      <c r="W1054" s="282"/>
      <c r="X1054" s="282"/>
      <c r="Y1054" s="282"/>
      <c r="Z1054" s="282"/>
      <c r="AA1054" s="282"/>
      <c r="AB1054" s="282"/>
      <c r="AC1054" s="282"/>
      <c r="AD1054" s="282"/>
    </row>
    <row r="1055">
      <c r="A1055" s="181">
        <v>16197.0</v>
      </c>
      <c r="B1055" s="176" t="s">
        <v>3888</v>
      </c>
      <c r="C1055" s="174">
        <v>2014.0</v>
      </c>
      <c r="D1055" s="176" t="s">
        <v>130</v>
      </c>
      <c r="E1055" s="176" t="s">
        <v>41</v>
      </c>
      <c r="F1055" s="177" t="s">
        <v>3890</v>
      </c>
      <c r="G1055" s="178">
        <v>45852.0</v>
      </c>
      <c r="H1055" s="179">
        <f t="shared" si="1"/>
        <v>3</v>
      </c>
      <c r="I1055" s="175" t="s">
        <v>4275</v>
      </c>
      <c r="J1055" s="178">
        <v>45855.0</v>
      </c>
      <c r="K1055" s="175" t="s">
        <v>31</v>
      </c>
      <c r="L1055" s="282"/>
      <c r="M1055" s="282"/>
      <c r="N1055" s="282"/>
      <c r="O1055" s="282"/>
      <c r="P1055" s="282"/>
      <c r="Q1055" s="282"/>
      <c r="R1055" s="282"/>
      <c r="S1055" s="282"/>
      <c r="T1055" s="282"/>
      <c r="U1055" s="282"/>
      <c r="V1055" s="282"/>
      <c r="W1055" s="282"/>
      <c r="X1055" s="282"/>
      <c r="Y1055" s="282"/>
      <c r="Z1055" s="282"/>
      <c r="AA1055" s="282"/>
      <c r="AB1055" s="282"/>
      <c r="AC1055" s="282"/>
      <c r="AD1055" s="282"/>
    </row>
    <row r="1056">
      <c r="A1056" s="183">
        <v>16200.0</v>
      </c>
      <c r="B1056" s="142" t="s">
        <v>1369</v>
      </c>
      <c r="C1056" s="168">
        <v>2014.0</v>
      </c>
      <c r="D1056" s="142" t="s">
        <v>105</v>
      </c>
      <c r="E1056" s="142" t="s">
        <v>418</v>
      </c>
      <c r="F1056" s="170" t="s">
        <v>1370</v>
      </c>
      <c r="G1056" s="171">
        <v>45853.0</v>
      </c>
      <c r="H1056" s="172">
        <f t="shared" si="1"/>
        <v>38</v>
      </c>
      <c r="I1056" s="169" t="s">
        <v>3252</v>
      </c>
      <c r="J1056" s="268">
        <v>45891.0</v>
      </c>
      <c r="K1056" s="169" t="s">
        <v>31</v>
      </c>
      <c r="L1056" s="242"/>
      <c r="M1056" s="242"/>
      <c r="N1056" s="242"/>
      <c r="O1056" s="242"/>
      <c r="P1056" s="242"/>
      <c r="Q1056" s="242"/>
      <c r="R1056" s="242"/>
      <c r="S1056" s="242"/>
      <c r="T1056" s="242"/>
      <c r="U1056" s="242"/>
      <c r="V1056" s="242"/>
      <c r="W1056" s="242"/>
      <c r="X1056" s="242"/>
      <c r="Y1056" s="242"/>
      <c r="Z1056" s="242"/>
      <c r="AA1056" s="242"/>
      <c r="AB1056" s="242"/>
      <c r="AC1056" s="242"/>
      <c r="AD1056" s="242"/>
      <c r="AE1056" s="242"/>
      <c r="AF1056" s="242"/>
      <c r="AG1056" s="242"/>
      <c r="AH1056" s="242"/>
      <c r="AI1056" s="242"/>
      <c r="AJ1056" s="242"/>
      <c r="AK1056" s="242"/>
      <c r="AL1056" s="242"/>
      <c r="AM1056" s="242"/>
      <c r="AN1056" s="242"/>
      <c r="AO1056" s="242"/>
    </row>
    <row r="1057">
      <c r="A1057" s="181">
        <v>16203.0</v>
      </c>
      <c r="B1057" s="176" t="s">
        <v>804</v>
      </c>
      <c r="C1057" s="174">
        <v>2022.0</v>
      </c>
      <c r="D1057" s="176" t="s">
        <v>52</v>
      </c>
      <c r="E1057" s="176" t="s">
        <v>160</v>
      </c>
      <c r="F1057" s="177" t="s">
        <v>806</v>
      </c>
      <c r="G1057" s="178">
        <v>45853.0</v>
      </c>
      <c r="H1057" s="179">
        <f t="shared" si="1"/>
        <v>2</v>
      </c>
      <c r="I1057" s="175" t="s">
        <v>4276</v>
      </c>
      <c r="J1057" s="269">
        <v>45855.0</v>
      </c>
      <c r="K1057" s="175" t="s">
        <v>31</v>
      </c>
      <c r="L1057" s="282"/>
      <c r="M1057" s="282"/>
      <c r="N1057" s="282"/>
      <c r="O1057" s="282"/>
      <c r="P1057" s="282"/>
      <c r="Q1057" s="282"/>
      <c r="R1057" s="282"/>
      <c r="S1057" s="282"/>
      <c r="T1057" s="282"/>
      <c r="U1057" s="282"/>
      <c r="V1057" s="282"/>
      <c r="W1057" s="282"/>
      <c r="X1057" s="282"/>
      <c r="Y1057" s="282"/>
      <c r="Z1057" s="282"/>
      <c r="AA1057" s="282"/>
      <c r="AB1057" s="282"/>
      <c r="AC1057" s="282"/>
      <c r="AD1057" s="282"/>
    </row>
    <row r="1058">
      <c r="A1058" s="183">
        <v>16204.0</v>
      </c>
      <c r="B1058" s="169" t="s">
        <v>985</v>
      </c>
      <c r="C1058" s="168">
        <v>2014.0</v>
      </c>
      <c r="D1058" s="142" t="s">
        <v>3130</v>
      </c>
      <c r="E1058" s="142" t="s">
        <v>47</v>
      </c>
      <c r="F1058" s="170" t="s">
        <v>1875</v>
      </c>
      <c r="G1058" s="171">
        <v>45853.0</v>
      </c>
      <c r="H1058" s="172">
        <f t="shared" si="1"/>
        <v>0</v>
      </c>
      <c r="I1058" s="173" t="s">
        <v>4277</v>
      </c>
      <c r="J1058" s="171">
        <v>45853.0</v>
      </c>
      <c r="K1058" s="169" t="s">
        <v>2758</v>
      </c>
      <c r="L1058" s="282"/>
      <c r="M1058" s="282"/>
      <c r="N1058" s="282"/>
      <c r="O1058" s="282"/>
      <c r="P1058" s="282"/>
      <c r="Q1058" s="282"/>
      <c r="R1058" s="282"/>
      <c r="S1058" s="282"/>
      <c r="T1058" s="282"/>
      <c r="U1058" s="282"/>
      <c r="V1058" s="282"/>
      <c r="W1058" s="282"/>
      <c r="X1058" s="282"/>
      <c r="Y1058" s="282"/>
      <c r="Z1058" s="282"/>
      <c r="AA1058" s="282"/>
      <c r="AB1058" s="282"/>
      <c r="AC1058" s="282"/>
      <c r="AD1058" s="282"/>
    </row>
    <row r="1059">
      <c r="A1059" s="181">
        <v>16205.0</v>
      </c>
      <c r="B1059" s="175" t="s">
        <v>705</v>
      </c>
      <c r="C1059" s="174">
        <v>2022.0</v>
      </c>
      <c r="D1059" s="176" t="s">
        <v>52</v>
      </c>
      <c r="E1059" s="176" t="s">
        <v>169</v>
      </c>
      <c r="F1059" s="177" t="s">
        <v>706</v>
      </c>
      <c r="G1059" s="178">
        <v>45853.0</v>
      </c>
      <c r="H1059" s="179">
        <f t="shared" si="1"/>
        <v>0</v>
      </c>
      <c r="I1059" s="180" t="s">
        <v>4278</v>
      </c>
      <c r="J1059" s="178">
        <v>45853.0</v>
      </c>
      <c r="K1059" s="175" t="s">
        <v>2758</v>
      </c>
      <c r="L1059" s="282"/>
      <c r="M1059" s="282"/>
      <c r="N1059" s="282"/>
      <c r="O1059" s="282"/>
      <c r="P1059" s="282"/>
      <c r="Q1059" s="282"/>
      <c r="R1059" s="282"/>
      <c r="S1059" s="282"/>
      <c r="T1059" s="282"/>
      <c r="U1059" s="282"/>
      <c r="V1059" s="282"/>
      <c r="W1059" s="282"/>
      <c r="X1059" s="282"/>
      <c r="Y1059" s="282"/>
      <c r="Z1059" s="282"/>
      <c r="AA1059" s="282"/>
      <c r="AB1059" s="282"/>
      <c r="AC1059" s="282"/>
      <c r="AD1059" s="282"/>
    </row>
    <row r="1060">
      <c r="A1060" s="183">
        <v>16208.0</v>
      </c>
      <c r="B1060" s="169" t="s">
        <v>1540</v>
      </c>
      <c r="C1060" s="168">
        <v>2022.0</v>
      </c>
      <c r="D1060" s="142" t="s">
        <v>52</v>
      </c>
      <c r="E1060" s="142" t="s">
        <v>82</v>
      </c>
      <c r="F1060" s="235" t="s">
        <v>3381</v>
      </c>
      <c r="G1060" s="171">
        <v>44757.0</v>
      </c>
      <c r="H1060" s="189"/>
      <c r="I1060" s="173" t="s">
        <v>4279</v>
      </c>
      <c r="J1060" s="171">
        <v>45853.0</v>
      </c>
      <c r="K1060" s="169" t="s">
        <v>2758</v>
      </c>
      <c r="L1060" s="282"/>
      <c r="M1060" s="282"/>
      <c r="N1060" s="282"/>
      <c r="O1060" s="282"/>
      <c r="P1060" s="282"/>
      <c r="Q1060" s="282"/>
      <c r="R1060" s="282"/>
      <c r="S1060" s="282"/>
      <c r="T1060" s="282"/>
      <c r="U1060" s="282"/>
      <c r="V1060" s="282"/>
      <c r="W1060" s="282"/>
      <c r="X1060" s="282"/>
      <c r="Y1060" s="282"/>
      <c r="Z1060" s="282"/>
      <c r="AA1060" s="282"/>
      <c r="AB1060" s="282"/>
      <c r="AC1060" s="282"/>
      <c r="AD1060" s="282"/>
    </row>
    <row r="1061">
      <c r="A1061" s="174">
        <v>16212.0</v>
      </c>
      <c r="B1061" s="175" t="s">
        <v>1388</v>
      </c>
      <c r="C1061" s="174">
        <v>2018.0</v>
      </c>
      <c r="D1061" s="176" t="s">
        <v>52</v>
      </c>
      <c r="E1061" s="176" t="s">
        <v>53</v>
      </c>
      <c r="F1061" s="177" t="s">
        <v>1389</v>
      </c>
      <c r="G1061" s="178">
        <v>45854.0</v>
      </c>
      <c r="H1061" s="179">
        <f t="shared" ref="H1061:H1513" si="2">IF(G1061="","",IF(J1061="",TODAY()-G1061,J1061-G1061))</f>
        <v>6</v>
      </c>
      <c r="I1061" s="180" t="s">
        <v>4280</v>
      </c>
      <c r="J1061" s="178">
        <v>45860.0</v>
      </c>
      <c r="K1061" s="175" t="s">
        <v>2758</v>
      </c>
      <c r="L1061" s="282"/>
      <c r="M1061" s="282"/>
      <c r="N1061" s="282"/>
      <c r="O1061" s="282"/>
      <c r="P1061" s="282"/>
      <c r="Q1061" s="282"/>
      <c r="R1061" s="282"/>
      <c r="S1061" s="282"/>
      <c r="T1061" s="282"/>
      <c r="U1061" s="282"/>
      <c r="V1061" s="282"/>
      <c r="W1061" s="282"/>
      <c r="X1061" s="282"/>
      <c r="Y1061" s="282"/>
      <c r="Z1061" s="282"/>
      <c r="AA1061" s="282"/>
      <c r="AB1061" s="282"/>
      <c r="AC1061" s="282"/>
      <c r="AD1061" s="282"/>
    </row>
    <row r="1062">
      <c r="A1062" s="183">
        <v>16213.0</v>
      </c>
      <c r="B1062" s="169" t="s">
        <v>4281</v>
      </c>
      <c r="C1062" s="168">
        <v>2022.0</v>
      </c>
      <c r="D1062" s="142" t="s">
        <v>52</v>
      </c>
      <c r="E1062" s="142" t="s">
        <v>240</v>
      </c>
      <c r="F1062" s="170" t="s">
        <v>4282</v>
      </c>
      <c r="G1062" s="171">
        <v>45854.0</v>
      </c>
      <c r="H1062" s="172">
        <f t="shared" si="2"/>
        <v>1</v>
      </c>
      <c r="I1062" s="173" t="s">
        <v>2265</v>
      </c>
      <c r="J1062" s="171">
        <v>45855.0</v>
      </c>
      <c r="K1062" s="169" t="s">
        <v>2758</v>
      </c>
      <c r="L1062" s="282"/>
      <c r="M1062" s="282"/>
      <c r="N1062" s="282"/>
      <c r="O1062" s="282"/>
      <c r="P1062" s="282"/>
      <c r="Q1062" s="282"/>
      <c r="R1062" s="282"/>
      <c r="S1062" s="282"/>
      <c r="T1062" s="282"/>
      <c r="U1062" s="282"/>
      <c r="V1062" s="282"/>
      <c r="W1062" s="282"/>
      <c r="X1062" s="282"/>
      <c r="Y1062" s="282"/>
      <c r="Z1062" s="282"/>
      <c r="AA1062" s="282"/>
      <c r="AB1062" s="282"/>
      <c r="AC1062" s="282"/>
      <c r="AD1062" s="282"/>
    </row>
    <row r="1063">
      <c r="A1063" s="181">
        <v>16216.0</v>
      </c>
      <c r="B1063" s="176" t="s">
        <v>4283</v>
      </c>
      <c r="C1063" s="174">
        <v>2022.0</v>
      </c>
      <c r="D1063" s="176" t="s">
        <v>14</v>
      </c>
      <c r="E1063" s="176" t="s">
        <v>28</v>
      </c>
      <c r="F1063" s="177" t="s">
        <v>4284</v>
      </c>
      <c r="G1063" s="178">
        <v>45854.0</v>
      </c>
      <c r="H1063" s="179">
        <f t="shared" si="2"/>
        <v>0</v>
      </c>
      <c r="I1063" s="175" t="s">
        <v>2265</v>
      </c>
      <c r="J1063" s="269">
        <v>45854.0</v>
      </c>
      <c r="K1063" s="175" t="s">
        <v>2758</v>
      </c>
      <c r="L1063" s="282"/>
      <c r="M1063" s="282"/>
      <c r="N1063" s="282"/>
      <c r="O1063" s="282"/>
      <c r="P1063" s="282"/>
      <c r="Q1063" s="282"/>
      <c r="R1063" s="282"/>
      <c r="S1063" s="282"/>
      <c r="T1063" s="282"/>
      <c r="U1063" s="282"/>
      <c r="V1063" s="282"/>
      <c r="W1063" s="282"/>
      <c r="X1063" s="282"/>
      <c r="Y1063" s="282"/>
      <c r="Z1063" s="282"/>
      <c r="AA1063" s="282"/>
      <c r="AB1063" s="282"/>
      <c r="AC1063" s="282"/>
      <c r="AD1063" s="282"/>
    </row>
    <row r="1064">
      <c r="A1064" s="183">
        <v>16217.0</v>
      </c>
      <c r="B1064" s="142" t="s">
        <v>2821</v>
      </c>
      <c r="C1064" s="168">
        <v>2010.0</v>
      </c>
      <c r="D1064" s="142" t="s">
        <v>367</v>
      </c>
      <c r="E1064" s="142" t="s">
        <v>277</v>
      </c>
      <c r="F1064" s="170" t="s">
        <v>2822</v>
      </c>
      <c r="G1064" s="171">
        <v>45854.0</v>
      </c>
      <c r="H1064" s="172">
        <f t="shared" si="2"/>
        <v>55</v>
      </c>
      <c r="I1064" s="211" t="s">
        <v>4285</v>
      </c>
      <c r="J1064" s="268">
        <v>45909.0</v>
      </c>
      <c r="K1064" s="169" t="s">
        <v>31</v>
      </c>
      <c r="L1064" s="282"/>
      <c r="M1064" s="282"/>
      <c r="N1064" s="282"/>
      <c r="O1064" s="282"/>
      <c r="P1064" s="282"/>
      <c r="Q1064" s="282"/>
      <c r="R1064" s="282"/>
      <c r="S1064" s="282"/>
      <c r="T1064" s="282"/>
      <c r="U1064" s="282"/>
      <c r="V1064" s="282"/>
      <c r="W1064" s="282"/>
      <c r="X1064" s="282"/>
      <c r="Y1064" s="282"/>
      <c r="Z1064" s="282"/>
      <c r="AA1064" s="282"/>
      <c r="AB1064" s="282"/>
      <c r="AC1064" s="282"/>
      <c r="AD1064" s="282"/>
    </row>
    <row r="1065">
      <c r="A1065" s="181">
        <v>16219.0</v>
      </c>
      <c r="B1065" s="176" t="s">
        <v>4286</v>
      </c>
      <c r="C1065" s="174">
        <v>2018.0</v>
      </c>
      <c r="D1065" s="176" t="s">
        <v>14</v>
      </c>
      <c r="E1065" s="176" t="s">
        <v>866</v>
      </c>
      <c r="F1065" s="177" t="s">
        <v>4287</v>
      </c>
      <c r="G1065" s="178">
        <v>45854.0</v>
      </c>
      <c r="H1065" s="179">
        <f t="shared" si="2"/>
        <v>57</v>
      </c>
      <c r="I1065" s="175" t="s">
        <v>4288</v>
      </c>
      <c r="J1065" s="269">
        <v>45911.0</v>
      </c>
      <c r="K1065" s="175" t="s">
        <v>31</v>
      </c>
      <c r="L1065" s="282"/>
      <c r="M1065" s="282"/>
      <c r="N1065" s="282"/>
      <c r="O1065" s="282"/>
      <c r="P1065" s="282"/>
      <c r="Q1065" s="282"/>
      <c r="R1065" s="282"/>
      <c r="S1065" s="282"/>
      <c r="T1065" s="282"/>
      <c r="U1065" s="282"/>
      <c r="V1065" s="282"/>
      <c r="W1065" s="282"/>
      <c r="X1065" s="282"/>
      <c r="Y1065" s="282"/>
      <c r="Z1065" s="282"/>
      <c r="AA1065" s="282"/>
      <c r="AB1065" s="282"/>
      <c r="AC1065" s="282"/>
      <c r="AD1065" s="282"/>
    </row>
    <row r="1066">
      <c r="A1066" s="183">
        <v>16220.0</v>
      </c>
      <c r="B1066" s="142" t="s">
        <v>4289</v>
      </c>
      <c r="C1066" s="168">
        <v>2022.0</v>
      </c>
      <c r="D1066" s="142" t="s">
        <v>52</v>
      </c>
      <c r="E1066" s="142" t="s">
        <v>125</v>
      </c>
      <c r="F1066" s="170" t="s">
        <v>4290</v>
      </c>
      <c r="G1066" s="171">
        <v>45854.0</v>
      </c>
      <c r="H1066" s="172">
        <f t="shared" si="2"/>
        <v>12</v>
      </c>
      <c r="I1066" s="169" t="s">
        <v>4291</v>
      </c>
      <c r="J1066" s="171">
        <v>45866.0</v>
      </c>
      <c r="K1066" s="169" t="s">
        <v>2758</v>
      </c>
      <c r="L1066" s="242"/>
      <c r="M1066" s="242"/>
      <c r="N1066" s="242"/>
      <c r="O1066" s="242"/>
      <c r="P1066" s="242"/>
      <c r="Q1066" s="242"/>
      <c r="R1066" s="242"/>
      <c r="S1066" s="242"/>
      <c r="T1066" s="242"/>
      <c r="U1066" s="242"/>
      <c r="V1066" s="242"/>
      <c r="W1066" s="242"/>
      <c r="X1066" s="242"/>
      <c r="Y1066" s="242"/>
      <c r="Z1066" s="242"/>
      <c r="AA1066" s="242"/>
      <c r="AB1066" s="242"/>
      <c r="AC1066" s="242"/>
      <c r="AD1066" s="242"/>
      <c r="AE1066" s="242"/>
      <c r="AF1066" s="242"/>
      <c r="AG1066" s="242"/>
      <c r="AH1066" s="242"/>
      <c r="AI1066" s="242"/>
      <c r="AJ1066" s="242"/>
      <c r="AK1066" s="242"/>
      <c r="AL1066" s="242"/>
      <c r="AM1066" s="242"/>
      <c r="AN1066" s="242"/>
      <c r="AO1066" s="242"/>
    </row>
    <row r="1067">
      <c r="A1067" s="181">
        <v>16221.0</v>
      </c>
      <c r="B1067" s="176" t="s">
        <v>4292</v>
      </c>
      <c r="C1067" s="174">
        <v>2014.0</v>
      </c>
      <c r="D1067" s="176" t="s">
        <v>4293</v>
      </c>
      <c r="E1067" s="176" t="s">
        <v>736</v>
      </c>
      <c r="F1067" s="177" t="s">
        <v>4294</v>
      </c>
      <c r="G1067" s="178">
        <v>45854.0</v>
      </c>
      <c r="H1067" s="179">
        <f t="shared" si="2"/>
        <v>15</v>
      </c>
      <c r="I1067" s="175" t="s">
        <v>4295</v>
      </c>
      <c r="J1067" s="178">
        <v>45869.0</v>
      </c>
      <c r="K1067" s="175" t="s">
        <v>31</v>
      </c>
      <c r="L1067" s="282"/>
      <c r="M1067" s="282"/>
      <c r="N1067" s="282"/>
      <c r="O1067" s="282"/>
      <c r="P1067" s="282"/>
      <c r="Q1067" s="282"/>
      <c r="R1067" s="282"/>
      <c r="S1067" s="282"/>
      <c r="T1067" s="282"/>
      <c r="U1067" s="282"/>
      <c r="V1067" s="282"/>
      <c r="W1067" s="282"/>
      <c r="X1067" s="282"/>
      <c r="Y1067" s="282"/>
      <c r="Z1067" s="282"/>
      <c r="AA1067" s="282"/>
      <c r="AB1067" s="282"/>
      <c r="AC1067" s="282"/>
      <c r="AD1067" s="282"/>
    </row>
    <row r="1068">
      <c r="A1068" s="183">
        <v>16227.0</v>
      </c>
      <c r="B1068" s="169" t="s">
        <v>4296</v>
      </c>
      <c r="C1068" s="168">
        <v>2022.0</v>
      </c>
      <c r="D1068" s="142" t="s">
        <v>52</v>
      </c>
      <c r="E1068" s="142" t="s">
        <v>125</v>
      </c>
      <c r="F1068" s="170" t="s">
        <v>4297</v>
      </c>
      <c r="G1068" s="171">
        <v>45862.0</v>
      </c>
      <c r="H1068" s="172">
        <f t="shared" si="2"/>
        <v>0</v>
      </c>
      <c r="I1068" s="173" t="s">
        <v>4298</v>
      </c>
      <c r="J1068" s="171">
        <v>45862.0</v>
      </c>
      <c r="K1068" s="169" t="s">
        <v>2758</v>
      </c>
      <c r="L1068" s="282"/>
      <c r="M1068" s="282"/>
      <c r="N1068" s="282"/>
      <c r="O1068" s="282"/>
      <c r="P1068" s="282"/>
      <c r="Q1068" s="282"/>
      <c r="R1068" s="282"/>
      <c r="S1068" s="282"/>
      <c r="T1068" s="282"/>
      <c r="U1068" s="282"/>
      <c r="V1068" s="282"/>
      <c r="W1068" s="282"/>
      <c r="X1068" s="282"/>
      <c r="Y1068" s="282"/>
      <c r="Z1068" s="282"/>
      <c r="AA1068" s="282"/>
      <c r="AB1068" s="282"/>
      <c r="AC1068" s="282"/>
      <c r="AD1068" s="282"/>
    </row>
    <row r="1069">
      <c r="A1069" s="181">
        <v>16230.0</v>
      </c>
      <c r="B1069" s="175" t="s">
        <v>1622</v>
      </c>
      <c r="C1069" s="174">
        <v>2022.0</v>
      </c>
      <c r="D1069" s="176" t="s">
        <v>52</v>
      </c>
      <c r="E1069" s="176" t="s">
        <v>866</v>
      </c>
      <c r="F1069" s="177" t="s">
        <v>1623</v>
      </c>
      <c r="G1069" s="178">
        <v>45856.0</v>
      </c>
      <c r="H1069" s="179">
        <f t="shared" si="2"/>
        <v>0</v>
      </c>
      <c r="I1069" s="180" t="s">
        <v>4299</v>
      </c>
      <c r="J1069" s="178">
        <v>45856.0</v>
      </c>
      <c r="K1069" s="175" t="s">
        <v>2758</v>
      </c>
      <c r="L1069" s="282"/>
      <c r="M1069" s="282"/>
      <c r="N1069" s="282"/>
      <c r="O1069" s="282"/>
      <c r="P1069" s="282"/>
      <c r="Q1069" s="282"/>
      <c r="R1069" s="282"/>
      <c r="S1069" s="282"/>
      <c r="T1069" s="282"/>
      <c r="U1069" s="282"/>
      <c r="V1069" s="282"/>
      <c r="W1069" s="282"/>
      <c r="X1069" s="282"/>
      <c r="Y1069" s="282"/>
      <c r="Z1069" s="282"/>
      <c r="AA1069" s="282"/>
      <c r="AB1069" s="282"/>
      <c r="AC1069" s="282"/>
      <c r="AD1069" s="282"/>
    </row>
    <row r="1070">
      <c r="A1070" s="183">
        <v>16238.0</v>
      </c>
      <c r="B1070" s="169" t="s">
        <v>2455</v>
      </c>
      <c r="C1070" s="168">
        <v>2022.0</v>
      </c>
      <c r="D1070" s="142" t="s">
        <v>52</v>
      </c>
      <c r="E1070" s="142" t="s">
        <v>459</v>
      </c>
      <c r="F1070" s="170" t="s">
        <v>2456</v>
      </c>
      <c r="G1070" s="171">
        <v>45859.0</v>
      </c>
      <c r="H1070" s="172">
        <f t="shared" si="2"/>
        <v>0</v>
      </c>
      <c r="I1070" s="173" t="s">
        <v>133</v>
      </c>
      <c r="J1070" s="171">
        <v>45859.0</v>
      </c>
      <c r="K1070" s="169" t="s">
        <v>2758</v>
      </c>
      <c r="L1070" s="242"/>
      <c r="M1070" s="242"/>
      <c r="N1070" s="242"/>
      <c r="O1070" s="242"/>
      <c r="P1070" s="242"/>
      <c r="Q1070" s="242"/>
      <c r="R1070" s="242"/>
      <c r="S1070" s="242"/>
      <c r="T1070" s="242"/>
      <c r="U1070" s="242"/>
      <c r="V1070" s="242"/>
      <c r="W1070" s="242"/>
      <c r="X1070" s="242"/>
      <c r="Y1070" s="242"/>
      <c r="Z1070" s="242"/>
      <c r="AA1070" s="242"/>
      <c r="AB1070" s="242"/>
      <c r="AC1070" s="242"/>
      <c r="AD1070" s="242"/>
      <c r="AE1070" s="242"/>
      <c r="AF1070" s="242"/>
      <c r="AG1070" s="242"/>
      <c r="AH1070" s="242"/>
      <c r="AI1070" s="242"/>
      <c r="AJ1070" s="242"/>
      <c r="AK1070" s="242"/>
      <c r="AL1070" s="242"/>
      <c r="AM1070" s="242"/>
      <c r="AN1070" s="242"/>
      <c r="AO1070" s="242"/>
    </row>
    <row r="1071">
      <c r="A1071" s="181">
        <v>16239.0</v>
      </c>
      <c r="B1071" s="176" t="s">
        <v>4208</v>
      </c>
      <c r="C1071" s="174">
        <v>2022.0</v>
      </c>
      <c r="D1071" s="176" t="s">
        <v>14</v>
      </c>
      <c r="E1071" s="176" t="s">
        <v>28</v>
      </c>
      <c r="F1071" s="177" t="s">
        <v>4209</v>
      </c>
      <c r="G1071" s="178">
        <v>45859.0</v>
      </c>
      <c r="H1071" s="179">
        <f t="shared" si="2"/>
        <v>22</v>
      </c>
      <c r="I1071" s="175" t="s">
        <v>4300</v>
      </c>
      <c r="J1071" s="178">
        <v>45881.0</v>
      </c>
      <c r="K1071" s="175" t="s">
        <v>2758</v>
      </c>
      <c r="L1071" s="282"/>
      <c r="M1071" s="282"/>
      <c r="N1071" s="282"/>
      <c r="O1071" s="282"/>
      <c r="P1071" s="282"/>
      <c r="Q1071" s="282"/>
      <c r="R1071" s="282"/>
      <c r="S1071" s="282"/>
      <c r="T1071" s="282"/>
      <c r="U1071" s="282"/>
      <c r="V1071" s="282"/>
      <c r="W1071" s="282"/>
      <c r="X1071" s="282"/>
      <c r="Y1071" s="282"/>
      <c r="Z1071" s="282"/>
      <c r="AA1071" s="282"/>
      <c r="AB1071" s="282"/>
      <c r="AC1071" s="282"/>
      <c r="AD1071" s="282"/>
    </row>
    <row r="1072">
      <c r="A1072" s="183">
        <v>16248.0</v>
      </c>
      <c r="B1072" s="142" t="s">
        <v>2356</v>
      </c>
      <c r="C1072" s="168">
        <v>2022.0</v>
      </c>
      <c r="D1072" s="142" t="s">
        <v>52</v>
      </c>
      <c r="E1072" s="142" t="s">
        <v>4301</v>
      </c>
      <c r="F1072" s="168"/>
      <c r="G1072" s="311"/>
      <c r="H1072" s="172" t="str">
        <f t="shared" si="2"/>
        <v/>
      </c>
      <c r="I1072" s="169" t="s">
        <v>4302</v>
      </c>
      <c r="J1072" s="268">
        <v>45866.0</v>
      </c>
      <c r="K1072" s="169" t="s">
        <v>31</v>
      </c>
      <c r="L1072" s="282"/>
      <c r="M1072" s="282"/>
      <c r="N1072" s="282"/>
      <c r="O1072" s="282"/>
      <c r="P1072" s="282"/>
      <c r="Q1072" s="282"/>
      <c r="R1072" s="282"/>
      <c r="S1072" s="282"/>
      <c r="T1072" s="282"/>
      <c r="U1072" s="282"/>
      <c r="V1072" s="282"/>
      <c r="W1072" s="282"/>
      <c r="X1072" s="282"/>
      <c r="Y1072" s="282"/>
      <c r="Z1072" s="282"/>
      <c r="AA1072" s="282"/>
      <c r="AB1072" s="282"/>
      <c r="AC1072" s="282"/>
      <c r="AD1072" s="282"/>
    </row>
    <row r="1073">
      <c r="A1073" s="181">
        <v>16251.0</v>
      </c>
      <c r="B1073" s="175" t="s">
        <v>1800</v>
      </c>
      <c r="C1073" s="174">
        <v>2022.0</v>
      </c>
      <c r="D1073" s="176" t="s">
        <v>52</v>
      </c>
      <c r="E1073" s="176" t="s">
        <v>173</v>
      </c>
      <c r="F1073" s="177" t="s">
        <v>1801</v>
      </c>
      <c r="G1073" s="178">
        <v>45860.0</v>
      </c>
      <c r="H1073" s="179">
        <f t="shared" si="2"/>
        <v>0</v>
      </c>
      <c r="I1073" s="180" t="s">
        <v>133</v>
      </c>
      <c r="J1073" s="178">
        <v>45860.0</v>
      </c>
      <c r="K1073" s="175" t="s">
        <v>2758</v>
      </c>
      <c r="L1073" s="282"/>
      <c r="M1073" s="282"/>
      <c r="N1073" s="282"/>
      <c r="O1073" s="282"/>
      <c r="P1073" s="282"/>
      <c r="Q1073" s="282"/>
      <c r="R1073" s="282"/>
      <c r="S1073" s="282"/>
      <c r="T1073" s="282"/>
      <c r="U1073" s="282"/>
      <c r="V1073" s="282"/>
      <c r="W1073" s="282"/>
      <c r="X1073" s="282"/>
      <c r="Y1073" s="282"/>
      <c r="Z1073" s="282"/>
      <c r="AA1073" s="282"/>
      <c r="AB1073" s="282"/>
      <c r="AC1073" s="282"/>
      <c r="AD1073" s="282"/>
    </row>
    <row r="1074">
      <c r="A1074" s="183">
        <v>16252.0</v>
      </c>
      <c r="B1074" s="142" t="s">
        <v>2861</v>
      </c>
      <c r="C1074" s="168">
        <v>2015.0</v>
      </c>
      <c r="D1074" s="142" t="s">
        <v>14</v>
      </c>
      <c r="E1074" s="142" t="s">
        <v>125</v>
      </c>
      <c r="F1074" s="170" t="s">
        <v>2862</v>
      </c>
      <c r="G1074" s="171">
        <v>45860.0</v>
      </c>
      <c r="H1074" s="172">
        <f t="shared" si="2"/>
        <v>41</v>
      </c>
      <c r="I1074" s="169" t="s">
        <v>4303</v>
      </c>
      <c r="J1074" s="268">
        <v>45901.0</v>
      </c>
      <c r="K1074" s="169" t="s">
        <v>31</v>
      </c>
      <c r="L1074" s="282"/>
      <c r="M1074" s="282"/>
      <c r="N1074" s="282"/>
      <c r="O1074" s="282"/>
      <c r="P1074" s="282"/>
      <c r="Q1074" s="282"/>
      <c r="R1074" s="282"/>
      <c r="S1074" s="282"/>
      <c r="T1074" s="282"/>
      <c r="U1074" s="282"/>
      <c r="V1074" s="282"/>
      <c r="W1074" s="282"/>
      <c r="X1074" s="282"/>
      <c r="Y1074" s="282"/>
      <c r="Z1074" s="282"/>
      <c r="AA1074" s="282"/>
      <c r="AB1074" s="282"/>
      <c r="AC1074" s="282"/>
      <c r="AD1074" s="282"/>
    </row>
    <row r="1075">
      <c r="A1075" s="181">
        <v>16256.0</v>
      </c>
      <c r="B1075" s="176" t="s">
        <v>1395</v>
      </c>
      <c r="C1075" s="174">
        <v>2019.0</v>
      </c>
      <c r="D1075" s="176" t="s">
        <v>14</v>
      </c>
      <c r="E1075" s="176" t="s">
        <v>125</v>
      </c>
      <c r="F1075" s="170" t="s">
        <v>1396</v>
      </c>
      <c r="G1075" s="178">
        <v>45860.0</v>
      </c>
      <c r="H1075" s="179">
        <f t="shared" si="2"/>
        <v>13</v>
      </c>
      <c r="I1075" s="175" t="s">
        <v>4304</v>
      </c>
      <c r="J1075" s="269">
        <v>45873.0</v>
      </c>
      <c r="K1075" s="175" t="s">
        <v>31</v>
      </c>
      <c r="L1075" s="242"/>
      <c r="M1075" s="242"/>
      <c r="N1075" s="242"/>
      <c r="O1075" s="242"/>
      <c r="P1075" s="242"/>
      <c r="Q1075" s="242"/>
      <c r="R1075" s="242"/>
      <c r="S1075" s="242"/>
      <c r="T1075" s="242"/>
      <c r="U1075" s="242"/>
      <c r="V1075" s="242"/>
      <c r="W1075" s="242"/>
      <c r="X1075" s="242"/>
      <c r="Y1075" s="242"/>
      <c r="Z1075" s="242"/>
      <c r="AA1075" s="242"/>
      <c r="AB1075" s="242"/>
      <c r="AC1075" s="242"/>
      <c r="AD1075" s="242"/>
      <c r="AE1075" s="242"/>
      <c r="AF1075" s="242"/>
      <c r="AG1075" s="242"/>
      <c r="AH1075" s="242"/>
      <c r="AI1075" s="242"/>
      <c r="AJ1075" s="242"/>
      <c r="AK1075" s="242"/>
      <c r="AL1075" s="242"/>
      <c r="AM1075" s="242"/>
      <c r="AN1075" s="242"/>
      <c r="AO1075" s="242"/>
    </row>
    <row r="1076">
      <c r="A1076" s="183">
        <v>16260.0</v>
      </c>
      <c r="B1076" s="169" t="s">
        <v>2978</v>
      </c>
      <c r="C1076" s="168">
        <v>2014.0</v>
      </c>
      <c r="D1076" s="142" t="s">
        <v>148</v>
      </c>
      <c r="E1076" s="142" t="s">
        <v>21</v>
      </c>
      <c r="F1076" s="170" t="s">
        <v>2979</v>
      </c>
      <c r="G1076" s="171">
        <v>45862.0</v>
      </c>
      <c r="H1076" s="172">
        <f t="shared" si="2"/>
        <v>4</v>
      </c>
      <c r="I1076" s="173" t="s">
        <v>4305</v>
      </c>
      <c r="J1076" s="171">
        <v>45866.0</v>
      </c>
      <c r="K1076" s="169" t="s">
        <v>2758</v>
      </c>
      <c r="L1076" s="282"/>
      <c r="M1076" s="282"/>
      <c r="N1076" s="282"/>
      <c r="O1076" s="282"/>
      <c r="P1076" s="282"/>
      <c r="Q1076" s="282"/>
      <c r="R1076" s="282"/>
      <c r="S1076" s="282"/>
      <c r="T1076" s="282"/>
      <c r="U1076" s="282"/>
      <c r="V1076" s="282"/>
      <c r="W1076" s="282"/>
      <c r="X1076" s="282"/>
      <c r="Y1076" s="282"/>
      <c r="Z1076" s="282"/>
      <c r="AA1076" s="282"/>
      <c r="AB1076" s="282"/>
      <c r="AC1076" s="282"/>
      <c r="AD1076" s="282"/>
    </row>
    <row r="1077">
      <c r="A1077" s="181">
        <v>16261.0</v>
      </c>
      <c r="B1077" s="175" t="s">
        <v>4306</v>
      </c>
      <c r="C1077" s="174">
        <v>2015.0</v>
      </c>
      <c r="D1077" s="176" t="s">
        <v>52</v>
      </c>
      <c r="E1077" s="176" t="s">
        <v>2271</v>
      </c>
      <c r="F1077" s="177" t="s">
        <v>4307</v>
      </c>
      <c r="G1077" s="178">
        <v>45862.0</v>
      </c>
      <c r="H1077" s="179">
        <f t="shared" si="2"/>
        <v>363</v>
      </c>
      <c r="I1077" s="180" t="s">
        <v>4308</v>
      </c>
      <c r="J1077" s="196"/>
      <c r="K1077" s="194"/>
      <c r="L1077" s="282"/>
      <c r="M1077" s="282"/>
      <c r="N1077" s="282"/>
      <c r="O1077" s="282"/>
      <c r="P1077" s="282"/>
      <c r="Q1077" s="282"/>
      <c r="R1077" s="282"/>
      <c r="S1077" s="282"/>
      <c r="T1077" s="282"/>
      <c r="U1077" s="282"/>
      <c r="V1077" s="282"/>
      <c r="W1077" s="282"/>
      <c r="X1077" s="282"/>
      <c r="Y1077" s="282"/>
      <c r="Z1077" s="282"/>
      <c r="AA1077" s="282"/>
      <c r="AB1077" s="282"/>
      <c r="AC1077" s="282"/>
      <c r="AD1077" s="282"/>
    </row>
    <row r="1078">
      <c r="A1078" s="183">
        <v>16262.0</v>
      </c>
      <c r="B1078" s="169" t="s">
        <v>1638</v>
      </c>
      <c r="C1078" s="168">
        <v>2019.0</v>
      </c>
      <c r="D1078" s="142" t="s">
        <v>75</v>
      </c>
      <c r="E1078" s="142" t="s">
        <v>1639</v>
      </c>
      <c r="F1078" s="170" t="s">
        <v>1640</v>
      </c>
      <c r="G1078" s="171">
        <v>45862.0</v>
      </c>
      <c r="H1078" s="172">
        <f t="shared" si="2"/>
        <v>21</v>
      </c>
      <c r="I1078" s="173" t="s">
        <v>4309</v>
      </c>
      <c r="J1078" s="228">
        <v>45883.0</v>
      </c>
      <c r="K1078" s="169" t="s">
        <v>2758</v>
      </c>
      <c r="L1078" s="282"/>
      <c r="M1078" s="282"/>
      <c r="N1078" s="282"/>
      <c r="O1078" s="282"/>
      <c r="P1078" s="282"/>
      <c r="Q1078" s="282"/>
      <c r="R1078" s="282"/>
      <c r="S1078" s="282"/>
      <c r="T1078" s="282"/>
      <c r="U1078" s="282"/>
      <c r="V1078" s="282"/>
      <c r="W1078" s="282"/>
      <c r="X1078" s="282"/>
      <c r="Y1078" s="282"/>
      <c r="Z1078" s="282"/>
      <c r="AA1078" s="282"/>
      <c r="AB1078" s="282"/>
      <c r="AC1078" s="282"/>
      <c r="AD1078" s="282"/>
    </row>
    <row r="1079">
      <c r="A1079" s="220">
        <v>16263.0</v>
      </c>
      <c r="B1079" s="274" t="s">
        <v>4310</v>
      </c>
      <c r="C1079" s="275">
        <v>2014.0</v>
      </c>
      <c r="D1079" s="274" t="s">
        <v>136</v>
      </c>
      <c r="E1079" s="274" t="s">
        <v>582</v>
      </c>
      <c r="F1079" s="276" t="s">
        <v>4311</v>
      </c>
      <c r="G1079" s="224">
        <v>45862.0</v>
      </c>
      <c r="H1079" s="179">
        <f t="shared" si="2"/>
        <v>22</v>
      </c>
      <c r="I1079" s="274" t="s">
        <v>3188</v>
      </c>
      <c r="J1079" s="178">
        <v>45884.0</v>
      </c>
      <c r="K1079" s="175" t="s">
        <v>31</v>
      </c>
      <c r="L1079" s="282"/>
      <c r="M1079" s="282"/>
      <c r="N1079" s="282"/>
      <c r="O1079" s="282"/>
      <c r="P1079" s="282"/>
      <c r="Q1079" s="282"/>
      <c r="R1079" s="282"/>
      <c r="S1079" s="282"/>
      <c r="T1079" s="282"/>
      <c r="U1079" s="282"/>
      <c r="V1079" s="282"/>
      <c r="W1079" s="282"/>
      <c r="X1079" s="282"/>
      <c r="Y1079" s="282"/>
      <c r="Z1079" s="282"/>
      <c r="AA1079" s="282"/>
      <c r="AB1079" s="282"/>
      <c r="AC1079" s="282"/>
      <c r="AD1079" s="282"/>
    </row>
    <row r="1080">
      <c r="A1080" s="183">
        <v>16265.0</v>
      </c>
      <c r="B1080" s="169" t="s">
        <v>2332</v>
      </c>
      <c r="C1080" s="168">
        <v>2015.0</v>
      </c>
      <c r="D1080" s="142" t="s">
        <v>75</v>
      </c>
      <c r="E1080" s="142" t="s">
        <v>2333</v>
      </c>
      <c r="F1080" s="170" t="s">
        <v>2334</v>
      </c>
      <c r="G1080" s="171">
        <v>45863.0</v>
      </c>
      <c r="H1080" s="172">
        <f t="shared" si="2"/>
        <v>0</v>
      </c>
      <c r="I1080" s="173" t="s">
        <v>4312</v>
      </c>
      <c r="J1080" s="171">
        <v>45863.0</v>
      </c>
      <c r="K1080" s="169" t="s">
        <v>2758</v>
      </c>
      <c r="L1080" s="242"/>
      <c r="M1080" s="242"/>
      <c r="N1080" s="242"/>
      <c r="O1080" s="242"/>
      <c r="P1080" s="242"/>
      <c r="Q1080" s="242"/>
      <c r="R1080" s="242"/>
      <c r="S1080" s="242"/>
      <c r="T1080" s="242"/>
      <c r="U1080" s="242"/>
      <c r="V1080" s="242"/>
      <c r="W1080" s="242"/>
      <c r="X1080" s="242"/>
      <c r="Y1080" s="242"/>
      <c r="Z1080" s="242"/>
      <c r="AA1080" s="242"/>
      <c r="AB1080" s="242"/>
      <c r="AC1080" s="242"/>
      <c r="AD1080" s="242"/>
      <c r="AE1080" s="242"/>
      <c r="AF1080" s="242"/>
      <c r="AG1080" s="242"/>
      <c r="AH1080" s="242"/>
      <c r="AI1080" s="242"/>
      <c r="AJ1080" s="242"/>
      <c r="AK1080" s="242"/>
      <c r="AL1080" s="242"/>
      <c r="AM1080" s="242"/>
      <c r="AN1080" s="242"/>
      <c r="AO1080" s="242"/>
    </row>
    <row r="1081">
      <c r="A1081" s="181">
        <v>16269.0</v>
      </c>
      <c r="B1081" s="175" t="s">
        <v>717</v>
      </c>
      <c r="C1081" s="174">
        <v>2022.0</v>
      </c>
      <c r="D1081" s="176" t="s">
        <v>136</v>
      </c>
      <c r="E1081" s="176" t="s">
        <v>99</v>
      </c>
      <c r="F1081" s="177" t="s">
        <v>719</v>
      </c>
      <c r="G1081" s="178">
        <v>45866.0</v>
      </c>
      <c r="H1081" s="179">
        <f t="shared" si="2"/>
        <v>0</v>
      </c>
      <c r="I1081" s="180" t="s">
        <v>4313</v>
      </c>
      <c r="J1081" s="178">
        <v>45866.0</v>
      </c>
      <c r="K1081" s="175" t="s">
        <v>2758</v>
      </c>
      <c r="L1081" s="242"/>
      <c r="M1081" s="242"/>
      <c r="N1081" s="242"/>
      <c r="O1081" s="242"/>
      <c r="P1081" s="242"/>
      <c r="Q1081" s="242"/>
      <c r="R1081" s="242"/>
      <c r="S1081" s="242"/>
      <c r="T1081" s="242"/>
      <c r="U1081" s="242"/>
      <c r="V1081" s="242"/>
      <c r="W1081" s="242"/>
      <c r="X1081" s="242"/>
      <c r="Y1081" s="242"/>
      <c r="Z1081" s="242"/>
      <c r="AA1081" s="242"/>
      <c r="AB1081" s="242"/>
      <c r="AC1081" s="242"/>
      <c r="AD1081" s="242"/>
      <c r="AE1081" s="242"/>
      <c r="AF1081" s="242"/>
      <c r="AG1081" s="242"/>
      <c r="AH1081" s="242"/>
      <c r="AI1081" s="242"/>
      <c r="AJ1081" s="242"/>
      <c r="AK1081" s="242"/>
      <c r="AL1081" s="242"/>
      <c r="AM1081" s="242"/>
      <c r="AN1081" s="242"/>
      <c r="AO1081" s="242"/>
    </row>
    <row r="1082">
      <c r="A1082" s="183">
        <v>16275.0</v>
      </c>
      <c r="B1082" s="142" t="s">
        <v>2835</v>
      </c>
      <c r="C1082" s="168">
        <v>2017.0</v>
      </c>
      <c r="D1082" s="142" t="s">
        <v>3854</v>
      </c>
      <c r="E1082" s="142" t="s">
        <v>725</v>
      </c>
      <c r="F1082" s="170" t="s">
        <v>2836</v>
      </c>
      <c r="G1082" s="171">
        <v>45866.0</v>
      </c>
      <c r="H1082" s="172">
        <f t="shared" si="2"/>
        <v>52</v>
      </c>
      <c r="I1082" s="169" t="s">
        <v>4314</v>
      </c>
      <c r="J1082" s="268">
        <v>45918.0</v>
      </c>
      <c r="K1082" s="169" t="s">
        <v>31</v>
      </c>
      <c r="L1082" s="242"/>
      <c r="M1082" s="242"/>
      <c r="N1082" s="242"/>
      <c r="O1082" s="242"/>
      <c r="P1082" s="242"/>
      <c r="Q1082" s="242"/>
      <c r="R1082" s="242"/>
      <c r="S1082" s="242"/>
      <c r="T1082" s="242"/>
      <c r="U1082" s="242"/>
      <c r="V1082" s="242"/>
      <c r="W1082" s="242"/>
      <c r="X1082" s="242"/>
      <c r="Y1082" s="242"/>
      <c r="Z1082" s="242"/>
      <c r="AA1082" s="242"/>
      <c r="AB1082" s="242"/>
      <c r="AC1082" s="242"/>
      <c r="AD1082" s="242"/>
      <c r="AE1082" s="242"/>
      <c r="AF1082" s="242"/>
      <c r="AG1082" s="242"/>
      <c r="AH1082" s="242"/>
      <c r="AI1082" s="242"/>
      <c r="AJ1082" s="242"/>
      <c r="AK1082" s="242"/>
      <c r="AL1082" s="242"/>
      <c r="AM1082" s="242"/>
      <c r="AN1082" s="242"/>
      <c r="AO1082" s="242"/>
    </row>
    <row r="1083">
      <c r="A1083" s="181">
        <v>16276.0</v>
      </c>
      <c r="B1083" s="176" t="s">
        <v>2995</v>
      </c>
      <c r="C1083" s="174">
        <v>2018.0</v>
      </c>
      <c r="D1083" s="176" t="s">
        <v>14</v>
      </c>
      <c r="E1083" s="176" t="s">
        <v>962</v>
      </c>
      <c r="F1083" s="177" t="s">
        <v>2996</v>
      </c>
      <c r="G1083" s="178">
        <v>45866.0</v>
      </c>
      <c r="H1083" s="179">
        <f t="shared" si="2"/>
        <v>15</v>
      </c>
      <c r="I1083" s="175" t="s">
        <v>4315</v>
      </c>
      <c r="J1083" s="178">
        <v>45881.0</v>
      </c>
      <c r="K1083" s="175" t="s">
        <v>31</v>
      </c>
      <c r="L1083" s="242"/>
      <c r="M1083" s="242"/>
      <c r="N1083" s="242"/>
      <c r="O1083" s="242"/>
      <c r="P1083" s="242"/>
      <c r="Q1083" s="242"/>
      <c r="R1083" s="242"/>
      <c r="S1083" s="242"/>
      <c r="T1083" s="242"/>
      <c r="U1083" s="242"/>
      <c r="V1083" s="242"/>
      <c r="W1083" s="242"/>
      <c r="X1083" s="242"/>
      <c r="Y1083" s="242"/>
      <c r="Z1083" s="242"/>
      <c r="AA1083" s="242"/>
      <c r="AB1083" s="242"/>
      <c r="AC1083" s="242"/>
      <c r="AD1083" s="242"/>
      <c r="AE1083" s="242"/>
      <c r="AF1083" s="242"/>
      <c r="AG1083" s="242"/>
      <c r="AH1083" s="242"/>
      <c r="AI1083" s="242"/>
      <c r="AJ1083" s="242"/>
      <c r="AK1083" s="242"/>
      <c r="AL1083" s="242"/>
      <c r="AM1083" s="242"/>
      <c r="AN1083" s="242"/>
      <c r="AO1083" s="242"/>
    </row>
    <row r="1084">
      <c r="A1084" s="183">
        <v>16279.0</v>
      </c>
      <c r="B1084" s="169" t="s">
        <v>3383</v>
      </c>
      <c r="C1084" s="168">
        <v>2022.0</v>
      </c>
      <c r="D1084" s="142" t="s">
        <v>52</v>
      </c>
      <c r="E1084" s="142" t="s">
        <v>82</v>
      </c>
      <c r="F1084" s="235" t="s">
        <v>3384</v>
      </c>
      <c r="G1084" s="171">
        <v>45867.0</v>
      </c>
      <c r="H1084" s="172">
        <f t="shared" si="2"/>
        <v>0</v>
      </c>
      <c r="I1084" s="173" t="s">
        <v>4316</v>
      </c>
      <c r="J1084" s="171">
        <v>45867.0</v>
      </c>
      <c r="K1084" s="169" t="s">
        <v>2758</v>
      </c>
      <c r="L1084" s="242"/>
      <c r="M1084" s="242"/>
      <c r="N1084" s="242"/>
      <c r="O1084" s="242"/>
      <c r="P1084" s="242"/>
      <c r="Q1084" s="242"/>
      <c r="R1084" s="242"/>
      <c r="S1084" s="242"/>
      <c r="T1084" s="242"/>
      <c r="U1084" s="242"/>
      <c r="V1084" s="242"/>
      <c r="W1084" s="242"/>
      <c r="X1084" s="242"/>
      <c r="Y1084" s="242"/>
      <c r="Z1084" s="242"/>
      <c r="AA1084" s="242"/>
      <c r="AB1084" s="242"/>
      <c r="AC1084" s="242"/>
      <c r="AD1084" s="242"/>
      <c r="AE1084" s="242"/>
      <c r="AF1084" s="242"/>
      <c r="AG1084" s="242"/>
      <c r="AH1084" s="242"/>
      <c r="AI1084" s="242"/>
      <c r="AJ1084" s="242"/>
      <c r="AK1084" s="242"/>
      <c r="AL1084" s="242"/>
      <c r="AM1084" s="242"/>
      <c r="AN1084" s="242"/>
      <c r="AO1084" s="242"/>
    </row>
    <row r="1085">
      <c r="A1085" s="181">
        <v>16281.0</v>
      </c>
      <c r="B1085" s="176" t="s">
        <v>2186</v>
      </c>
      <c r="C1085" s="174">
        <v>2014.0</v>
      </c>
      <c r="D1085" s="176" t="s">
        <v>130</v>
      </c>
      <c r="E1085" s="176" t="s">
        <v>125</v>
      </c>
      <c r="F1085" s="177" t="s">
        <v>4317</v>
      </c>
      <c r="G1085" s="178">
        <v>45867.0</v>
      </c>
      <c r="H1085" s="179">
        <f t="shared" si="2"/>
        <v>16</v>
      </c>
      <c r="I1085" s="175" t="s">
        <v>668</v>
      </c>
      <c r="J1085" s="269">
        <v>45883.0</v>
      </c>
      <c r="K1085" s="175" t="s">
        <v>2758</v>
      </c>
      <c r="L1085" s="282"/>
      <c r="M1085" s="282"/>
      <c r="N1085" s="282"/>
      <c r="O1085" s="282"/>
      <c r="P1085" s="282"/>
      <c r="Q1085" s="282"/>
      <c r="R1085" s="282"/>
      <c r="S1085" s="282"/>
      <c r="T1085" s="282"/>
      <c r="U1085" s="282"/>
      <c r="V1085" s="282"/>
      <c r="W1085" s="282"/>
      <c r="X1085" s="282"/>
      <c r="Y1085" s="282"/>
      <c r="Z1085" s="282"/>
      <c r="AA1085" s="282"/>
      <c r="AB1085" s="282"/>
      <c r="AC1085" s="282"/>
      <c r="AD1085" s="282"/>
    </row>
    <row r="1086">
      <c r="A1086" s="183">
        <v>16285.0</v>
      </c>
      <c r="B1086" s="169" t="s">
        <v>1467</v>
      </c>
      <c r="C1086" s="168">
        <v>2020.0</v>
      </c>
      <c r="D1086" s="142" t="s">
        <v>14</v>
      </c>
      <c r="E1086" s="142" t="s">
        <v>235</v>
      </c>
      <c r="F1086" s="170" t="s">
        <v>1468</v>
      </c>
      <c r="G1086" s="171">
        <v>45867.0</v>
      </c>
      <c r="H1086" s="172">
        <f t="shared" si="2"/>
        <v>2</v>
      </c>
      <c r="I1086" s="173" t="s">
        <v>4318</v>
      </c>
      <c r="J1086" s="171">
        <v>45869.0</v>
      </c>
      <c r="K1086" s="169" t="s">
        <v>2758</v>
      </c>
      <c r="L1086" s="282"/>
      <c r="M1086" s="282"/>
      <c r="N1086" s="282"/>
      <c r="O1086" s="282"/>
      <c r="P1086" s="282"/>
      <c r="Q1086" s="282"/>
      <c r="R1086" s="282"/>
      <c r="S1086" s="282"/>
      <c r="T1086" s="282"/>
      <c r="U1086" s="282"/>
      <c r="V1086" s="282"/>
      <c r="W1086" s="282"/>
      <c r="X1086" s="282"/>
      <c r="Y1086" s="282"/>
      <c r="Z1086" s="282"/>
      <c r="AA1086" s="282"/>
      <c r="AB1086" s="282"/>
      <c r="AC1086" s="282"/>
      <c r="AD1086" s="282"/>
    </row>
    <row r="1087">
      <c r="A1087" s="181">
        <v>16288.0</v>
      </c>
      <c r="B1087" s="175" t="s">
        <v>1454</v>
      </c>
      <c r="C1087" s="174">
        <v>2022.0</v>
      </c>
      <c r="D1087" s="176" t="s">
        <v>52</v>
      </c>
      <c r="E1087" s="176" t="s">
        <v>70</v>
      </c>
      <c r="F1087" s="177" t="s">
        <v>1455</v>
      </c>
      <c r="G1087" s="178">
        <v>45868.0</v>
      </c>
      <c r="H1087" s="179">
        <f t="shared" si="2"/>
        <v>2</v>
      </c>
      <c r="I1087" s="180" t="s">
        <v>4319</v>
      </c>
      <c r="J1087" s="178">
        <v>45870.0</v>
      </c>
      <c r="K1087" s="175" t="s">
        <v>31</v>
      </c>
      <c r="L1087" s="282"/>
      <c r="M1087" s="282"/>
      <c r="N1087" s="282"/>
      <c r="O1087" s="282"/>
      <c r="P1087" s="282"/>
      <c r="Q1087" s="282"/>
      <c r="R1087" s="282"/>
      <c r="S1087" s="282"/>
      <c r="T1087" s="282"/>
      <c r="U1087" s="282"/>
      <c r="V1087" s="282"/>
      <c r="W1087" s="282"/>
      <c r="X1087" s="282"/>
      <c r="Y1087" s="282"/>
      <c r="Z1087" s="282"/>
      <c r="AA1087" s="282"/>
      <c r="AB1087" s="282"/>
      <c r="AC1087" s="282"/>
      <c r="AD1087" s="282"/>
    </row>
    <row r="1088">
      <c r="A1088" s="183">
        <v>16291.0</v>
      </c>
      <c r="B1088" s="142" t="s">
        <v>1056</v>
      </c>
      <c r="C1088" s="168">
        <v>2022.0</v>
      </c>
      <c r="D1088" s="142" t="s">
        <v>136</v>
      </c>
      <c r="E1088" s="142" t="s">
        <v>173</v>
      </c>
      <c r="F1088" s="170" t="s">
        <v>1058</v>
      </c>
      <c r="G1088" s="171">
        <v>45868.0</v>
      </c>
      <c r="H1088" s="172">
        <f t="shared" si="2"/>
        <v>7</v>
      </c>
      <c r="I1088" s="169" t="s">
        <v>4320</v>
      </c>
      <c r="J1088" s="171">
        <v>45875.0</v>
      </c>
      <c r="K1088" s="169" t="s">
        <v>31</v>
      </c>
      <c r="L1088" s="282"/>
      <c r="M1088" s="282"/>
      <c r="N1088" s="282"/>
      <c r="O1088" s="282"/>
      <c r="P1088" s="282"/>
      <c r="Q1088" s="282"/>
      <c r="R1088" s="282"/>
      <c r="S1088" s="282"/>
      <c r="T1088" s="282"/>
      <c r="U1088" s="282"/>
      <c r="V1088" s="282"/>
      <c r="W1088" s="282"/>
      <c r="X1088" s="282"/>
      <c r="Y1088" s="282"/>
      <c r="Z1088" s="282"/>
      <c r="AA1088" s="282"/>
      <c r="AB1088" s="282"/>
      <c r="AC1088" s="282"/>
      <c r="AD1088" s="282"/>
    </row>
    <row r="1089">
      <c r="A1089" s="181">
        <v>16293.0</v>
      </c>
      <c r="B1089" s="176" t="s">
        <v>4321</v>
      </c>
      <c r="C1089" s="174">
        <v>2014.0</v>
      </c>
      <c r="D1089" s="176" t="s">
        <v>130</v>
      </c>
      <c r="E1089" s="176" t="s">
        <v>125</v>
      </c>
      <c r="F1089" s="177" t="s">
        <v>4322</v>
      </c>
      <c r="G1089" s="178">
        <v>45868.0</v>
      </c>
      <c r="H1089" s="179">
        <f t="shared" si="2"/>
        <v>8</v>
      </c>
      <c r="I1089" s="182" t="s">
        <v>4323</v>
      </c>
      <c r="J1089" s="269">
        <v>45876.0</v>
      </c>
      <c r="K1089" s="175" t="s">
        <v>31</v>
      </c>
      <c r="L1089" s="282"/>
      <c r="M1089" s="282"/>
      <c r="N1089" s="282"/>
      <c r="O1089" s="282"/>
      <c r="P1089" s="282"/>
      <c r="Q1089" s="282"/>
      <c r="R1089" s="282"/>
      <c r="S1089" s="282"/>
      <c r="T1089" s="282"/>
      <c r="U1089" s="282"/>
      <c r="V1089" s="282"/>
      <c r="W1089" s="282"/>
      <c r="X1089" s="282"/>
      <c r="Y1089" s="282"/>
      <c r="Z1089" s="282"/>
      <c r="AA1089" s="282"/>
      <c r="AB1089" s="282"/>
      <c r="AC1089" s="282"/>
      <c r="AD1089" s="282"/>
    </row>
    <row r="1090">
      <c r="A1090" s="183">
        <v>16294.0</v>
      </c>
      <c r="B1090" s="169" t="s">
        <v>2121</v>
      </c>
      <c r="C1090" s="168">
        <v>2015.0</v>
      </c>
      <c r="D1090" s="142" t="s">
        <v>130</v>
      </c>
      <c r="E1090" s="142" t="s">
        <v>173</v>
      </c>
      <c r="F1090" s="170" t="s">
        <v>3736</v>
      </c>
      <c r="G1090" s="171">
        <v>45868.0</v>
      </c>
      <c r="H1090" s="172">
        <f t="shared" si="2"/>
        <v>0</v>
      </c>
      <c r="I1090" s="173" t="s">
        <v>2265</v>
      </c>
      <c r="J1090" s="171">
        <v>45868.0</v>
      </c>
      <c r="K1090" s="169" t="s">
        <v>2758</v>
      </c>
      <c r="L1090" s="282"/>
      <c r="M1090" s="282"/>
      <c r="N1090" s="282"/>
      <c r="O1090" s="282"/>
      <c r="P1090" s="282"/>
      <c r="Q1090" s="282"/>
      <c r="R1090" s="282"/>
      <c r="S1090" s="282"/>
      <c r="T1090" s="282"/>
      <c r="U1090" s="282"/>
      <c r="V1090" s="282"/>
      <c r="W1090" s="282"/>
      <c r="X1090" s="282"/>
      <c r="Y1090" s="282"/>
      <c r="Z1090" s="282"/>
      <c r="AA1090" s="282"/>
      <c r="AB1090" s="282"/>
      <c r="AC1090" s="282"/>
      <c r="AD1090" s="282"/>
    </row>
    <row r="1091">
      <c r="A1091" s="181">
        <v>16297.0</v>
      </c>
      <c r="B1091" s="175" t="s">
        <v>1922</v>
      </c>
      <c r="C1091" s="174">
        <v>2022.0</v>
      </c>
      <c r="D1091" s="176" t="s">
        <v>52</v>
      </c>
      <c r="E1091" s="176" t="s">
        <v>4324</v>
      </c>
      <c r="F1091" s="177" t="s">
        <v>1923</v>
      </c>
      <c r="G1091" s="178">
        <v>45869.0</v>
      </c>
      <c r="H1091" s="179">
        <f t="shared" si="2"/>
        <v>0</v>
      </c>
      <c r="I1091" s="180" t="s">
        <v>2265</v>
      </c>
      <c r="J1091" s="178">
        <v>45869.0</v>
      </c>
      <c r="K1091" s="175" t="s">
        <v>2758</v>
      </c>
      <c r="L1091" s="242"/>
      <c r="M1091" s="242"/>
      <c r="N1091" s="242"/>
      <c r="O1091" s="242"/>
      <c r="P1091" s="242"/>
      <c r="Q1091" s="242"/>
      <c r="R1091" s="242"/>
      <c r="S1091" s="242"/>
      <c r="T1091" s="242"/>
      <c r="U1091" s="242"/>
      <c r="V1091" s="242"/>
      <c r="W1091" s="242"/>
      <c r="X1091" s="242"/>
      <c r="Y1091" s="242"/>
      <c r="Z1091" s="242"/>
      <c r="AA1091" s="242"/>
      <c r="AB1091" s="242"/>
      <c r="AC1091" s="242"/>
      <c r="AD1091" s="242"/>
      <c r="AE1091" s="242"/>
      <c r="AF1091" s="242"/>
      <c r="AG1091" s="242"/>
      <c r="AH1091" s="242"/>
      <c r="AI1091" s="242"/>
      <c r="AJ1091" s="242"/>
      <c r="AK1091" s="242"/>
      <c r="AL1091" s="242"/>
      <c r="AM1091" s="242"/>
      <c r="AN1091" s="242"/>
      <c r="AO1091" s="242"/>
    </row>
    <row r="1092">
      <c r="A1092" s="183">
        <v>16309.0</v>
      </c>
      <c r="B1092" s="250" t="s">
        <v>1072</v>
      </c>
      <c r="C1092" s="168">
        <v>2022.0</v>
      </c>
      <c r="D1092" s="142" t="s">
        <v>14</v>
      </c>
      <c r="E1092" s="142" t="s">
        <v>28</v>
      </c>
      <c r="F1092" s="170" t="s">
        <v>1073</v>
      </c>
      <c r="G1092" s="171">
        <v>45870.0</v>
      </c>
      <c r="H1092" s="172">
        <f t="shared" si="2"/>
        <v>10</v>
      </c>
      <c r="I1092" s="169" t="s">
        <v>4325</v>
      </c>
      <c r="J1092" s="171">
        <v>45880.0</v>
      </c>
      <c r="K1092" s="169" t="s">
        <v>2758</v>
      </c>
      <c r="L1092" s="282"/>
      <c r="M1092" s="282"/>
      <c r="N1092" s="282"/>
      <c r="O1092" s="282"/>
      <c r="P1092" s="282"/>
      <c r="Q1092" s="282"/>
      <c r="R1092" s="282"/>
      <c r="S1092" s="282"/>
      <c r="T1092" s="282"/>
      <c r="U1092" s="282"/>
      <c r="V1092" s="282"/>
      <c r="W1092" s="282"/>
      <c r="X1092" s="282"/>
      <c r="Y1092" s="282"/>
      <c r="Z1092" s="282"/>
      <c r="AA1092" s="282"/>
      <c r="AB1092" s="282"/>
      <c r="AC1092" s="282"/>
      <c r="AD1092" s="282"/>
    </row>
    <row r="1093">
      <c r="A1093" s="181">
        <v>16313.0</v>
      </c>
      <c r="B1093" s="176" t="s">
        <v>2043</v>
      </c>
      <c r="C1093" s="174">
        <v>2018.0</v>
      </c>
      <c r="D1093" s="176" t="s">
        <v>14</v>
      </c>
      <c r="E1093" s="176" t="s">
        <v>4326</v>
      </c>
      <c r="F1093" s="177" t="s">
        <v>2044</v>
      </c>
      <c r="G1093" s="178">
        <v>45870.0</v>
      </c>
      <c r="H1093" s="179">
        <f t="shared" si="2"/>
        <v>18</v>
      </c>
      <c r="I1093" s="175" t="s">
        <v>4327</v>
      </c>
      <c r="J1093" s="269">
        <v>45888.0</v>
      </c>
      <c r="K1093" s="175" t="s">
        <v>2758</v>
      </c>
      <c r="L1093" s="242"/>
      <c r="M1093" s="242"/>
      <c r="N1093" s="242"/>
      <c r="O1093" s="242"/>
      <c r="P1093" s="242"/>
      <c r="Q1093" s="242"/>
      <c r="R1093" s="242"/>
      <c r="S1093" s="242"/>
      <c r="T1093" s="242"/>
      <c r="U1093" s="242"/>
      <c r="V1093" s="242"/>
      <c r="W1093" s="242"/>
      <c r="X1093" s="242"/>
      <c r="Y1093" s="242"/>
      <c r="Z1093" s="242"/>
      <c r="AA1093" s="242"/>
      <c r="AB1093" s="242"/>
      <c r="AC1093" s="242"/>
      <c r="AD1093" s="242"/>
      <c r="AE1093" s="242"/>
      <c r="AF1093" s="242"/>
      <c r="AG1093" s="242"/>
      <c r="AH1093" s="242"/>
      <c r="AI1093" s="242"/>
      <c r="AJ1093" s="242"/>
      <c r="AK1093" s="242"/>
      <c r="AL1093" s="242"/>
      <c r="AM1093" s="242"/>
      <c r="AN1093" s="242"/>
      <c r="AO1093" s="242"/>
    </row>
    <row r="1094">
      <c r="A1094" s="183">
        <v>16325.0</v>
      </c>
      <c r="B1094" s="169" t="s">
        <v>4328</v>
      </c>
      <c r="C1094" s="168">
        <v>2022.0</v>
      </c>
      <c r="D1094" s="142" t="s">
        <v>52</v>
      </c>
      <c r="E1094" s="142" t="s">
        <v>41</v>
      </c>
      <c r="F1094" s="170" t="s">
        <v>2049</v>
      </c>
      <c r="G1094" s="171">
        <v>45874.0</v>
      </c>
      <c r="H1094" s="172">
        <f t="shared" si="2"/>
        <v>0</v>
      </c>
      <c r="I1094" s="173" t="s">
        <v>4329</v>
      </c>
      <c r="J1094" s="171">
        <v>45874.0</v>
      </c>
      <c r="K1094" s="169" t="s">
        <v>2758</v>
      </c>
      <c r="L1094" s="282"/>
      <c r="M1094" s="282"/>
      <c r="N1094" s="282"/>
      <c r="O1094" s="282"/>
      <c r="P1094" s="282"/>
      <c r="Q1094" s="282"/>
      <c r="R1094" s="282"/>
      <c r="S1094" s="282"/>
      <c r="T1094" s="282"/>
      <c r="U1094" s="282"/>
      <c r="V1094" s="282"/>
      <c r="W1094" s="282"/>
      <c r="X1094" s="282"/>
      <c r="Y1094" s="282"/>
      <c r="Z1094" s="282"/>
      <c r="AA1094" s="282"/>
      <c r="AB1094" s="282"/>
      <c r="AC1094" s="282"/>
      <c r="AD1094" s="282"/>
    </row>
    <row r="1095">
      <c r="A1095" s="181">
        <v>16326.0</v>
      </c>
      <c r="B1095" s="175" t="s">
        <v>4330</v>
      </c>
      <c r="C1095" s="174">
        <v>2015.0</v>
      </c>
      <c r="D1095" s="176" t="s">
        <v>590</v>
      </c>
      <c r="E1095" s="176" t="s">
        <v>82</v>
      </c>
      <c r="F1095" s="271" t="s">
        <v>4331</v>
      </c>
      <c r="G1095" s="178">
        <v>45874.0</v>
      </c>
      <c r="H1095" s="179">
        <f t="shared" si="2"/>
        <v>0</v>
      </c>
      <c r="I1095" s="180" t="s">
        <v>4332</v>
      </c>
      <c r="J1095" s="178">
        <v>45874.0</v>
      </c>
      <c r="K1095" s="175" t="s">
        <v>31</v>
      </c>
      <c r="L1095" s="282"/>
      <c r="M1095" s="282"/>
      <c r="N1095" s="282"/>
      <c r="O1095" s="282"/>
      <c r="P1095" s="282"/>
      <c r="Q1095" s="282"/>
      <c r="R1095" s="282"/>
      <c r="S1095" s="282"/>
      <c r="T1095" s="282"/>
      <c r="U1095" s="282"/>
      <c r="V1095" s="282"/>
      <c r="W1095" s="282"/>
      <c r="X1095" s="282"/>
      <c r="Y1095" s="282"/>
      <c r="Z1095" s="282"/>
      <c r="AA1095" s="282"/>
      <c r="AB1095" s="282"/>
      <c r="AC1095" s="282"/>
      <c r="AD1095" s="282"/>
    </row>
    <row r="1096">
      <c r="A1096" s="183">
        <v>16327.0</v>
      </c>
      <c r="B1096" s="169" t="s">
        <v>609</v>
      </c>
      <c r="C1096" s="168">
        <v>2022.0</v>
      </c>
      <c r="D1096" s="142" t="s">
        <v>52</v>
      </c>
      <c r="E1096" s="142" t="s">
        <v>610</v>
      </c>
      <c r="F1096" s="170" t="s">
        <v>611</v>
      </c>
      <c r="G1096" s="171">
        <v>45874.0</v>
      </c>
      <c r="H1096" s="172">
        <f t="shared" si="2"/>
        <v>0</v>
      </c>
      <c r="I1096" s="173" t="s">
        <v>4333</v>
      </c>
      <c r="J1096" s="171">
        <v>45874.0</v>
      </c>
      <c r="K1096" s="169" t="s">
        <v>2758</v>
      </c>
      <c r="L1096" s="282"/>
      <c r="M1096" s="282"/>
      <c r="N1096" s="282"/>
      <c r="O1096" s="282"/>
      <c r="P1096" s="282"/>
      <c r="Q1096" s="282"/>
      <c r="R1096" s="282"/>
      <c r="S1096" s="282"/>
      <c r="T1096" s="282"/>
      <c r="U1096" s="282"/>
      <c r="V1096" s="282"/>
      <c r="W1096" s="282"/>
      <c r="X1096" s="282"/>
      <c r="Y1096" s="282"/>
      <c r="Z1096" s="282"/>
      <c r="AA1096" s="282"/>
      <c r="AB1096" s="282"/>
      <c r="AC1096" s="282"/>
      <c r="AD1096" s="282"/>
    </row>
    <row r="1097">
      <c r="A1097" s="181">
        <v>16329.0</v>
      </c>
      <c r="B1097" s="176" t="s">
        <v>2556</v>
      </c>
      <c r="C1097" s="174">
        <v>2019.0</v>
      </c>
      <c r="D1097" s="176" t="s">
        <v>14</v>
      </c>
      <c r="E1097" s="176" t="s">
        <v>235</v>
      </c>
      <c r="F1097" s="177" t="s">
        <v>2557</v>
      </c>
      <c r="G1097" s="178">
        <v>45874.0</v>
      </c>
      <c r="H1097" s="179">
        <f t="shared" si="2"/>
        <v>13</v>
      </c>
      <c r="I1097" s="175" t="s">
        <v>4334</v>
      </c>
      <c r="J1097" s="178">
        <v>45887.0</v>
      </c>
      <c r="K1097" s="175" t="s">
        <v>2758</v>
      </c>
      <c r="L1097" s="242"/>
      <c r="M1097" s="242"/>
      <c r="N1097" s="242"/>
      <c r="O1097" s="242"/>
      <c r="P1097" s="242"/>
      <c r="Q1097" s="242"/>
      <c r="R1097" s="242"/>
      <c r="S1097" s="242"/>
      <c r="T1097" s="242"/>
      <c r="U1097" s="242"/>
      <c r="V1097" s="242"/>
      <c r="W1097" s="242"/>
      <c r="X1097" s="242"/>
      <c r="Y1097" s="242"/>
      <c r="Z1097" s="242"/>
      <c r="AA1097" s="242"/>
      <c r="AB1097" s="242"/>
      <c r="AC1097" s="242"/>
      <c r="AD1097" s="242"/>
      <c r="AE1097" s="242"/>
      <c r="AF1097" s="242"/>
      <c r="AG1097" s="242"/>
      <c r="AH1097" s="242"/>
      <c r="AI1097" s="242"/>
      <c r="AJ1097" s="242"/>
      <c r="AK1097" s="242"/>
      <c r="AL1097" s="242"/>
      <c r="AM1097" s="242"/>
      <c r="AN1097" s="242"/>
      <c r="AO1097" s="242"/>
    </row>
    <row r="1098">
      <c r="A1098" s="183">
        <v>16330.0</v>
      </c>
      <c r="B1098" s="169" t="s">
        <v>4335</v>
      </c>
      <c r="C1098" s="168">
        <v>2015.0</v>
      </c>
      <c r="D1098" s="142" t="s">
        <v>130</v>
      </c>
      <c r="E1098" s="142" t="s">
        <v>4336</v>
      </c>
      <c r="F1098" s="170" t="s">
        <v>4337</v>
      </c>
      <c r="G1098" s="171">
        <v>45874.0</v>
      </c>
      <c r="H1098" s="172">
        <f t="shared" si="2"/>
        <v>0</v>
      </c>
      <c r="I1098" s="173" t="s">
        <v>2265</v>
      </c>
      <c r="J1098" s="171">
        <v>45874.0</v>
      </c>
      <c r="K1098" s="169" t="s">
        <v>2758</v>
      </c>
      <c r="L1098" s="282"/>
      <c r="M1098" s="282"/>
      <c r="N1098" s="282"/>
      <c r="O1098" s="282"/>
      <c r="P1098" s="282"/>
      <c r="Q1098" s="282"/>
      <c r="R1098" s="282"/>
      <c r="S1098" s="282"/>
      <c r="T1098" s="282"/>
      <c r="U1098" s="282"/>
      <c r="V1098" s="282"/>
      <c r="W1098" s="282"/>
      <c r="X1098" s="282"/>
      <c r="Y1098" s="282"/>
      <c r="Z1098" s="282"/>
      <c r="AA1098" s="282"/>
      <c r="AB1098" s="282"/>
      <c r="AC1098" s="282"/>
      <c r="AD1098" s="282"/>
    </row>
    <row r="1099">
      <c r="A1099" s="181">
        <v>16332.0</v>
      </c>
      <c r="B1099" s="175" t="s">
        <v>4338</v>
      </c>
      <c r="C1099" s="174">
        <v>2021.0</v>
      </c>
      <c r="D1099" s="176" t="s">
        <v>52</v>
      </c>
      <c r="E1099" s="176" t="s">
        <v>173</v>
      </c>
      <c r="F1099" s="177" t="s">
        <v>216</v>
      </c>
      <c r="G1099" s="178">
        <v>45874.0</v>
      </c>
      <c r="H1099" s="179">
        <f t="shared" si="2"/>
        <v>0</v>
      </c>
      <c r="I1099" s="180" t="s">
        <v>2963</v>
      </c>
      <c r="J1099" s="178">
        <v>45874.0</v>
      </c>
      <c r="K1099" s="175" t="s">
        <v>2758</v>
      </c>
      <c r="L1099" s="282"/>
      <c r="M1099" s="282"/>
      <c r="N1099" s="282"/>
      <c r="O1099" s="282"/>
      <c r="P1099" s="282"/>
      <c r="Q1099" s="282"/>
      <c r="R1099" s="282"/>
      <c r="S1099" s="282"/>
      <c r="T1099" s="282"/>
      <c r="U1099" s="282"/>
      <c r="V1099" s="282"/>
      <c r="W1099" s="282"/>
      <c r="X1099" s="282"/>
      <c r="Y1099" s="282"/>
      <c r="Z1099" s="282"/>
      <c r="AA1099" s="282"/>
      <c r="AB1099" s="282"/>
      <c r="AC1099" s="282"/>
      <c r="AD1099" s="282"/>
    </row>
    <row r="1100">
      <c r="A1100" s="183">
        <v>16333.0</v>
      </c>
      <c r="B1100" s="142" t="s">
        <v>2478</v>
      </c>
      <c r="C1100" s="168">
        <v>2017.0</v>
      </c>
      <c r="D1100" s="142" t="s">
        <v>14</v>
      </c>
      <c r="E1100" s="142" t="s">
        <v>736</v>
      </c>
      <c r="F1100" s="170" t="s">
        <v>2479</v>
      </c>
      <c r="G1100" s="171">
        <v>45874.0</v>
      </c>
      <c r="H1100" s="172">
        <f t="shared" si="2"/>
        <v>28</v>
      </c>
      <c r="I1100" s="169" t="s">
        <v>4339</v>
      </c>
      <c r="J1100" s="268">
        <v>45902.0</v>
      </c>
      <c r="K1100" s="169" t="s">
        <v>31</v>
      </c>
      <c r="L1100" s="282"/>
      <c r="M1100" s="282"/>
      <c r="N1100" s="282"/>
      <c r="O1100" s="282"/>
      <c r="P1100" s="282"/>
      <c r="Q1100" s="282"/>
      <c r="R1100" s="282"/>
      <c r="S1100" s="282"/>
      <c r="T1100" s="282"/>
      <c r="U1100" s="282"/>
      <c r="V1100" s="282"/>
      <c r="W1100" s="282"/>
      <c r="X1100" s="282"/>
      <c r="Y1100" s="282"/>
      <c r="Z1100" s="282"/>
      <c r="AA1100" s="282"/>
      <c r="AB1100" s="282"/>
      <c r="AC1100" s="282"/>
      <c r="AD1100" s="282"/>
    </row>
    <row r="1101">
      <c r="A1101" s="181">
        <v>16339.0</v>
      </c>
      <c r="B1101" s="176" t="s">
        <v>4340</v>
      </c>
      <c r="C1101" s="174">
        <v>2014.0</v>
      </c>
      <c r="D1101" s="176" t="s">
        <v>105</v>
      </c>
      <c r="E1101" s="176" t="s">
        <v>137</v>
      </c>
      <c r="F1101" s="177" t="s">
        <v>4341</v>
      </c>
      <c r="G1101" s="178">
        <v>45875.0</v>
      </c>
      <c r="H1101" s="179">
        <f t="shared" si="2"/>
        <v>44</v>
      </c>
      <c r="I1101" s="175" t="s">
        <v>4342</v>
      </c>
      <c r="J1101" s="178">
        <v>45919.0</v>
      </c>
      <c r="K1101" s="175" t="s">
        <v>2627</v>
      </c>
      <c r="L1101" s="282"/>
      <c r="M1101" s="282"/>
      <c r="N1101" s="282"/>
      <c r="O1101" s="282"/>
      <c r="P1101" s="282"/>
      <c r="Q1101" s="282"/>
      <c r="R1101" s="282"/>
      <c r="S1101" s="282"/>
      <c r="T1101" s="282"/>
      <c r="U1101" s="282"/>
      <c r="V1101" s="282"/>
      <c r="W1101" s="282"/>
      <c r="X1101" s="282"/>
      <c r="Y1101" s="282"/>
      <c r="Z1101" s="282"/>
      <c r="AA1101" s="282"/>
      <c r="AB1101" s="282"/>
      <c r="AC1101" s="282"/>
      <c r="AD1101" s="282"/>
    </row>
    <row r="1102">
      <c r="A1102" s="183">
        <v>16342.0</v>
      </c>
      <c r="B1102" s="169" t="s">
        <v>4343</v>
      </c>
      <c r="C1102" s="168">
        <v>2018.0</v>
      </c>
      <c r="D1102" s="142" t="s">
        <v>14</v>
      </c>
      <c r="E1102" s="142" t="s">
        <v>137</v>
      </c>
      <c r="F1102" s="170" t="s">
        <v>4344</v>
      </c>
      <c r="G1102" s="171">
        <v>45876.0</v>
      </c>
      <c r="H1102" s="172">
        <f t="shared" si="2"/>
        <v>0</v>
      </c>
      <c r="I1102" s="173" t="s">
        <v>4345</v>
      </c>
      <c r="J1102" s="171">
        <v>45876.0</v>
      </c>
      <c r="K1102" s="169" t="s">
        <v>2758</v>
      </c>
      <c r="L1102" s="282"/>
      <c r="M1102" s="282"/>
      <c r="N1102" s="282"/>
      <c r="O1102" s="282"/>
      <c r="P1102" s="282"/>
      <c r="Q1102" s="282"/>
      <c r="R1102" s="282"/>
      <c r="S1102" s="282"/>
      <c r="T1102" s="282"/>
      <c r="U1102" s="282"/>
      <c r="V1102" s="282"/>
      <c r="W1102" s="282"/>
      <c r="X1102" s="282"/>
      <c r="Y1102" s="282"/>
      <c r="Z1102" s="282"/>
      <c r="AA1102" s="282"/>
      <c r="AB1102" s="282"/>
      <c r="AC1102" s="282"/>
      <c r="AD1102" s="282"/>
    </row>
    <row r="1103">
      <c r="A1103" s="181">
        <v>16356.0</v>
      </c>
      <c r="B1103" s="176" t="s">
        <v>1335</v>
      </c>
      <c r="C1103" s="174">
        <v>2015.0</v>
      </c>
      <c r="D1103" s="176" t="s">
        <v>14</v>
      </c>
      <c r="E1103" s="176" t="s">
        <v>725</v>
      </c>
      <c r="F1103" s="177" t="s">
        <v>1336</v>
      </c>
      <c r="G1103" s="178">
        <v>45877.0</v>
      </c>
      <c r="H1103" s="179">
        <f t="shared" si="2"/>
        <v>25</v>
      </c>
      <c r="I1103" s="175" t="s">
        <v>4346</v>
      </c>
      <c r="J1103" s="269">
        <v>45902.0</v>
      </c>
      <c r="K1103" s="175" t="s">
        <v>2758</v>
      </c>
      <c r="L1103" s="282"/>
      <c r="M1103" s="282"/>
      <c r="N1103" s="282"/>
      <c r="O1103" s="282"/>
      <c r="P1103" s="282"/>
      <c r="Q1103" s="282"/>
      <c r="R1103" s="282"/>
      <c r="S1103" s="282"/>
      <c r="T1103" s="282"/>
      <c r="U1103" s="282"/>
      <c r="V1103" s="282"/>
      <c r="W1103" s="282"/>
      <c r="X1103" s="282"/>
      <c r="Y1103" s="282"/>
      <c r="Z1103" s="282"/>
      <c r="AA1103" s="282"/>
      <c r="AB1103" s="282"/>
      <c r="AC1103" s="282"/>
      <c r="AD1103" s="282"/>
    </row>
    <row r="1104">
      <c r="A1104" s="168">
        <v>16359.0</v>
      </c>
      <c r="B1104" s="169" t="s">
        <v>4347</v>
      </c>
      <c r="C1104" s="168">
        <v>2022.0</v>
      </c>
      <c r="D1104" s="142" t="s">
        <v>52</v>
      </c>
      <c r="E1104" s="142" t="s">
        <v>183</v>
      </c>
      <c r="F1104" s="170" t="s">
        <v>838</v>
      </c>
      <c r="G1104" s="171">
        <v>45877.0</v>
      </c>
      <c r="H1104" s="172">
        <f t="shared" si="2"/>
        <v>0</v>
      </c>
      <c r="I1104" s="173" t="s">
        <v>4348</v>
      </c>
      <c r="J1104" s="171">
        <v>45877.0</v>
      </c>
      <c r="K1104" s="169" t="s">
        <v>2758</v>
      </c>
      <c r="L1104" s="242"/>
      <c r="M1104" s="242"/>
      <c r="N1104" s="242"/>
      <c r="O1104" s="242"/>
      <c r="P1104" s="242"/>
      <c r="Q1104" s="242"/>
      <c r="R1104" s="242"/>
      <c r="S1104" s="242"/>
      <c r="T1104" s="242"/>
      <c r="U1104" s="242"/>
      <c r="V1104" s="242"/>
      <c r="W1104" s="242"/>
      <c r="X1104" s="242"/>
      <c r="Y1104" s="242"/>
      <c r="Z1104" s="242"/>
      <c r="AA1104" s="242"/>
      <c r="AB1104" s="242"/>
      <c r="AC1104" s="242"/>
      <c r="AD1104" s="242"/>
      <c r="AE1104" s="242"/>
      <c r="AF1104" s="242"/>
      <c r="AG1104" s="242"/>
      <c r="AH1104" s="242"/>
      <c r="AI1104" s="242"/>
      <c r="AJ1104" s="242"/>
      <c r="AK1104" s="242"/>
      <c r="AL1104" s="242"/>
      <c r="AM1104" s="242"/>
      <c r="AN1104" s="242"/>
      <c r="AO1104" s="242"/>
    </row>
    <row r="1105">
      <c r="A1105" s="174">
        <v>16360.0</v>
      </c>
      <c r="B1105" s="175" t="s">
        <v>4349</v>
      </c>
      <c r="C1105" s="174">
        <v>2022.0</v>
      </c>
      <c r="D1105" s="176" t="s">
        <v>52</v>
      </c>
      <c r="E1105" s="176" t="s">
        <v>183</v>
      </c>
      <c r="F1105" s="177" t="s">
        <v>1571</v>
      </c>
      <c r="G1105" s="178">
        <v>45877.0</v>
      </c>
      <c r="H1105" s="179">
        <f t="shared" si="2"/>
        <v>0</v>
      </c>
      <c r="I1105" s="180" t="s">
        <v>4350</v>
      </c>
      <c r="J1105" s="178">
        <v>45877.0</v>
      </c>
      <c r="K1105" s="175" t="s">
        <v>2758</v>
      </c>
      <c r="L1105" s="282"/>
      <c r="M1105" s="282"/>
      <c r="N1105" s="282"/>
      <c r="O1105" s="282"/>
      <c r="P1105" s="282"/>
      <c r="Q1105" s="282"/>
      <c r="R1105" s="282"/>
      <c r="S1105" s="282"/>
      <c r="T1105" s="282"/>
      <c r="U1105" s="282"/>
      <c r="V1105" s="282"/>
      <c r="W1105" s="282"/>
      <c r="X1105" s="282"/>
      <c r="Y1105" s="282"/>
      <c r="Z1105" s="282"/>
      <c r="AA1105" s="282"/>
      <c r="AB1105" s="282"/>
      <c r="AC1105" s="282"/>
      <c r="AD1105" s="282"/>
    </row>
    <row r="1106">
      <c r="A1106" s="183">
        <v>16362.0</v>
      </c>
      <c r="B1106" s="142" t="s">
        <v>1556</v>
      </c>
      <c r="C1106" s="168">
        <v>2015.0</v>
      </c>
      <c r="D1106" s="142" t="s">
        <v>206</v>
      </c>
      <c r="E1106" s="142" t="s">
        <v>725</v>
      </c>
      <c r="F1106" s="170" t="s">
        <v>1558</v>
      </c>
      <c r="G1106" s="171">
        <v>45877.0</v>
      </c>
      <c r="H1106" s="172">
        <f t="shared" si="2"/>
        <v>10</v>
      </c>
      <c r="I1106" s="169" t="s">
        <v>2265</v>
      </c>
      <c r="J1106" s="171">
        <v>45887.0</v>
      </c>
      <c r="K1106" s="169" t="s">
        <v>2758</v>
      </c>
      <c r="L1106" s="282"/>
      <c r="M1106" s="282"/>
      <c r="N1106" s="282"/>
      <c r="O1106" s="282"/>
      <c r="P1106" s="282"/>
      <c r="Q1106" s="282"/>
      <c r="R1106" s="282"/>
      <c r="S1106" s="282"/>
      <c r="T1106" s="282"/>
      <c r="U1106" s="282"/>
      <c r="V1106" s="282"/>
      <c r="W1106" s="282"/>
      <c r="X1106" s="282"/>
      <c r="Y1106" s="282"/>
      <c r="Z1106" s="282"/>
      <c r="AA1106" s="282"/>
      <c r="AB1106" s="282"/>
      <c r="AC1106" s="282"/>
      <c r="AD1106" s="282"/>
    </row>
    <row r="1107">
      <c r="A1107" s="181">
        <v>16370.0</v>
      </c>
      <c r="B1107" s="175" t="s">
        <v>2927</v>
      </c>
      <c r="C1107" s="174">
        <v>2022.0</v>
      </c>
      <c r="D1107" s="176" t="s">
        <v>59</v>
      </c>
      <c r="E1107" s="176" t="s">
        <v>610</v>
      </c>
      <c r="F1107" s="177" t="s">
        <v>2928</v>
      </c>
      <c r="G1107" s="178">
        <v>45880.0</v>
      </c>
      <c r="H1107" s="179">
        <f t="shared" si="2"/>
        <v>2</v>
      </c>
      <c r="I1107" s="180" t="s">
        <v>4351</v>
      </c>
      <c r="J1107" s="178">
        <v>45882.0</v>
      </c>
      <c r="K1107" s="175" t="s">
        <v>1200</v>
      </c>
      <c r="L1107" s="282"/>
      <c r="M1107" s="282"/>
      <c r="N1107" s="282"/>
      <c r="O1107" s="282"/>
      <c r="P1107" s="282"/>
      <c r="Q1107" s="282"/>
      <c r="R1107" s="282"/>
      <c r="S1107" s="282"/>
      <c r="T1107" s="282"/>
      <c r="U1107" s="282"/>
      <c r="V1107" s="282"/>
      <c r="W1107" s="282"/>
      <c r="X1107" s="282"/>
      <c r="Y1107" s="282"/>
      <c r="Z1107" s="282"/>
      <c r="AA1107" s="282"/>
      <c r="AB1107" s="282"/>
      <c r="AC1107" s="282"/>
      <c r="AD1107" s="282"/>
    </row>
    <row r="1108">
      <c r="A1108" s="183">
        <v>16371.0</v>
      </c>
      <c r="B1108" s="169" t="s">
        <v>767</v>
      </c>
      <c r="C1108" s="168">
        <v>2022.0</v>
      </c>
      <c r="D1108" s="142" t="s">
        <v>52</v>
      </c>
      <c r="E1108" s="142" t="s">
        <v>47</v>
      </c>
      <c r="F1108" s="170" t="s">
        <v>768</v>
      </c>
      <c r="G1108" s="171">
        <v>45880.0</v>
      </c>
      <c r="H1108" s="172">
        <f t="shared" si="2"/>
        <v>0</v>
      </c>
      <c r="I1108" s="173" t="s">
        <v>4352</v>
      </c>
      <c r="J1108" s="171">
        <v>45880.0</v>
      </c>
      <c r="K1108" s="169" t="s">
        <v>2758</v>
      </c>
      <c r="L1108" s="282"/>
      <c r="M1108" s="282"/>
      <c r="N1108" s="282"/>
      <c r="O1108" s="282"/>
      <c r="P1108" s="282"/>
      <c r="Q1108" s="282"/>
      <c r="R1108" s="282"/>
      <c r="S1108" s="282"/>
      <c r="T1108" s="282"/>
      <c r="U1108" s="282"/>
      <c r="V1108" s="282"/>
      <c r="W1108" s="282"/>
      <c r="X1108" s="282"/>
      <c r="Y1108" s="282"/>
      <c r="Z1108" s="282"/>
      <c r="AA1108" s="282"/>
      <c r="AB1108" s="282"/>
      <c r="AC1108" s="282"/>
      <c r="AD1108" s="282"/>
    </row>
    <row r="1109">
      <c r="A1109" s="181">
        <v>16375.0</v>
      </c>
      <c r="B1109" s="175" t="s">
        <v>490</v>
      </c>
      <c r="C1109" s="174">
        <v>2022.0</v>
      </c>
      <c r="D1109" s="176" t="s">
        <v>52</v>
      </c>
      <c r="E1109" s="176" t="s">
        <v>183</v>
      </c>
      <c r="F1109" s="177" t="s">
        <v>491</v>
      </c>
      <c r="G1109" s="178">
        <v>45880.0</v>
      </c>
      <c r="H1109" s="179">
        <f t="shared" si="2"/>
        <v>0</v>
      </c>
      <c r="I1109" s="180" t="s">
        <v>4353</v>
      </c>
      <c r="J1109" s="178">
        <v>45880.0</v>
      </c>
      <c r="K1109" s="175" t="s">
        <v>2758</v>
      </c>
      <c r="L1109" s="282"/>
      <c r="M1109" s="282"/>
      <c r="N1109" s="282"/>
      <c r="O1109" s="282"/>
      <c r="P1109" s="282"/>
      <c r="Q1109" s="282"/>
      <c r="R1109" s="282"/>
      <c r="S1109" s="282"/>
      <c r="T1109" s="282"/>
      <c r="U1109" s="282"/>
      <c r="V1109" s="282"/>
      <c r="W1109" s="282"/>
      <c r="X1109" s="282"/>
      <c r="Y1109" s="282"/>
      <c r="Z1109" s="282"/>
      <c r="AA1109" s="282"/>
      <c r="AB1109" s="282"/>
      <c r="AC1109" s="282"/>
      <c r="AD1109" s="282"/>
    </row>
    <row r="1110">
      <c r="A1110" s="183">
        <v>16377.0</v>
      </c>
      <c r="B1110" s="169" t="s">
        <v>2048</v>
      </c>
      <c r="C1110" s="168">
        <v>2022.0</v>
      </c>
      <c r="D1110" s="142" t="s">
        <v>52</v>
      </c>
      <c r="E1110" s="142" t="s">
        <v>41</v>
      </c>
      <c r="F1110" s="170" t="s">
        <v>2049</v>
      </c>
      <c r="G1110" s="171">
        <v>45880.0</v>
      </c>
      <c r="H1110" s="172">
        <f t="shared" si="2"/>
        <v>0</v>
      </c>
      <c r="I1110" s="173" t="s">
        <v>4354</v>
      </c>
      <c r="J1110" s="171">
        <v>45880.0</v>
      </c>
      <c r="K1110" s="169" t="s">
        <v>2758</v>
      </c>
    </row>
    <row r="1111">
      <c r="A1111" s="181">
        <v>16379.0</v>
      </c>
      <c r="B1111" s="175" t="s">
        <v>1206</v>
      </c>
      <c r="C1111" s="174">
        <v>2020.0</v>
      </c>
      <c r="D1111" s="176" t="s">
        <v>358</v>
      </c>
      <c r="E1111" s="176" t="s">
        <v>235</v>
      </c>
      <c r="F1111" s="177" t="s">
        <v>1207</v>
      </c>
      <c r="G1111" s="178">
        <v>45881.0</v>
      </c>
      <c r="H1111" s="179">
        <f t="shared" si="2"/>
        <v>0</v>
      </c>
      <c r="I1111" s="180" t="s">
        <v>3811</v>
      </c>
      <c r="J1111" s="178">
        <v>45881.0</v>
      </c>
      <c r="K1111" s="175" t="s">
        <v>2758</v>
      </c>
      <c r="L1111" s="282"/>
      <c r="M1111" s="282"/>
      <c r="N1111" s="282"/>
      <c r="O1111" s="282"/>
      <c r="P1111" s="282"/>
      <c r="Q1111" s="282"/>
      <c r="R1111" s="282"/>
      <c r="S1111" s="282"/>
      <c r="T1111" s="282"/>
      <c r="U1111" s="282"/>
      <c r="V1111" s="282"/>
      <c r="W1111" s="282"/>
      <c r="X1111" s="282"/>
      <c r="Y1111" s="282"/>
      <c r="Z1111" s="282"/>
      <c r="AA1111" s="282"/>
      <c r="AB1111" s="282"/>
      <c r="AC1111" s="282"/>
      <c r="AD1111" s="282"/>
    </row>
    <row r="1112">
      <c r="A1112" s="183">
        <v>16383.0</v>
      </c>
      <c r="B1112" s="169" t="s">
        <v>705</v>
      </c>
      <c r="C1112" s="168">
        <v>2022.0</v>
      </c>
      <c r="D1112" s="142" t="s">
        <v>52</v>
      </c>
      <c r="E1112" s="142" t="s">
        <v>169</v>
      </c>
      <c r="F1112" s="170" t="s">
        <v>706</v>
      </c>
      <c r="G1112" s="171">
        <v>45881.0</v>
      </c>
      <c r="H1112" s="172">
        <f t="shared" si="2"/>
        <v>0</v>
      </c>
      <c r="I1112" s="173" t="s">
        <v>4355</v>
      </c>
      <c r="J1112" s="171">
        <v>45881.0</v>
      </c>
      <c r="K1112" s="169" t="s">
        <v>31</v>
      </c>
      <c r="L1112" s="152" t="s">
        <v>2758</v>
      </c>
      <c r="M1112" s="152" t="s">
        <v>2758</v>
      </c>
      <c r="N1112" s="152" t="s">
        <v>2758</v>
      </c>
      <c r="O1112" s="152" t="s">
        <v>2758</v>
      </c>
      <c r="P1112" s="152" t="s">
        <v>2758</v>
      </c>
      <c r="Q1112" s="152" t="s">
        <v>2758</v>
      </c>
      <c r="R1112" s="152" t="s">
        <v>2758</v>
      </c>
      <c r="S1112" s="152" t="s">
        <v>2758</v>
      </c>
      <c r="T1112" s="152" t="s">
        <v>2758</v>
      </c>
      <c r="U1112" s="152" t="s">
        <v>2758</v>
      </c>
      <c r="V1112" s="152" t="s">
        <v>2758</v>
      </c>
      <c r="W1112" s="152" t="s">
        <v>2758</v>
      </c>
      <c r="X1112" s="152" t="s">
        <v>2758</v>
      </c>
      <c r="Y1112" s="152" t="s">
        <v>2758</v>
      </c>
      <c r="Z1112" s="152" t="s">
        <v>2758</v>
      </c>
      <c r="AA1112" s="152" t="s">
        <v>2758</v>
      </c>
      <c r="AB1112" s="152" t="s">
        <v>2758</v>
      </c>
      <c r="AC1112" s="152" t="s">
        <v>2758</v>
      </c>
      <c r="AD1112" s="152" t="s">
        <v>2758</v>
      </c>
    </row>
    <row r="1113">
      <c r="A1113" s="181">
        <v>16388.0</v>
      </c>
      <c r="B1113" s="175" t="s">
        <v>4356</v>
      </c>
      <c r="C1113" s="174">
        <v>2015.0</v>
      </c>
      <c r="D1113" s="176" t="s">
        <v>14</v>
      </c>
      <c r="E1113" s="176" t="s">
        <v>82</v>
      </c>
      <c r="F1113" s="177" t="s">
        <v>4357</v>
      </c>
      <c r="G1113" s="178">
        <v>45881.0</v>
      </c>
      <c r="H1113" s="179">
        <f t="shared" si="2"/>
        <v>0</v>
      </c>
      <c r="I1113" s="180" t="s">
        <v>4358</v>
      </c>
      <c r="J1113" s="178">
        <v>45881.0</v>
      </c>
      <c r="K1113" s="175" t="s">
        <v>2758</v>
      </c>
      <c r="L1113" s="282"/>
      <c r="M1113" s="282"/>
      <c r="N1113" s="282"/>
      <c r="O1113" s="282"/>
      <c r="P1113" s="282"/>
      <c r="Q1113" s="282"/>
      <c r="R1113" s="282"/>
      <c r="S1113" s="282"/>
      <c r="T1113" s="282"/>
      <c r="U1113" s="282"/>
      <c r="V1113" s="282"/>
      <c r="W1113" s="282"/>
      <c r="X1113" s="282"/>
      <c r="Y1113" s="282"/>
      <c r="Z1113" s="282"/>
      <c r="AA1113" s="282"/>
      <c r="AB1113" s="282"/>
      <c r="AC1113" s="282"/>
      <c r="AD1113" s="282"/>
    </row>
    <row r="1114">
      <c r="A1114" s="183">
        <v>16395.0</v>
      </c>
      <c r="B1114" s="142" t="s">
        <v>2392</v>
      </c>
      <c r="C1114" s="168">
        <v>2018.0</v>
      </c>
      <c r="D1114" s="142" t="s">
        <v>14</v>
      </c>
      <c r="E1114" s="142" t="s">
        <v>53</v>
      </c>
      <c r="F1114" s="170" t="s">
        <v>2393</v>
      </c>
      <c r="G1114" s="171">
        <v>45882.0</v>
      </c>
      <c r="H1114" s="172">
        <f t="shared" si="2"/>
        <v>35</v>
      </c>
      <c r="I1114" s="169" t="s">
        <v>4359</v>
      </c>
      <c r="J1114" s="268">
        <v>45917.0</v>
      </c>
      <c r="K1114" s="169" t="s">
        <v>31</v>
      </c>
      <c r="L1114" s="282"/>
      <c r="M1114" s="282"/>
      <c r="N1114" s="282"/>
      <c r="O1114" s="282"/>
      <c r="P1114" s="282"/>
      <c r="Q1114" s="282"/>
      <c r="R1114" s="282"/>
      <c r="S1114" s="282"/>
      <c r="T1114" s="282"/>
      <c r="U1114" s="282"/>
      <c r="V1114" s="282"/>
      <c r="W1114" s="282"/>
      <c r="X1114" s="282"/>
      <c r="Y1114" s="282"/>
      <c r="Z1114" s="282"/>
      <c r="AA1114" s="282"/>
      <c r="AB1114" s="282"/>
      <c r="AC1114" s="282"/>
      <c r="AD1114" s="282"/>
    </row>
    <row r="1115">
      <c r="A1115" s="181">
        <v>16396.0</v>
      </c>
      <c r="B1115" s="175" t="s">
        <v>1253</v>
      </c>
      <c r="C1115" s="174">
        <v>2022.0</v>
      </c>
      <c r="D1115" s="176" t="s">
        <v>52</v>
      </c>
      <c r="E1115" s="176" t="s">
        <v>459</v>
      </c>
      <c r="F1115" s="177" t="s">
        <v>1254</v>
      </c>
      <c r="G1115" s="178">
        <v>45882.0</v>
      </c>
      <c r="H1115" s="179">
        <f t="shared" si="2"/>
        <v>0</v>
      </c>
      <c r="I1115" s="180" t="s">
        <v>4360</v>
      </c>
      <c r="J1115" s="178">
        <v>45882.0</v>
      </c>
      <c r="K1115" s="175" t="s">
        <v>2758</v>
      </c>
      <c r="L1115" s="242"/>
      <c r="M1115" s="242"/>
      <c r="N1115" s="242"/>
      <c r="O1115" s="242"/>
      <c r="P1115" s="242"/>
      <c r="Q1115" s="242"/>
      <c r="R1115" s="242"/>
      <c r="S1115" s="242"/>
      <c r="T1115" s="242"/>
      <c r="U1115" s="242"/>
      <c r="V1115" s="242"/>
      <c r="W1115" s="242"/>
      <c r="X1115" s="242"/>
      <c r="Y1115" s="242"/>
      <c r="Z1115" s="242"/>
      <c r="AA1115" s="242"/>
      <c r="AB1115" s="242"/>
      <c r="AC1115" s="242"/>
      <c r="AD1115" s="242"/>
      <c r="AE1115" s="242"/>
      <c r="AF1115" s="242"/>
      <c r="AG1115" s="242"/>
      <c r="AH1115" s="242"/>
      <c r="AI1115" s="242"/>
      <c r="AJ1115" s="242"/>
      <c r="AK1115" s="242"/>
      <c r="AL1115" s="242"/>
      <c r="AM1115" s="242"/>
      <c r="AN1115" s="242"/>
      <c r="AO1115" s="242"/>
    </row>
    <row r="1116">
      <c r="A1116" s="183">
        <v>16397.0</v>
      </c>
      <c r="B1116" s="169" t="s">
        <v>1503</v>
      </c>
      <c r="C1116" s="168">
        <v>2022.0</v>
      </c>
      <c r="D1116" s="142" t="s">
        <v>14</v>
      </c>
      <c r="E1116" s="142" t="s">
        <v>610</v>
      </c>
      <c r="F1116" s="170" t="s">
        <v>1504</v>
      </c>
      <c r="G1116" s="171">
        <v>45882.0</v>
      </c>
      <c r="H1116" s="172">
        <f t="shared" si="2"/>
        <v>1</v>
      </c>
      <c r="I1116" s="173" t="s">
        <v>4361</v>
      </c>
      <c r="J1116" s="171">
        <v>45883.0</v>
      </c>
      <c r="K1116" s="169" t="s">
        <v>37</v>
      </c>
      <c r="L1116" s="282"/>
      <c r="M1116" s="282"/>
      <c r="N1116" s="282"/>
      <c r="O1116" s="282"/>
      <c r="P1116" s="282"/>
      <c r="Q1116" s="282"/>
      <c r="R1116" s="282"/>
      <c r="S1116" s="282"/>
      <c r="T1116" s="282"/>
      <c r="U1116" s="282"/>
      <c r="V1116" s="282"/>
      <c r="W1116" s="282"/>
      <c r="X1116" s="282"/>
      <c r="Y1116" s="282"/>
      <c r="Z1116" s="282"/>
      <c r="AA1116" s="282"/>
      <c r="AB1116" s="282"/>
      <c r="AC1116" s="282"/>
      <c r="AD1116" s="282"/>
    </row>
    <row r="1117">
      <c r="A1117" s="181">
        <v>16412.0</v>
      </c>
      <c r="B1117" s="176" t="s">
        <v>2256</v>
      </c>
      <c r="C1117" s="174">
        <v>2019.0</v>
      </c>
      <c r="D1117" s="176" t="s">
        <v>197</v>
      </c>
      <c r="E1117" s="176" t="s">
        <v>125</v>
      </c>
      <c r="F1117" s="177" t="s">
        <v>2257</v>
      </c>
      <c r="G1117" s="178">
        <v>45884.0</v>
      </c>
      <c r="H1117" s="179">
        <f t="shared" si="2"/>
        <v>3</v>
      </c>
      <c r="I1117" s="175" t="s">
        <v>4362</v>
      </c>
      <c r="J1117" s="269">
        <v>45887.0</v>
      </c>
      <c r="K1117" s="175" t="s">
        <v>31</v>
      </c>
      <c r="L1117" s="282"/>
      <c r="M1117" s="282"/>
      <c r="N1117" s="282"/>
      <c r="O1117" s="282"/>
      <c r="P1117" s="282"/>
      <c r="Q1117" s="282"/>
      <c r="R1117" s="282"/>
      <c r="S1117" s="282"/>
      <c r="T1117" s="282"/>
      <c r="U1117" s="282"/>
      <c r="V1117" s="282"/>
      <c r="W1117" s="282"/>
      <c r="X1117" s="282"/>
      <c r="Y1117" s="282"/>
      <c r="Z1117" s="282"/>
      <c r="AA1117" s="282"/>
      <c r="AB1117" s="282"/>
      <c r="AC1117" s="282"/>
      <c r="AD1117" s="282"/>
    </row>
    <row r="1118">
      <c r="A1118" s="183">
        <v>16414.0</v>
      </c>
      <c r="B1118" s="142" t="s">
        <v>3844</v>
      </c>
      <c r="C1118" s="168">
        <v>2022.0</v>
      </c>
      <c r="D1118" s="142" t="s">
        <v>14</v>
      </c>
      <c r="E1118" s="142" t="s">
        <v>610</v>
      </c>
      <c r="F1118" s="170" t="s">
        <v>3845</v>
      </c>
      <c r="G1118" s="171">
        <v>45884.0</v>
      </c>
      <c r="H1118" s="172">
        <f t="shared" si="2"/>
        <v>0</v>
      </c>
      <c r="I1118" s="169" t="s">
        <v>4363</v>
      </c>
      <c r="J1118" s="171">
        <v>45884.0</v>
      </c>
      <c r="K1118" s="169" t="s">
        <v>2758</v>
      </c>
      <c r="L1118" s="282"/>
      <c r="M1118" s="282"/>
      <c r="N1118" s="282"/>
      <c r="O1118" s="282"/>
      <c r="P1118" s="282"/>
      <c r="Q1118" s="282"/>
      <c r="R1118" s="282"/>
      <c r="S1118" s="282"/>
      <c r="T1118" s="282"/>
      <c r="U1118" s="282"/>
      <c r="V1118" s="282"/>
      <c r="W1118" s="282"/>
      <c r="X1118" s="282"/>
      <c r="Y1118" s="282"/>
      <c r="Z1118" s="282"/>
      <c r="AA1118" s="282"/>
      <c r="AB1118" s="282"/>
      <c r="AC1118" s="282"/>
      <c r="AD1118" s="282"/>
    </row>
    <row r="1119">
      <c r="A1119" s="181">
        <v>16426.0</v>
      </c>
      <c r="B1119" s="175" t="s">
        <v>417</v>
      </c>
      <c r="C1119" s="174">
        <v>2022.0</v>
      </c>
      <c r="D1119" s="176" t="s">
        <v>52</v>
      </c>
      <c r="E1119" s="176" t="s">
        <v>418</v>
      </c>
      <c r="F1119" s="177" t="s">
        <v>419</v>
      </c>
      <c r="G1119" s="178">
        <v>45887.0</v>
      </c>
      <c r="H1119" s="179">
        <f t="shared" si="2"/>
        <v>0</v>
      </c>
      <c r="I1119" s="180" t="s">
        <v>4364</v>
      </c>
      <c r="J1119" s="178">
        <v>45887.0</v>
      </c>
      <c r="K1119" s="175" t="s">
        <v>2758</v>
      </c>
      <c r="L1119" s="282"/>
      <c r="M1119" s="282"/>
      <c r="N1119" s="282"/>
      <c r="O1119" s="282"/>
      <c r="P1119" s="282"/>
      <c r="Q1119" s="282"/>
      <c r="R1119" s="282"/>
      <c r="S1119" s="282"/>
      <c r="T1119" s="282"/>
      <c r="U1119" s="282"/>
      <c r="V1119" s="282"/>
      <c r="W1119" s="282"/>
      <c r="X1119" s="282"/>
      <c r="Y1119" s="282"/>
      <c r="Z1119" s="282"/>
      <c r="AA1119" s="282"/>
      <c r="AB1119" s="282"/>
      <c r="AC1119" s="282"/>
      <c r="AD1119" s="282"/>
    </row>
    <row r="1120">
      <c r="A1120" s="183">
        <v>16431.0</v>
      </c>
      <c r="B1120" s="169" t="s">
        <v>4365</v>
      </c>
      <c r="C1120" s="168">
        <v>2022.0</v>
      </c>
      <c r="D1120" s="142" t="s">
        <v>197</v>
      </c>
      <c r="E1120" s="142" t="s">
        <v>82</v>
      </c>
      <c r="F1120" s="170" t="s">
        <v>4366</v>
      </c>
      <c r="G1120" s="171">
        <v>45887.0</v>
      </c>
      <c r="H1120" s="172">
        <f t="shared" si="2"/>
        <v>0</v>
      </c>
      <c r="I1120" s="173" t="s">
        <v>4367</v>
      </c>
      <c r="J1120" s="171">
        <v>45887.0</v>
      </c>
      <c r="K1120" s="169" t="s">
        <v>31</v>
      </c>
      <c r="L1120" s="282"/>
      <c r="M1120" s="282"/>
      <c r="N1120" s="282"/>
      <c r="O1120" s="282"/>
      <c r="P1120" s="282"/>
      <c r="Q1120" s="282"/>
      <c r="R1120" s="282"/>
      <c r="S1120" s="282"/>
      <c r="T1120" s="282"/>
      <c r="U1120" s="282"/>
      <c r="V1120" s="282"/>
      <c r="W1120" s="282"/>
      <c r="X1120" s="282"/>
      <c r="Y1120" s="282"/>
      <c r="Z1120" s="282"/>
      <c r="AA1120" s="282"/>
      <c r="AB1120" s="282"/>
      <c r="AC1120" s="282"/>
      <c r="AD1120" s="282"/>
    </row>
    <row r="1121">
      <c r="A1121" s="181">
        <v>16433.0</v>
      </c>
      <c r="B1121" s="175" t="s">
        <v>915</v>
      </c>
      <c r="C1121" s="174">
        <v>2022.0</v>
      </c>
      <c r="D1121" s="176" t="s">
        <v>52</v>
      </c>
      <c r="E1121" s="176" t="s">
        <v>912</v>
      </c>
      <c r="F1121" s="177" t="s">
        <v>916</v>
      </c>
      <c r="G1121" s="178">
        <v>45887.0</v>
      </c>
      <c r="H1121" s="179">
        <f t="shared" si="2"/>
        <v>0</v>
      </c>
      <c r="I1121" s="180" t="s">
        <v>4368</v>
      </c>
      <c r="J1121" s="178">
        <v>45887.0</v>
      </c>
      <c r="K1121" s="175" t="s">
        <v>2758</v>
      </c>
      <c r="L1121" s="282"/>
      <c r="M1121" s="282"/>
      <c r="N1121" s="282"/>
      <c r="O1121" s="282"/>
      <c r="P1121" s="282"/>
      <c r="Q1121" s="282"/>
      <c r="R1121" s="282"/>
      <c r="S1121" s="282"/>
      <c r="T1121" s="282"/>
      <c r="U1121" s="282"/>
      <c r="V1121" s="282"/>
      <c r="W1121" s="282"/>
      <c r="X1121" s="282"/>
      <c r="Y1121" s="282"/>
      <c r="Z1121" s="282"/>
      <c r="AA1121" s="282"/>
      <c r="AB1121" s="282"/>
      <c r="AC1121" s="282"/>
      <c r="AD1121" s="282"/>
    </row>
    <row r="1122">
      <c r="A1122" s="183">
        <v>16437.0</v>
      </c>
      <c r="B1122" s="142" t="s">
        <v>910</v>
      </c>
      <c r="C1122" s="168">
        <v>2018.0</v>
      </c>
      <c r="D1122" s="142" t="s">
        <v>14</v>
      </c>
      <c r="E1122" s="142" t="s">
        <v>912</v>
      </c>
      <c r="F1122" s="170" t="s">
        <v>913</v>
      </c>
      <c r="G1122" s="171">
        <v>45888.0</v>
      </c>
      <c r="H1122" s="172">
        <f t="shared" si="2"/>
        <v>2</v>
      </c>
      <c r="I1122" s="169" t="s">
        <v>533</v>
      </c>
      <c r="J1122" s="268">
        <v>45890.0</v>
      </c>
      <c r="K1122" s="169" t="s">
        <v>31</v>
      </c>
      <c r="L1122" s="282"/>
      <c r="M1122" s="282"/>
      <c r="N1122" s="282"/>
      <c r="O1122" s="282"/>
      <c r="P1122" s="282"/>
      <c r="Q1122" s="282"/>
      <c r="R1122" s="282"/>
      <c r="S1122" s="282"/>
      <c r="T1122" s="282"/>
      <c r="U1122" s="282"/>
      <c r="V1122" s="282"/>
      <c r="W1122" s="282"/>
      <c r="X1122" s="282"/>
      <c r="Y1122" s="282"/>
      <c r="Z1122" s="282"/>
      <c r="AA1122" s="282"/>
      <c r="AB1122" s="282"/>
      <c r="AC1122" s="282"/>
      <c r="AD1122" s="282"/>
    </row>
    <row r="1123">
      <c r="A1123" s="181">
        <v>16446.0</v>
      </c>
      <c r="B1123" s="175" t="s">
        <v>2424</v>
      </c>
      <c r="C1123" s="174">
        <v>2022.0</v>
      </c>
      <c r="D1123" s="176" t="s">
        <v>52</v>
      </c>
      <c r="E1123" s="176" t="s">
        <v>459</v>
      </c>
      <c r="F1123" s="177" t="s">
        <v>3625</v>
      </c>
      <c r="G1123" s="178">
        <v>45889.0</v>
      </c>
      <c r="H1123" s="179">
        <f t="shared" si="2"/>
        <v>0</v>
      </c>
      <c r="I1123" s="180" t="s">
        <v>4369</v>
      </c>
      <c r="J1123" s="178">
        <v>45889.0</v>
      </c>
      <c r="K1123" s="175" t="s">
        <v>2758</v>
      </c>
      <c r="L1123" s="282"/>
      <c r="M1123" s="282"/>
      <c r="N1123" s="282"/>
      <c r="O1123" s="282"/>
      <c r="P1123" s="282"/>
      <c r="Q1123" s="282"/>
      <c r="R1123" s="282"/>
      <c r="S1123" s="282"/>
      <c r="T1123" s="282"/>
      <c r="U1123" s="282"/>
      <c r="V1123" s="282"/>
      <c r="W1123" s="282"/>
      <c r="X1123" s="282"/>
      <c r="Y1123" s="282"/>
      <c r="Z1123" s="282"/>
      <c r="AA1123" s="282"/>
      <c r="AB1123" s="282"/>
      <c r="AC1123" s="282"/>
      <c r="AD1123" s="282"/>
    </row>
    <row r="1124">
      <c r="A1124" s="183">
        <v>16448.0</v>
      </c>
      <c r="B1124" s="142" t="s">
        <v>2156</v>
      </c>
      <c r="C1124" s="168">
        <v>2014.0</v>
      </c>
      <c r="D1124" s="142" t="s">
        <v>130</v>
      </c>
      <c r="E1124" s="142" t="s">
        <v>4370</v>
      </c>
      <c r="F1124" s="170" t="s">
        <v>2158</v>
      </c>
      <c r="G1124" s="171">
        <v>45889.0</v>
      </c>
      <c r="H1124" s="172">
        <f t="shared" si="2"/>
        <v>0</v>
      </c>
      <c r="I1124" s="169" t="s">
        <v>4371</v>
      </c>
      <c r="J1124" s="171">
        <v>45889.0</v>
      </c>
      <c r="K1124" s="169" t="s">
        <v>2758</v>
      </c>
      <c r="L1124" s="282"/>
      <c r="M1124" s="282"/>
      <c r="N1124" s="282"/>
      <c r="O1124" s="282"/>
      <c r="P1124" s="282"/>
      <c r="Q1124" s="282"/>
      <c r="R1124" s="282"/>
      <c r="S1124" s="282"/>
      <c r="T1124" s="282"/>
      <c r="U1124" s="282"/>
      <c r="V1124" s="282"/>
      <c r="W1124" s="282"/>
      <c r="X1124" s="282"/>
      <c r="Y1124" s="282"/>
      <c r="Z1124" s="282"/>
      <c r="AA1124" s="282"/>
      <c r="AB1124" s="282"/>
      <c r="AC1124" s="282"/>
      <c r="AD1124" s="282"/>
    </row>
    <row r="1125">
      <c r="A1125" s="181">
        <v>16449.0</v>
      </c>
      <c r="B1125" s="176" t="s">
        <v>450</v>
      </c>
      <c r="C1125" s="174">
        <v>2019.0</v>
      </c>
      <c r="D1125" s="176" t="s">
        <v>451</v>
      </c>
      <c r="E1125" s="176" t="s">
        <v>125</v>
      </c>
      <c r="F1125" s="177" t="s">
        <v>453</v>
      </c>
      <c r="G1125" s="178">
        <v>45889.0</v>
      </c>
      <c r="H1125" s="179">
        <f t="shared" si="2"/>
        <v>1</v>
      </c>
      <c r="I1125" s="182" t="s">
        <v>4372</v>
      </c>
      <c r="J1125" s="269">
        <v>45890.0</v>
      </c>
      <c r="K1125" s="175" t="s">
        <v>1200</v>
      </c>
      <c r="L1125" s="282"/>
      <c r="M1125" s="282"/>
      <c r="N1125" s="282"/>
      <c r="O1125" s="282"/>
      <c r="P1125" s="282"/>
      <c r="Q1125" s="282"/>
      <c r="R1125" s="282"/>
      <c r="S1125" s="282"/>
      <c r="T1125" s="282"/>
      <c r="U1125" s="282"/>
      <c r="V1125" s="282"/>
      <c r="W1125" s="282"/>
      <c r="X1125" s="282"/>
      <c r="Y1125" s="282"/>
      <c r="Z1125" s="282"/>
      <c r="AA1125" s="282"/>
      <c r="AB1125" s="282"/>
      <c r="AC1125" s="282"/>
      <c r="AD1125" s="282"/>
    </row>
    <row r="1126">
      <c r="A1126" s="183">
        <v>16452.0</v>
      </c>
      <c r="B1126" s="169" t="s">
        <v>1641</v>
      </c>
      <c r="C1126" s="168">
        <v>2017.0</v>
      </c>
      <c r="D1126" s="142" t="s">
        <v>52</v>
      </c>
      <c r="E1126" s="142" t="s">
        <v>1639</v>
      </c>
      <c r="F1126" s="170" t="s">
        <v>1642</v>
      </c>
      <c r="G1126" s="171">
        <v>45889.0</v>
      </c>
      <c r="H1126" s="172">
        <f t="shared" si="2"/>
        <v>0</v>
      </c>
      <c r="I1126" s="173" t="s">
        <v>4373</v>
      </c>
      <c r="J1126" s="171">
        <v>45889.0</v>
      </c>
      <c r="K1126" s="169" t="s">
        <v>2758</v>
      </c>
      <c r="L1126" s="242"/>
      <c r="M1126" s="242"/>
      <c r="N1126" s="242"/>
      <c r="O1126" s="242"/>
      <c r="P1126" s="242"/>
      <c r="Q1126" s="242"/>
      <c r="R1126" s="242"/>
      <c r="S1126" s="242"/>
      <c r="T1126" s="242"/>
      <c r="U1126" s="242"/>
      <c r="V1126" s="242"/>
      <c r="W1126" s="242"/>
      <c r="X1126" s="242"/>
      <c r="Y1126" s="242"/>
      <c r="Z1126" s="242"/>
      <c r="AA1126" s="242"/>
      <c r="AB1126" s="242"/>
      <c r="AC1126" s="242"/>
      <c r="AD1126" s="242"/>
      <c r="AE1126" s="242"/>
      <c r="AF1126" s="242"/>
      <c r="AG1126" s="242"/>
      <c r="AH1126" s="242"/>
      <c r="AI1126" s="242"/>
      <c r="AJ1126" s="242"/>
      <c r="AK1126" s="242"/>
      <c r="AL1126" s="242"/>
      <c r="AM1126" s="242"/>
      <c r="AN1126" s="242"/>
      <c r="AO1126" s="242"/>
    </row>
    <row r="1127">
      <c r="A1127" s="181">
        <v>16456.0</v>
      </c>
      <c r="B1127" s="175" t="s">
        <v>1503</v>
      </c>
      <c r="C1127" s="174">
        <v>2022.0</v>
      </c>
      <c r="D1127" s="176" t="s">
        <v>14</v>
      </c>
      <c r="E1127" s="176" t="s">
        <v>610</v>
      </c>
      <c r="F1127" s="177" t="s">
        <v>1504</v>
      </c>
      <c r="G1127" s="178">
        <v>45890.0</v>
      </c>
      <c r="H1127" s="179">
        <f t="shared" si="2"/>
        <v>0</v>
      </c>
      <c r="I1127" s="180" t="s">
        <v>4374</v>
      </c>
      <c r="J1127" s="178">
        <v>45890.0</v>
      </c>
      <c r="K1127" s="175" t="s">
        <v>2758</v>
      </c>
      <c r="L1127" s="282"/>
      <c r="M1127" s="282"/>
      <c r="N1127" s="282"/>
      <c r="O1127" s="282"/>
      <c r="P1127" s="282"/>
      <c r="Q1127" s="282"/>
      <c r="R1127" s="282"/>
      <c r="S1127" s="282"/>
      <c r="T1127" s="282"/>
      <c r="U1127" s="282"/>
      <c r="V1127" s="282"/>
      <c r="W1127" s="282"/>
      <c r="X1127" s="282"/>
      <c r="Y1127" s="282"/>
      <c r="Z1127" s="282"/>
      <c r="AA1127" s="282"/>
      <c r="AB1127" s="282"/>
      <c r="AC1127" s="282"/>
      <c r="AD1127" s="282"/>
    </row>
    <row r="1128">
      <c r="A1128" s="183">
        <v>16458.0</v>
      </c>
      <c r="B1128" s="169" t="s">
        <v>1052</v>
      </c>
      <c r="C1128" s="168">
        <v>2022.0</v>
      </c>
      <c r="D1128" s="142" t="s">
        <v>52</v>
      </c>
      <c r="E1128" s="142" t="s">
        <v>912</v>
      </c>
      <c r="F1128" s="170" t="s">
        <v>1053</v>
      </c>
      <c r="G1128" s="171">
        <v>45890.0</v>
      </c>
      <c r="H1128" s="172">
        <f t="shared" si="2"/>
        <v>0</v>
      </c>
      <c r="I1128" s="173" t="s">
        <v>4375</v>
      </c>
      <c r="J1128" s="171">
        <v>45890.0</v>
      </c>
      <c r="K1128" s="169" t="s">
        <v>2758</v>
      </c>
      <c r="L1128" s="282"/>
      <c r="M1128" s="282"/>
      <c r="N1128" s="282"/>
      <c r="O1128" s="282"/>
      <c r="P1128" s="282"/>
      <c r="Q1128" s="282"/>
      <c r="R1128" s="282"/>
      <c r="S1128" s="282"/>
      <c r="T1128" s="282"/>
      <c r="U1128" s="282"/>
      <c r="V1128" s="282"/>
      <c r="W1128" s="282"/>
      <c r="X1128" s="282"/>
      <c r="Y1128" s="282"/>
      <c r="Z1128" s="282"/>
      <c r="AA1128" s="282"/>
      <c r="AB1128" s="282"/>
      <c r="AC1128" s="282"/>
      <c r="AD1128" s="282"/>
    </row>
    <row r="1129">
      <c r="A1129" s="181">
        <v>16459.0</v>
      </c>
      <c r="B1129" s="176" t="s">
        <v>3593</v>
      </c>
      <c r="C1129" s="174">
        <v>2010.0</v>
      </c>
      <c r="D1129" s="176" t="s">
        <v>367</v>
      </c>
      <c r="E1129" s="176" t="s">
        <v>2993</v>
      </c>
      <c r="F1129" s="177" t="s">
        <v>3594</v>
      </c>
      <c r="G1129" s="178">
        <v>45890.0</v>
      </c>
      <c r="H1129" s="179">
        <f t="shared" si="2"/>
        <v>15</v>
      </c>
      <c r="I1129" s="175" t="s">
        <v>668</v>
      </c>
      <c r="J1129" s="269">
        <v>45905.0</v>
      </c>
      <c r="K1129" s="175" t="s">
        <v>31</v>
      </c>
      <c r="L1129" s="282"/>
      <c r="M1129" s="282"/>
      <c r="N1129" s="282"/>
      <c r="O1129" s="282"/>
      <c r="P1129" s="282"/>
      <c r="Q1129" s="282"/>
      <c r="R1129" s="282"/>
      <c r="S1129" s="282"/>
      <c r="T1129" s="282"/>
      <c r="U1129" s="282"/>
      <c r="V1129" s="282"/>
      <c r="W1129" s="282"/>
      <c r="X1129" s="282"/>
      <c r="Y1129" s="282"/>
      <c r="Z1129" s="282"/>
      <c r="AA1129" s="282"/>
      <c r="AB1129" s="282"/>
      <c r="AC1129" s="282"/>
      <c r="AD1129" s="282"/>
    </row>
    <row r="1130">
      <c r="A1130" s="183">
        <v>16460.0</v>
      </c>
      <c r="B1130" s="169" t="s">
        <v>1284</v>
      </c>
      <c r="C1130" s="168">
        <v>2015.0</v>
      </c>
      <c r="D1130" s="142" t="s">
        <v>52</v>
      </c>
      <c r="E1130" s="142" t="s">
        <v>125</v>
      </c>
      <c r="F1130" s="170" t="s">
        <v>1285</v>
      </c>
      <c r="G1130" s="171">
        <v>45887.0</v>
      </c>
      <c r="H1130" s="172">
        <f t="shared" si="2"/>
        <v>0</v>
      </c>
      <c r="I1130" s="173" t="s">
        <v>4376</v>
      </c>
      <c r="J1130" s="171">
        <v>45887.0</v>
      </c>
      <c r="K1130" s="169" t="s">
        <v>37</v>
      </c>
      <c r="L1130" s="282"/>
      <c r="M1130" s="282"/>
      <c r="N1130" s="282"/>
      <c r="O1130" s="282"/>
      <c r="P1130" s="282"/>
      <c r="Q1130" s="282"/>
      <c r="R1130" s="282"/>
      <c r="S1130" s="282"/>
      <c r="T1130" s="282"/>
      <c r="U1130" s="282"/>
      <c r="V1130" s="282"/>
      <c r="W1130" s="282"/>
      <c r="X1130" s="282"/>
      <c r="Y1130" s="282"/>
      <c r="Z1130" s="282"/>
      <c r="AA1130" s="282"/>
      <c r="AB1130" s="282"/>
      <c r="AC1130" s="282"/>
      <c r="AD1130" s="282"/>
    </row>
    <row r="1131">
      <c r="A1131" s="181">
        <v>16461.0</v>
      </c>
      <c r="B1131" s="176" t="s">
        <v>1613</v>
      </c>
      <c r="C1131" s="174">
        <v>2018.0</v>
      </c>
      <c r="D1131" s="176" t="s">
        <v>14</v>
      </c>
      <c r="E1131" s="176" t="s">
        <v>2993</v>
      </c>
      <c r="F1131" s="177" t="s">
        <v>226</v>
      </c>
      <c r="G1131" s="178">
        <v>45890.0</v>
      </c>
      <c r="H1131" s="179">
        <f t="shared" si="2"/>
        <v>28</v>
      </c>
      <c r="I1131" s="175" t="s">
        <v>4377</v>
      </c>
      <c r="J1131" s="178">
        <v>45918.0</v>
      </c>
      <c r="K1131" s="175" t="s">
        <v>31</v>
      </c>
      <c r="L1131" s="282"/>
      <c r="M1131" s="282"/>
      <c r="N1131" s="282"/>
      <c r="O1131" s="282"/>
      <c r="P1131" s="282"/>
      <c r="Q1131" s="282"/>
      <c r="R1131" s="282"/>
      <c r="S1131" s="282"/>
      <c r="T1131" s="282"/>
      <c r="U1131" s="282"/>
      <c r="V1131" s="282"/>
      <c r="W1131" s="282"/>
      <c r="X1131" s="282"/>
      <c r="Y1131" s="282"/>
      <c r="Z1131" s="282"/>
      <c r="AA1131" s="282"/>
      <c r="AB1131" s="282"/>
      <c r="AC1131" s="282"/>
      <c r="AD1131" s="282"/>
    </row>
    <row r="1132">
      <c r="A1132" s="183">
        <v>16467.0</v>
      </c>
      <c r="B1132" s="169" t="s">
        <v>2927</v>
      </c>
      <c r="C1132" s="168">
        <v>2022.0</v>
      </c>
      <c r="D1132" s="142" t="s">
        <v>52</v>
      </c>
      <c r="E1132" s="142" t="s">
        <v>610</v>
      </c>
      <c r="F1132" s="170" t="s">
        <v>2928</v>
      </c>
      <c r="G1132" s="171">
        <v>45891.0</v>
      </c>
      <c r="H1132" s="172">
        <f t="shared" si="2"/>
        <v>0</v>
      </c>
      <c r="I1132" s="173" t="s">
        <v>4378</v>
      </c>
      <c r="J1132" s="171">
        <v>45891.0</v>
      </c>
      <c r="K1132" s="169" t="s">
        <v>31</v>
      </c>
      <c r="L1132" s="242"/>
      <c r="M1132" s="242"/>
      <c r="N1132" s="242"/>
      <c r="O1132" s="242"/>
      <c r="P1132" s="242"/>
      <c r="Q1132" s="242"/>
      <c r="R1132" s="242"/>
      <c r="S1132" s="242"/>
      <c r="T1132" s="242"/>
      <c r="U1132" s="242"/>
      <c r="V1132" s="242"/>
      <c r="W1132" s="242"/>
      <c r="X1132" s="242"/>
      <c r="Y1132" s="242"/>
      <c r="Z1132" s="242"/>
      <c r="AA1132" s="242"/>
      <c r="AB1132" s="242"/>
      <c r="AC1132" s="242"/>
      <c r="AD1132" s="242"/>
      <c r="AE1132" s="242"/>
      <c r="AF1132" s="242"/>
      <c r="AG1132" s="242"/>
      <c r="AH1132" s="242"/>
      <c r="AI1132" s="242"/>
      <c r="AJ1132" s="242"/>
      <c r="AK1132" s="242"/>
      <c r="AL1132" s="242"/>
      <c r="AM1132" s="242"/>
      <c r="AN1132" s="242"/>
      <c r="AO1132" s="242"/>
    </row>
    <row r="1133">
      <c r="A1133" s="181">
        <v>16468.0</v>
      </c>
      <c r="B1133" s="176" t="s">
        <v>3538</v>
      </c>
      <c r="C1133" s="174">
        <v>2022.0</v>
      </c>
      <c r="D1133" s="176" t="s">
        <v>52</v>
      </c>
      <c r="E1133" s="176" t="s">
        <v>805</v>
      </c>
      <c r="F1133" s="177" t="s">
        <v>4123</v>
      </c>
      <c r="G1133" s="178">
        <v>45891.0</v>
      </c>
      <c r="H1133" s="179">
        <f t="shared" si="2"/>
        <v>3</v>
      </c>
      <c r="I1133" s="175" t="s">
        <v>4379</v>
      </c>
      <c r="J1133" s="178">
        <v>45894.0</v>
      </c>
      <c r="K1133" s="175" t="s">
        <v>2758</v>
      </c>
      <c r="L1133" s="152" t="s">
        <v>31</v>
      </c>
      <c r="M1133" s="152" t="s">
        <v>31</v>
      </c>
      <c r="N1133" s="152" t="s">
        <v>31</v>
      </c>
      <c r="O1133" s="152" t="s">
        <v>31</v>
      </c>
      <c r="P1133" s="152" t="s">
        <v>31</v>
      </c>
      <c r="Q1133" s="152" t="s">
        <v>31</v>
      </c>
      <c r="R1133" s="152" t="s">
        <v>31</v>
      </c>
      <c r="S1133" s="152" t="s">
        <v>31</v>
      </c>
      <c r="T1133" s="152" t="s">
        <v>31</v>
      </c>
      <c r="U1133" s="152" t="s">
        <v>31</v>
      </c>
      <c r="V1133" s="152" t="s">
        <v>31</v>
      </c>
      <c r="W1133" s="152" t="s">
        <v>31</v>
      </c>
      <c r="X1133" s="152" t="s">
        <v>31</v>
      </c>
      <c r="Y1133" s="152" t="s">
        <v>31</v>
      </c>
      <c r="Z1133" s="152" t="s">
        <v>31</v>
      </c>
      <c r="AA1133" s="152" t="s">
        <v>31</v>
      </c>
      <c r="AB1133" s="152" t="s">
        <v>31</v>
      </c>
      <c r="AC1133" s="152" t="s">
        <v>31</v>
      </c>
      <c r="AD1133" s="152" t="s">
        <v>31</v>
      </c>
    </row>
    <row r="1134">
      <c r="A1134" s="183">
        <v>16473.0</v>
      </c>
      <c r="B1134" s="142" t="s">
        <v>2974</v>
      </c>
      <c r="C1134" s="168">
        <v>1017.0</v>
      </c>
      <c r="D1134" s="142" t="s">
        <v>52</v>
      </c>
      <c r="E1134" s="142" t="s">
        <v>160</v>
      </c>
      <c r="F1134" s="170" t="s">
        <v>2975</v>
      </c>
      <c r="G1134" s="171">
        <v>45894.0</v>
      </c>
      <c r="H1134" s="172">
        <f t="shared" si="2"/>
        <v>1</v>
      </c>
      <c r="I1134" s="169" t="s">
        <v>4380</v>
      </c>
      <c r="J1134" s="171">
        <v>45895.0</v>
      </c>
      <c r="K1134" s="169" t="s">
        <v>2758</v>
      </c>
      <c r="L1134" s="152" t="s">
        <v>2758</v>
      </c>
      <c r="M1134" s="152" t="s">
        <v>2758</v>
      </c>
      <c r="N1134" s="152" t="s">
        <v>2758</v>
      </c>
      <c r="O1134" s="152" t="s">
        <v>2758</v>
      </c>
      <c r="P1134" s="152" t="s">
        <v>2758</v>
      </c>
      <c r="Q1134" s="152" t="s">
        <v>2758</v>
      </c>
      <c r="R1134" s="152" t="s">
        <v>2758</v>
      </c>
      <c r="S1134" s="152" t="s">
        <v>2758</v>
      </c>
      <c r="T1134" s="152" t="s">
        <v>2758</v>
      </c>
      <c r="U1134" s="152" t="s">
        <v>2758</v>
      </c>
      <c r="V1134" s="152" t="s">
        <v>2758</v>
      </c>
      <c r="W1134" s="152" t="s">
        <v>2758</v>
      </c>
      <c r="X1134" s="152" t="s">
        <v>2758</v>
      </c>
      <c r="Y1134" s="152" t="s">
        <v>2758</v>
      </c>
      <c r="Z1134" s="152" t="s">
        <v>2758</v>
      </c>
      <c r="AA1134" s="152" t="s">
        <v>2758</v>
      </c>
      <c r="AB1134" s="152" t="s">
        <v>2758</v>
      </c>
      <c r="AC1134" s="152" t="s">
        <v>2758</v>
      </c>
      <c r="AD1134" s="152" t="s">
        <v>2758</v>
      </c>
    </row>
    <row r="1135">
      <c r="A1135" s="181">
        <v>16474.0</v>
      </c>
      <c r="B1135" s="176" t="s">
        <v>94</v>
      </c>
      <c r="C1135" s="174">
        <v>2022.0</v>
      </c>
      <c r="D1135" s="176" t="s">
        <v>52</v>
      </c>
      <c r="E1135" s="176" t="s">
        <v>99</v>
      </c>
      <c r="F1135" s="177" t="s">
        <v>96</v>
      </c>
      <c r="G1135" s="178">
        <v>45894.0</v>
      </c>
      <c r="H1135" s="179">
        <f t="shared" si="2"/>
        <v>2</v>
      </c>
      <c r="I1135" s="175" t="s">
        <v>4381</v>
      </c>
      <c r="J1135" s="178">
        <v>45896.0</v>
      </c>
      <c r="K1135" s="175" t="s">
        <v>2758</v>
      </c>
      <c r="L1135" s="242"/>
      <c r="M1135" s="242"/>
      <c r="N1135" s="242"/>
      <c r="O1135" s="242"/>
      <c r="P1135" s="242"/>
      <c r="Q1135" s="242"/>
      <c r="R1135" s="242"/>
      <c r="S1135" s="242"/>
      <c r="T1135" s="242"/>
      <c r="U1135" s="242"/>
      <c r="V1135" s="242"/>
      <c r="W1135" s="242"/>
      <c r="X1135" s="242"/>
      <c r="Y1135" s="242"/>
      <c r="Z1135" s="242"/>
      <c r="AA1135" s="242"/>
      <c r="AB1135" s="242"/>
      <c r="AC1135" s="242"/>
      <c r="AD1135" s="242"/>
      <c r="AE1135" s="242"/>
      <c r="AF1135" s="242"/>
      <c r="AG1135" s="242"/>
      <c r="AH1135" s="242"/>
      <c r="AI1135" s="242"/>
      <c r="AJ1135" s="242"/>
      <c r="AK1135" s="242"/>
      <c r="AL1135" s="242"/>
      <c r="AM1135" s="242"/>
      <c r="AN1135" s="242"/>
      <c r="AO1135" s="242"/>
    </row>
    <row r="1136">
      <c r="A1136" s="183">
        <v>16475.0</v>
      </c>
      <c r="B1136" s="169" t="s">
        <v>535</v>
      </c>
      <c r="C1136" s="168">
        <v>2020.0</v>
      </c>
      <c r="D1136" s="142" t="s">
        <v>81</v>
      </c>
      <c r="E1136" s="142" t="s">
        <v>95</v>
      </c>
      <c r="F1136" s="170" t="s">
        <v>537</v>
      </c>
      <c r="G1136" s="171">
        <v>45894.0</v>
      </c>
      <c r="H1136" s="172">
        <f t="shared" si="2"/>
        <v>2</v>
      </c>
      <c r="I1136" s="173" t="s">
        <v>4382</v>
      </c>
      <c r="J1136" s="171">
        <v>45896.0</v>
      </c>
      <c r="K1136" s="169" t="s">
        <v>2758</v>
      </c>
      <c r="L1136" s="242"/>
      <c r="M1136" s="242"/>
      <c r="N1136" s="242"/>
      <c r="O1136" s="242"/>
      <c r="P1136" s="242"/>
      <c r="Q1136" s="242"/>
      <c r="R1136" s="242"/>
      <c r="S1136" s="242"/>
      <c r="T1136" s="242"/>
      <c r="U1136" s="242"/>
      <c r="V1136" s="242"/>
      <c r="W1136" s="242"/>
      <c r="X1136" s="242"/>
      <c r="Y1136" s="242"/>
      <c r="Z1136" s="242"/>
      <c r="AA1136" s="242"/>
      <c r="AB1136" s="242"/>
      <c r="AC1136" s="242"/>
      <c r="AD1136" s="242"/>
      <c r="AE1136" s="242"/>
      <c r="AF1136" s="242"/>
      <c r="AG1136" s="242"/>
      <c r="AH1136" s="242"/>
      <c r="AI1136" s="242"/>
      <c r="AJ1136" s="242"/>
      <c r="AK1136" s="242"/>
      <c r="AL1136" s="242"/>
      <c r="AM1136" s="242"/>
      <c r="AN1136" s="242"/>
      <c r="AO1136" s="242"/>
    </row>
    <row r="1137">
      <c r="A1137" s="181">
        <v>16477.0</v>
      </c>
      <c r="B1137" s="175" t="s">
        <v>825</v>
      </c>
      <c r="C1137" s="174">
        <v>2022.0</v>
      </c>
      <c r="D1137" s="176" t="s">
        <v>136</v>
      </c>
      <c r="E1137" s="176" t="s">
        <v>70</v>
      </c>
      <c r="F1137" s="177" t="s">
        <v>4383</v>
      </c>
      <c r="G1137" s="178">
        <v>45895.0</v>
      </c>
      <c r="H1137" s="179">
        <f t="shared" si="2"/>
        <v>0</v>
      </c>
      <c r="I1137" s="180" t="s">
        <v>2265</v>
      </c>
      <c r="J1137" s="178">
        <v>45895.0</v>
      </c>
      <c r="K1137" s="175" t="s">
        <v>2758</v>
      </c>
      <c r="L1137" s="282"/>
      <c r="M1137" s="282"/>
      <c r="N1137" s="282"/>
      <c r="O1137" s="282"/>
      <c r="P1137" s="282"/>
      <c r="Q1137" s="282"/>
      <c r="R1137" s="282"/>
      <c r="S1137" s="282"/>
      <c r="T1137" s="282"/>
      <c r="U1137" s="282"/>
      <c r="V1137" s="282"/>
      <c r="W1137" s="282"/>
      <c r="X1137" s="282"/>
      <c r="Y1137" s="282"/>
      <c r="Z1137" s="282"/>
      <c r="AA1137" s="282"/>
      <c r="AB1137" s="282"/>
      <c r="AC1137" s="282"/>
      <c r="AD1137" s="282"/>
    </row>
    <row r="1138">
      <c r="A1138" s="183">
        <v>16484.0</v>
      </c>
      <c r="B1138" s="142" t="s">
        <v>1049</v>
      </c>
      <c r="C1138" s="168">
        <v>2022.0</v>
      </c>
      <c r="D1138" s="142" t="s">
        <v>52</v>
      </c>
      <c r="E1138" s="142" t="s">
        <v>912</v>
      </c>
      <c r="F1138" s="170" t="s">
        <v>1050</v>
      </c>
      <c r="G1138" s="171">
        <v>45895.0</v>
      </c>
      <c r="H1138" s="172">
        <f t="shared" si="2"/>
        <v>1</v>
      </c>
      <c r="I1138" s="211" t="s">
        <v>4384</v>
      </c>
      <c r="J1138" s="171">
        <v>45896.0</v>
      </c>
      <c r="K1138" s="169" t="s">
        <v>37</v>
      </c>
      <c r="L1138" s="282"/>
      <c r="M1138" s="282"/>
      <c r="N1138" s="282"/>
      <c r="O1138" s="282"/>
      <c r="P1138" s="282"/>
      <c r="Q1138" s="282"/>
      <c r="R1138" s="282"/>
      <c r="S1138" s="282"/>
      <c r="T1138" s="282"/>
      <c r="U1138" s="282"/>
      <c r="V1138" s="282"/>
      <c r="W1138" s="282"/>
      <c r="X1138" s="282"/>
      <c r="Y1138" s="282"/>
      <c r="Z1138" s="282"/>
      <c r="AA1138" s="282"/>
      <c r="AB1138" s="282"/>
      <c r="AC1138" s="282"/>
      <c r="AD1138" s="282"/>
    </row>
    <row r="1139">
      <c r="A1139" s="181">
        <v>16490.0</v>
      </c>
      <c r="B1139" s="176" t="s">
        <v>229</v>
      </c>
      <c r="C1139" s="174">
        <v>2015.0</v>
      </c>
      <c r="D1139" s="176" t="s">
        <v>14</v>
      </c>
      <c r="E1139" s="176" t="s">
        <v>277</v>
      </c>
      <c r="F1139" s="177" t="s">
        <v>230</v>
      </c>
      <c r="G1139" s="178">
        <v>45896.0</v>
      </c>
      <c r="H1139" s="179">
        <f t="shared" si="2"/>
        <v>22</v>
      </c>
      <c r="I1139" s="175" t="s">
        <v>4385</v>
      </c>
      <c r="J1139" s="178">
        <v>45918.0</v>
      </c>
      <c r="K1139" s="175" t="s">
        <v>2758</v>
      </c>
      <c r="L1139" s="282"/>
      <c r="M1139" s="282"/>
      <c r="N1139" s="282"/>
      <c r="O1139" s="282"/>
      <c r="P1139" s="282"/>
      <c r="Q1139" s="282"/>
      <c r="R1139" s="282"/>
      <c r="S1139" s="282"/>
      <c r="T1139" s="282"/>
      <c r="U1139" s="282"/>
      <c r="V1139" s="282"/>
      <c r="W1139" s="282"/>
      <c r="X1139" s="282"/>
      <c r="Y1139" s="282"/>
      <c r="Z1139" s="282"/>
      <c r="AA1139" s="282"/>
      <c r="AB1139" s="282"/>
      <c r="AC1139" s="282"/>
      <c r="AD1139" s="282"/>
    </row>
    <row r="1140">
      <c r="A1140" s="183">
        <v>16492.0</v>
      </c>
      <c r="B1140" s="142" t="s">
        <v>219</v>
      </c>
      <c r="C1140" s="168">
        <v>2018.0</v>
      </c>
      <c r="D1140" s="142" t="s">
        <v>14</v>
      </c>
      <c r="E1140" s="142" t="s">
        <v>3607</v>
      </c>
      <c r="F1140" s="170" t="s">
        <v>221</v>
      </c>
      <c r="G1140" s="171">
        <v>45897.0</v>
      </c>
      <c r="H1140" s="172">
        <f t="shared" si="2"/>
        <v>11</v>
      </c>
      <c r="I1140" s="169" t="s">
        <v>4386</v>
      </c>
      <c r="J1140" s="171">
        <v>45908.0</v>
      </c>
      <c r="K1140" s="169" t="s">
        <v>2758</v>
      </c>
      <c r="L1140" s="282"/>
      <c r="M1140" s="282"/>
      <c r="N1140" s="282"/>
      <c r="O1140" s="282"/>
      <c r="P1140" s="282"/>
      <c r="Q1140" s="282"/>
      <c r="R1140" s="282"/>
      <c r="S1140" s="282"/>
      <c r="T1140" s="282"/>
      <c r="U1140" s="282"/>
      <c r="V1140" s="282"/>
      <c r="W1140" s="282"/>
      <c r="X1140" s="282"/>
      <c r="Y1140" s="282"/>
      <c r="Z1140" s="282"/>
      <c r="AA1140" s="282"/>
      <c r="AB1140" s="282"/>
      <c r="AC1140" s="282"/>
      <c r="AD1140" s="282"/>
    </row>
    <row r="1141">
      <c r="A1141" s="181">
        <v>16493.0</v>
      </c>
      <c r="B1141" s="176" t="s">
        <v>3967</v>
      </c>
      <c r="C1141" s="174">
        <v>2022.0</v>
      </c>
      <c r="D1141" s="176" t="s">
        <v>14</v>
      </c>
      <c r="E1141" s="176" t="s">
        <v>2746</v>
      </c>
      <c r="F1141" s="177" t="s">
        <v>3969</v>
      </c>
      <c r="G1141" s="178">
        <v>45896.0</v>
      </c>
      <c r="H1141" s="179">
        <f t="shared" si="2"/>
        <v>1</v>
      </c>
      <c r="I1141" s="175" t="s">
        <v>4380</v>
      </c>
      <c r="J1141" s="178">
        <v>45897.0</v>
      </c>
      <c r="K1141" s="175" t="s">
        <v>2758</v>
      </c>
      <c r="L1141" s="282"/>
      <c r="M1141" s="282"/>
      <c r="N1141" s="282"/>
      <c r="O1141" s="282"/>
      <c r="P1141" s="282"/>
      <c r="Q1141" s="282"/>
      <c r="R1141" s="282"/>
      <c r="S1141" s="282"/>
      <c r="T1141" s="282"/>
      <c r="U1141" s="282"/>
      <c r="V1141" s="282"/>
      <c r="W1141" s="282"/>
      <c r="X1141" s="282"/>
      <c r="Y1141" s="282"/>
      <c r="Z1141" s="282"/>
      <c r="AA1141" s="282"/>
      <c r="AB1141" s="282"/>
      <c r="AC1141" s="282"/>
      <c r="AD1141" s="282"/>
    </row>
    <row r="1142">
      <c r="A1142" s="183">
        <v>16496.0</v>
      </c>
      <c r="B1142" s="169" t="s">
        <v>609</v>
      </c>
      <c r="C1142" s="168">
        <v>2022.0</v>
      </c>
      <c r="D1142" s="142" t="s">
        <v>52</v>
      </c>
      <c r="E1142" s="142" t="s">
        <v>610</v>
      </c>
      <c r="F1142" s="170" t="s">
        <v>611</v>
      </c>
      <c r="G1142" s="171">
        <v>45897.0</v>
      </c>
      <c r="H1142" s="172">
        <f t="shared" si="2"/>
        <v>0</v>
      </c>
      <c r="I1142" s="173" t="s">
        <v>4387</v>
      </c>
      <c r="J1142" s="171">
        <v>45897.0</v>
      </c>
      <c r="K1142" s="169" t="s">
        <v>2758</v>
      </c>
      <c r="L1142" s="282"/>
      <c r="M1142" s="282"/>
      <c r="N1142" s="282"/>
      <c r="O1142" s="282"/>
      <c r="P1142" s="282"/>
      <c r="Q1142" s="282"/>
      <c r="R1142" s="282"/>
      <c r="S1142" s="282"/>
      <c r="T1142" s="282"/>
      <c r="U1142" s="282"/>
      <c r="V1142" s="282"/>
      <c r="W1142" s="282"/>
      <c r="X1142" s="282"/>
      <c r="Y1142" s="282"/>
      <c r="Z1142" s="282"/>
      <c r="AA1142" s="282"/>
      <c r="AB1142" s="282"/>
      <c r="AC1142" s="282"/>
      <c r="AD1142" s="282"/>
    </row>
    <row r="1143">
      <c r="A1143" s="181">
        <v>16497.0</v>
      </c>
      <c r="B1143" s="175" t="s">
        <v>759</v>
      </c>
      <c r="C1143" s="174">
        <v>2022.0</v>
      </c>
      <c r="D1143" s="176" t="s">
        <v>52</v>
      </c>
      <c r="E1143" s="176" t="s">
        <v>4388</v>
      </c>
      <c r="F1143" s="177" t="s">
        <v>760</v>
      </c>
      <c r="G1143" s="178">
        <v>45897.0</v>
      </c>
      <c r="H1143" s="179">
        <f t="shared" si="2"/>
        <v>0</v>
      </c>
      <c r="I1143" s="180" t="s">
        <v>4389</v>
      </c>
      <c r="J1143" s="178">
        <v>45897.0</v>
      </c>
      <c r="K1143" s="175" t="s">
        <v>84</v>
      </c>
      <c r="L1143" s="282"/>
      <c r="M1143" s="282"/>
      <c r="N1143" s="282"/>
      <c r="O1143" s="282"/>
      <c r="P1143" s="282"/>
      <c r="Q1143" s="282"/>
      <c r="R1143" s="282"/>
      <c r="S1143" s="282"/>
      <c r="T1143" s="282"/>
      <c r="U1143" s="282"/>
      <c r="V1143" s="282"/>
      <c r="W1143" s="282"/>
      <c r="X1143" s="282"/>
      <c r="Y1143" s="282"/>
      <c r="Z1143" s="282"/>
      <c r="AA1143" s="282"/>
      <c r="AB1143" s="282"/>
      <c r="AC1143" s="282"/>
      <c r="AD1143" s="282"/>
    </row>
    <row r="1144">
      <c r="A1144" s="183">
        <v>16499.0</v>
      </c>
      <c r="B1144" s="169" t="s">
        <v>417</v>
      </c>
      <c r="C1144" s="168">
        <v>2022.0</v>
      </c>
      <c r="D1144" s="142" t="s">
        <v>52</v>
      </c>
      <c r="E1144" s="142" t="s">
        <v>418</v>
      </c>
      <c r="F1144" s="170" t="s">
        <v>419</v>
      </c>
      <c r="G1144" s="171">
        <v>45897.0</v>
      </c>
      <c r="H1144" s="172">
        <f t="shared" si="2"/>
        <v>0</v>
      </c>
      <c r="I1144" s="173" t="s">
        <v>3094</v>
      </c>
      <c r="J1144" s="171">
        <v>45897.0</v>
      </c>
      <c r="K1144" s="169" t="s">
        <v>2758</v>
      </c>
      <c r="L1144" s="242"/>
      <c r="M1144" s="242"/>
      <c r="N1144" s="242"/>
      <c r="O1144" s="242"/>
      <c r="P1144" s="242"/>
      <c r="Q1144" s="242"/>
      <c r="R1144" s="242"/>
      <c r="S1144" s="242"/>
      <c r="T1144" s="242"/>
      <c r="U1144" s="242"/>
      <c r="V1144" s="242"/>
      <c r="W1144" s="242"/>
      <c r="X1144" s="242"/>
      <c r="Y1144" s="242"/>
      <c r="Z1144" s="242"/>
      <c r="AA1144" s="242"/>
      <c r="AB1144" s="242"/>
      <c r="AC1144" s="242"/>
      <c r="AD1144" s="242"/>
      <c r="AE1144" s="242"/>
      <c r="AF1144" s="242"/>
      <c r="AG1144" s="242"/>
      <c r="AH1144" s="242"/>
      <c r="AI1144" s="242"/>
      <c r="AJ1144" s="242"/>
      <c r="AK1144" s="242"/>
      <c r="AL1144" s="242"/>
      <c r="AM1144" s="242"/>
      <c r="AN1144" s="242"/>
      <c r="AO1144" s="242"/>
    </row>
    <row r="1145">
      <c r="A1145" s="181">
        <v>16500.0</v>
      </c>
      <c r="B1145" s="175" t="s">
        <v>2940</v>
      </c>
      <c r="C1145" s="174">
        <v>2022.0</v>
      </c>
      <c r="D1145" s="176" t="s">
        <v>52</v>
      </c>
      <c r="E1145" s="176" t="s">
        <v>2941</v>
      </c>
      <c r="F1145" s="177" t="s">
        <v>2942</v>
      </c>
      <c r="G1145" s="178">
        <v>45897.0</v>
      </c>
      <c r="H1145" s="179">
        <f t="shared" si="2"/>
        <v>0</v>
      </c>
      <c r="I1145" s="180" t="s">
        <v>857</v>
      </c>
      <c r="J1145" s="178">
        <v>45897.0</v>
      </c>
      <c r="K1145" s="175" t="s">
        <v>2758</v>
      </c>
      <c r="L1145" s="282"/>
      <c r="M1145" s="282"/>
      <c r="N1145" s="282"/>
      <c r="O1145" s="282"/>
      <c r="P1145" s="282"/>
      <c r="Q1145" s="282"/>
      <c r="R1145" s="282"/>
      <c r="S1145" s="282"/>
      <c r="T1145" s="282"/>
      <c r="U1145" s="282"/>
      <c r="V1145" s="282"/>
      <c r="W1145" s="282"/>
      <c r="X1145" s="282"/>
      <c r="Y1145" s="282"/>
      <c r="Z1145" s="282"/>
      <c r="AA1145" s="282"/>
      <c r="AB1145" s="282"/>
      <c r="AC1145" s="282"/>
      <c r="AD1145" s="282"/>
    </row>
    <row r="1146">
      <c r="A1146" s="183">
        <v>16502.0</v>
      </c>
      <c r="B1146" s="169" t="s">
        <v>388</v>
      </c>
      <c r="C1146" s="168">
        <v>2011.0</v>
      </c>
      <c r="D1146" s="142" t="s">
        <v>367</v>
      </c>
      <c r="E1146" s="142" t="s">
        <v>3448</v>
      </c>
      <c r="F1146" s="170" t="s">
        <v>389</v>
      </c>
      <c r="G1146" s="171">
        <v>45898.0</v>
      </c>
      <c r="H1146" s="172">
        <f t="shared" si="2"/>
        <v>7</v>
      </c>
      <c r="I1146" s="173" t="s">
        <v>3386</v>
      </c>
      <c r="J1146" s="171">
        <v>45905.0</v>
      </c>
      <c r="K1146" s="169" t="s">
        <v>31</v>
      </c>
      <c r="L1146" s="242"/>
      <c r="M1146" s="242"/>
      <c r="N1146" s="242"/>
      <c r="O1146" s="242"/>
      <c r="P1146" s="242"/>
      <c r="Q1146" s="242"/>
      <c r="R1146" s="242"/>
      <c r="S1146" s="242"/>
      <c r="T1146" s="242"/>
      <c r="U1146" s="242"/>
      <c r="V1146" s="242"/>
      <c r="W1146" s="242"/>
      <c r="X1146" s="242"/>
      <c r="Y1146" s="242"/>
      <c r="Z1146" s="242"/>
      <c r="AA1146" s="242"/>
      <c r="AB1146" s="242"/>
      <c r="AC1146" s="242"/>
      <c r="AD1146" s="242"/>
      <c r="AE1146" s="242"/>
      <c r="AF1146" s="242"/>
      <c r="AG1146" s="242"/>
      <c r="AH1146" s="242"/>
      <c r="AI1146" s="242"/>
      <c r="AJ1146" s="242"/>
      <c r="AK1146" s="242"/>
      <c r="AL1146" s="242"/>
      <c r="AM1146" s="242"/>
      <c r="AN1146" s="242"/>
      <c r="AO1146" s="242"/>
    </row>
    <row r="1147">
      <c r="A1147" s="181">
        <v>16509.0</v>
      </c>
      <c r="B1147" s="175" t="s">
        <v>2028</v>
      </c>
      <c r="C1147" s="174">
        <v>2022.0</v>
      </c>
      <c r="D1147" s="176" t="s">
        <v>52</v>
      </c>
      <c r="E1147" s="176" t="s">
        <v>805</v>
      </c>
      <c r="F1147" s="177" t="s">
        <v>2030</v>
      </c>
      <c r="G1147" s="178">
        <v>45898.0</v>
      </c>
      <c r="H1147" s="179">
        <f t="shared" si="2"/>
        <v>0</v>
      </c>
      <c r="I1147" s="180" t="s">
        <v>4390</v>
      </c>
      <c r="J1147" s="178">
        <v>45898.0</v>
      </c>
      <c r="K1147" s="175" t="s">
        <v>31</v>
      </c>
      <c r="L1147" s="282"/>
      <c r="M1147" s="282"/>
      <c r="N1147" s="282"/>
      <c r="O1147" s="282"/>
      <c r="P1147" s="282"/>
      <c r="Q1147" s="282"/>
      <c r="R1147" s="282"/>
      <c r="S1147" s="282"/>
      <c r="T1147" s="282"/>
      <c r="U1147" s="282"/>
      <c r="V1147" s="282"/>
      <c r="W1147" s="282"/>
      <c r="X1147" s="282"/>
      <c r="Y1147" s="282"/>
      <c r="Z1147" s="282"/>
      <c r="AA1147" s="282"/>
      <c r="AB1147" s="282"/>
      <c r="AC1147" s="282"/>
      <c r="AD1147" s="282"/>
    </row>
    <row r="1148">
      <c r="A1148" s="183">
        <v>16512.0</v>
      </c>
      <c r="B1148" s="169" t="s">
        <v>1510</v>
      </c>
      <c r="C1148" s="168">
        <v>2021.0</v>
      </c>
      <c r="D1148" s="142" t="s">
        <v>52</v>
      </c>
      <c r="E1148" s="142" t="s">
        <v>160</v>
      </c>
      <c r="F1148" s="170" t="s">
        <v>1511</v>
      </c>
      <c r="G1148" s="171">
        <v>45898.0</v>
      </c>
      <c r="H1148" s="172">
        <f t="shared" si="2"/>
        <v>0</v>
      </c>
      <c r="I1148" s="173" t="s">
        <v>4391</v>
      </c>
      <c r="J1148" s="171">
        <v>45898.0</v>
      </c>
      <c r="K1148" s="169" t="s">
        <v>2758</v>
      </c>
      <c r="L1148" s="282"/>
      <c r="M1148" s="282"/>
      <c r="N1148" s="282"/>
      <c r="O1148" s="282"/>
      <c r="P1148" s="282"/>
      <c r="Q1148" s="282"/>
      <c r="R1148" s="282"/>
      <c r="S1148" s="282"/>
      <c r="T1148" s="282"/>
      <c r="U1148" s="282"/>
      <c r="V1148" s="282"/>
      <c r="W1148" s="282"/>
      <c r="X1148" s="282"/>
      <c r="Y1148" s="282"/>
      <c r="Z1148" s="282"/>
      <c r="AA1148" s="282"/>
      <c r="AB1148" s="282"/>
      <c r="AC1148" s="282"/>
      <c r="AD1148" s="282"/>
    </row>
    <row r="1149">
      <c r="A1149" s="181">
        <v>16515.0</v>
      </c>
      <c r="B1149" s="175" t="s">
        <v>4392</v>
      </c>
      <c r="C1149" s="174">
        <v>2022.0</v>
      </c>
      <c r="D1149" s="176" t="s">
        <v>136</v>
      </c>
      <c r="E1149" s="176" t="s">
        <v>169</v>
      </c>
      <c r="F1149" s="177" t="s">
        <v>4393</v>
      </c>
      <c r="G1149" s="178">
        <v>45901.0</v>
      </c>
      <c r="H1149" s="179">
        <f t="shared" si="2"/>
        <v>0</v>
      </c>
      <c r="I1149" s="180" t="s">
        <v>4394</v>
      </c>
      <c r="J1149" s="178">
        <v>45901.0</v>
      </c>
      <c r="K1149" s="175" t="s">
        <v>2758</v>
      </c>
      <c r="L1149" s="282"/>
      <c r="M1149" s="282"/>
      <c r="N1149" s="282"/>
      <c r="O1149" s="282"/>
      <c r="P1149" s="282"/>
      <c r="Q1149" s="282"/>
      <c r="R1149" s="282"/>
      <c r="S1149" s="282"/>
      <c r="T1149" s="282"/>
      <c r="U1149" s="282"/>
      <c r="V1149" s="282"/>
      <c r="W1149" s="282"/>
      <c r="X1149" s="282"/>
      <c r="Y1149" s="282"/>
      <c r="Z1149" s="282"/>
      <c r="AA1149" s="282"/>
      <c r="AB1149" s="282"/>
      <c r="AC1149" s="282"/>
      <c r="AD1149" s="282"/>
    </row>
    <row r="1150">
      <c r="A1150" s="168">
        <v>16519.0</v>
      </c>
      <c r="B1150" s="169" t="s">
        <v>4395</v>
      </c>
      <c r="C1150" s="168">
        <v>2022.0</v>
      </c>
      <c r="D1150" s="142" t="s">
        <v>52</v>
      </c>
      <c r="E1150" s="142" t="s">
        <v>1639</v>
      </c>
      <c r="F1150" s="170" t="s">
        <v>2081</v>
      </c>
      <c r="G1150" s="171">
        <v>45901.0</v>
      </c>
      <c r="H1150" s="172">
        <f t="shared" si="2"/>
        <v>0</v>
      </c>
      <c r="I1150" s="173" t="s">
        <v>4396</v>
      </c>
      <c r="J1150" s="171">
        <v>45901.0</v>
      </c>
      <c r="K1150" s="169" t="s">
        <v>2758</v>
      </c>
      <c r="L1150" s="282"/>
      <c r="M1150" s="282"/>
      <c r="N1150" s="282"/>
      <c r="O1150" s="282"/>
      <c r="P1150" s="282"/>
      <c r="Q1150" s="282"/>
      <c r="R1150" s="282"/>
      <c r="S1150" s="282"/>
      <c r="T1150" s="282"/>
      <c r="U1150" s="282"/>
      <c r="V1150" s="282"/>
      <c r="W1150" s="282"/>
      <c r="X1150" s="282"/>
      <c r="Y1150" s="282"/>
      <c r="Z1150" s="282"/>
      <c r="AA1150" s="282"/>
      <c r="AB1150" s="282"/>
      <c r="AC1150" s="282"/>
      <c r="AD1150" s="282"/>
    </row>
    <row r="1151">
      <c r="A1151" s="181">
        <v>16523.0</v>
      </c>
      <c r="B1151" s="175" t="s">
        <v>3688</v>
      </c>
      <c r="C1151" s="174">
        <v>2022.0</v>
      </c>
      <c r="D1151" s="176" t="s">
        <v>52</v>
      </c>
      <c r="E1151" s="176" t="s">
        <v>106</v>
      </c>
      <c r="F1151" s="177" t="s">
        <v>3689</v>
      </c>
      <c r="G1151" s="178">
        <v>45902.0</v>
      </c>
      <c r="H1151" s="179">
        <f t="shared" si="2"/>
        <v>0</v>
      </c>
      <c r="I1151" s="180" t="s">
        <v>4397</v>
      </c>
      <c r="J1151" s="178">
        <v>45902.0</v>
      </c>
      <c r="K1151" s="175" t="s">
        <v>2758</v>
      </c>
      <c r="L1151" s="282"/>
      <c r="M1151" s="282"/>
      <c r="N1151" s="282"/>
      <c r="O1151" s="282"/>
      <c r="P1151" s="282"/>
      <c r="Q1151" s="282"/>
      <c r="R1151" s="282"/>
      <c r="S1151" s="282"/>
      <c r="T1151" s="282"/>
      <c r="U1151" s="282"/>
      <c r="V1151" s="282"/>
      <c r="W1151" s="282"/>
      <c r="X1151" s="282"/>
      <c r="Y1151" s="282"/>
      <c r="Z1151" s="282"/>
      <c r="AA1151" s="282"/>
      <c r="AB1151" s="282"/>
      <c r="AC1151" s="282"/>
      <c r="AD1151" s="282"/>
    </row>
    <row r="1152">
      <c r="A1152" s="183">
        <v>16524.0</v>
      </c>
      <c r="B1152" s="142" t="s">
        <v>441</v>
      </c>
      <c r="C1152" s="168">
        <v>2022.0</v>
      </c>
      <c r="D1152" s="142" t="s">
        <v>52</v>
      </c>
      <c r="E1152" s="142" t="s">
        <v>610</v>
      </c>
      <c r="F1152" s="170" t="s">
        <v>443</v>
      </c>
      <c r="G1152" s="171">
        <v>45902.0</v>
      </c>
      <c r="H1152" s="172">
        <f t="shared" si="2"/>
        <v>0</v>
      </c>
      <c r="I1152" s="169" t="s">
        <v>4398</v>
      </c>
      <c r="J1152" s="171">
        <v>45902.0</v>
      </c>
      <c r="K1152" s="169" t="s">
        <v>2758</v>
      </c>
      <c r="L1152" s="282"/>
      <c r="M1152" s="282"/>
      <c r="N1152" s="282"/>
      <c r="O1152" s="282"/>
      <c r="P1152" s="282"/>
      <c r="Q1152" s="282"/>
      <c r="R1152" s="282"/>
      <c r="S1152" s="282"/>
      <c r="T1152" s="282"/>
      <c r="U1152" s="282"/>
      <c r="V1152" s="282"/>
      <c r="W1152" s="282"/>
      <c r="X1152" s="282"/>
      <c r="Y1152" s="282"/>
      <c r="Z1152" s="282"/>
      <c r="AA1152" s="282"/>
      <c r="AB1152" s="282"/>
      <c r="AC1152" s="282"/>
      <c r="AD1152" s="282"/>
    </row>
    <row r="1153">
      <c r="A1153" s="181">
        <v>16529.0</v>
      </c>
      <c r="B1153" s="175" t="s">
        <v>2790</v>
      </c>
      <c r="C1153" s="174">
        <v>2014.0</v>
      </c>
      <c r="D1153" s="176" t="s">
        <v>136</v>
      </c>
      <c r="E1153" s="176" t="s">
        <v>169</v>
      </c>
      <c r="F1153" s="177" t="s">
        <v>2791</v>
      </c>
      <c r="G1153" s="178">
        <v>45902.0</v>
      </c>
      <c r="H1153" s="179">
        <f t="shared" si="2"/>
        <v>0</v>
      </c>
      <c r="I1153" s="180" t="s">
        <v>1016</v>
      </c>
      <c r="J1153" s="178">
        <v>45902.0</v>
      </c>
      <c r="K1153" s="175" t="s">
        <v>2758</v>
      </c>
      <c r="L1153" s="282"/>
      <c r="M1153" s="282"/>
      <c r="N1153" s="282"/>
      <c r="O1153" s="282"/>
      <c r="P1153" s="282"/>
      <c r="Q1153" s="282"/>
      <c r="R1153" s="282"/>
      <c r="S1153" s="282"/>
      <c r="T1153" s="282"/>
      <c r="U1153" s="282"/>
      <c r="V1153" s="282"/>
      <c r="W1153" s="282"/>
      <c r="X1153" s="282"/>
      <c r="Y1153" s="282"/>
      <c r="Z1153" s="282"/>
      <c r="AA1153" s="282"/>
      <c r="AB1153" s="282"/>
      <c r="AC1153" s="282"/>
      <c r="AD1153" s="282"/>
    </row>
    <row r="1154">
      <c r="A1154" s="183">
        <v>16530.0</v>
      </c>
      <c r="B1154" s="142" t="s">
        <v>98</v>
      </c>
      <c r="C1154" s="168">
        <v>2022.0</v>
      </c>
      <c r="D1154" s="142" t="s">
        <v>52</v>
      </c>
      <c r="E1154" s="142" t="s">
        <v>99</v>
      </c>
      <c r="F1154" s="170" t="s">
        <v>100</v>
      </c>
      <c r="G1154" s="171">
        <v>45902.0</v>
      </c>
      <c r="H1154" s="172">
        <f t="shared" si="2"/>
        <v>0</v>
      </c>
      <c r="I1154" s="169" t="s">
        <v>4399</v>
      </c>
      <c r="J1154" s="268">
        <v>45902.0</v>
      </c>
      <c r="K1154" s="169" t="s">
        <v>2758</v>
      </c>
      <c r="L1154" s="282"/>
      <c r="M1154" s="282"/>
      <c r="N1154" s="282"/>
      <c r="O1154" s="282"/>
      <c r="P1154" s="282"/>
      <c r="Q1154" s="282"/>
      <c r="R1154" s="282"/>
      <c r="S1154" s="282"/>
      <c r="T1154" s="282"/>
      <c r="U1154" s="282"/>
      <c r="V1154" s="282"/>
      <c r="W1154" s="282"/>
      <c r="X1154" s="282"/>
      <c r="Y1154" s="282"/>
      <c r="Z1154" s="282"/>
      <c r="AA1154" s="282"/>
      <c r="AB1154" s="282"/>
      <c r="AC1154" s="282"/>
      <c r="AD1154" s="282"/>
    </row>
    <row r="1155">
      <c r="A1155" s="181">
        <v>16532.0</v>
      </c>
      <c r="B1155" s="175" t="s">
        <v>4400</v>
      </c>
      <c r="C1155" s="174">
        <v>2009.0</v>
      </c>
      <c r="D1155" s="176" t="s">
        <v>2654</v>
      </c>
      <c r="E1155" s="176" t="s">
        <v>47</v>
      </c>
      <c r="F1155" s="177" t="s">
        <v>4401</v>
      </c>
      <c r="G1155" s="178">
        <v>45902.0</v>
      </c>
      <c r="H1155" s="179">
        <f t="shared" si="2"/>
        <v>1</v>
      </c>
      <c r="I1155" s="180" t="s">
        <v>4402</v>
      </c>
      <c r="J1155" s="178">
        <v>45903.0</v>
      </c>
      <c r="K1155" s="175" t="s">
        <v>2758</v>
      </c>
      <c r="L1155" s="282"/>
      <c r="M1155" s="282"/>
      <c r="N1155" s="282"/>
      <c r="O1155" s="282"/>
      <c r="P1155" s="282"/>
      <c r="Q1155" s="282"/>
      <c r="R1155" s="282"/>
      <c r="S1155" s="282"/>
      <c r="T1155" s="282"/>
      <c r="U1155" s="282"/>
      <c r="V1155" s="282"/>
      <c r="W1155" s="282"/>
      <c r="X1155" s="282"/>
      <c r="Y1155" s="282"/>
      <c r="Z1155" s="282"/>
      <c r="AA1155" s="282"/>
      <c r="AB1155" s="282"/>
      <c r="AC1155" s="282"/>
      <c r="AD1155" s="282"/>
    </row>
    <row r="1156">
      <c r="A1156" s="183">
        <v>16538.0</v>
      </c>
      <c r="B1156" s="142" t="s">
        <v>4224</v>
      </c>
      <c r="C1156" s="168">
        <v>2014.0</v>
      </c>
      <c r="D1156" s="142" t="s">
        <v>130</v>
      </c>
      <c r="E1156" s="142" t="s">
        <v>240</v>
      </c>
      <c r="F1156" s="170" t="s">
        <v>4225</v>
      </c>
      <c r="G1156" s="171">
        <v>45903.0</v>
      </c>
      <c r="H1156" s="172">
        <f t="shared" si="2"/>
        <v>12</v>
      </c>
      <c r="I1156" s="169" t="s">
        <v>3418</v>
      </c>
      <c r="J1156" s="268">
        <v>45915.0</v>
      </c>
      <c r="K1156" s="169" t="s">
        <v>31</v>
      </c>
      <c r="L1156" s="282"/>
      <c r="M1156" s="282"/>
      <c r="N1156" s="282"/>
      <c r="O1156" s="282"/>
      <c r="P1156" s="282"/>
      <c r="Q1156" s="282"/>
      <c r="R1156" s="282"/>
      <c r="S1156" s="282"/>
      <c r="T1156" s="282"/>
      <c r="U1156" s="282"/>
      <c r="V1156" s="282"/>
      <c r="W1156" s="282"/>
      <c r="X1156" s="282"/>
      <c r="Y1156" s="282"/>
      <c r="Z1156" s="282"/>
      <c r="AA1156" s="282"/>
      <c r="AB1156" s="282"/>
      <c r="AC1156" s="282"/>
      <c r="AD1156" s="282"/>
    </row>
    <row r="1157">
      <c r="A1157" s="181">
        <v>16539.0</v>
      </c>
      <c r="B1157" s="176" t="s">
        <v>3253</v>
      </c>
      <c r="C1157" s="174">
        <v>2009.0</v>
      </c>
      <c r="D1157" s="176" t="s">
        <v>2629</v>
      </c>
      <c r="E1157" s="176" t="s">
        <v>4403</v>
      </c>
      <c r="F1157" s="177" t="s">
        <v>3254</v>
      </c>
      <c r="G1157" s="178">
        <v>45903.0</v>
      </c>
      <c r="H1157" s="179">
        <f t="shared" si="2"/>
        <v>15</v>
      </c>
      <c r="I1157" s="175" t="s">
        <v>4404</v>
      </c>
      <c r="J1157" s="269">
        <v>45918.0</v>
      </c>
      <c r="K1157" s="175" t="s">
        <v>2627</v>
      </c>
      <c r="L1157" s="282"/>
      <c r="M1157" s="282"/>
      <c r="N1157" s="282"/>
      <c r="O1157" s="282"/>
      <c r="P1157" s="282"/>
      <c r="Q1157" s="282"/>
      <c r="R1157" s="282"/>
      <c r="S1157" s="282"/>
      <c r="T1157" s="282"/>
      <c r="U1157" s="282"/>
      <c r="V1157" s="282"/>
      <c r="W1157" s="282"/>
      <c r="X1157" s="282"/>
      <c r="Y1157" s="282"/>
      <c r="Z1157" s="282"/>
      <c r="AA1157" s="282"/>
      <c r="AB1157" s="282"/>
      <c r="AC1157" s="282"/>
      <c r="AD1157" s="282"/>
    </row>
    <row r="1158">
      <c r="A1158" s="183">
        <v>16540.0</v>
      </c>
      <c r="B1158" s="142" t="s">
        <v>2974</v>
      </c>
      <c r="C1158" s="168">
        <v>2017.0</v>
      </c>
      <c r="D1158" s="142" t="s">
        <v>52</v>
      </c>
      <c r="E1158" s="142" t="s">
        <v>160</v>
      </c>
      <c r="F1158" s="170" t="s">
        <v>2975</v>
      </c>
      <c r="G1158" s="171">
        <v>45903.0</v>
      </c>
      <c r="H1158" s="172">
        <f t="shared" si="2"/>
        <v>2</v>
      </c>
      <c r="I1158" s="169" t="s">
        <v>4405</v>
      </c>
      <c r="J1158" s="268">
        <v>45905.0</v>
      </c>
      <c r="K1158" s="169" t="s">
        <v>2758</v>
      </c>
      <c r="L1158" s="282"/>
      <c r="M1158" s="282"/>
      <c r="N1158" s="282"/>
      <c r="O1158" s="282"/>
      <c r="P1158" s="282"/>
      <c r="Q1158" s="282"/>
      <c r="R1158" s="282"/>
      <c r="S1158" s="282"/>
      <c r="T1158" s="282"/>
      <c r="U1158" s="282"/>
      <c r="V1158" s="282"/>
      <c r="W1158" s="282"/>
      <c r="X1158" s="282"/>
      <c r="Y1158" s="282"/>
      <c r="Z1158" s="282"/>
      <c r="AA1158" s="282"/>
      <c r="AB1158" s="282"/>
      <c r="AC1158" s="282"/>
      <c r="AD1158" s="282"/>
    </row>
    <row r="1159">
      <c r="A1159" s="181">
        <v>16541.0</v>
      </c>
      <c r="B1159" s="176" t="s">
        <v>238</v>
      </c>
      <c r="C1159" s="174">
        <v>2022.0</v>
      </c>
      <c r="D1159" s="176" t="s">
        <v>52</v>
      </c>
      <c r="E1159" s="176" t="s">
        <v>240</v>
      </c>
      <c r="F1159" s="177" t="s">
        <v>241</v>
      </c>
      <c r="G1159" s="178">
        <v>45903.0</v>
      </c>
      <c r="H1159" s="179">
        <f t="shared" si="2"/>
        <v>1</v>
      </c>
      <c r="I1159" s="175" t="s">
        <v>4406</v>
      </c>
      <c r="J1159" s="269">
        <v>45904.0</v>
      </c>
      <c r="K1159" s="175" t="s">
        <v>31</v>
      </c>
      <c r="L1159" s="282"/>
      <c r="M1159" s="282"/>
      <c r="N1159" s="282"/>
      <c r="O1159" s="282"/>
      <c r="P1159" s="282"/>
      <c r="Q1159" s="282"/>
      <c r="R1159" s="282"/>
      <c r="S1159" s="282"/>
      <c r="T1159" s="282"/>
      <c r="U1159" s="282"/>
      <c r="V1159" s="282"/>
      <c r="W1159" s="282"/>
      <c r="X1159" s="282"/>
      <c r="Y1159" s="282"/>
      <c r="Z1159" s="282"/>
      <c r="AA1159" s="282"/>
      <c r="AB1159" s="282"/>
      <c r="AC1159" s="282"/>
      <c r="AD1159" s="282"/>
    </row>
    <row r="1160">
      <c r="A1160" s="183">
        <v>16544.0</v>
      </c>
      <c r="B1160" s="169" t="s">
        <v>94</v>
      </c>
      <c r="C1160" s="168">
        <v>2022.0</v>
      </c>
      <c r="D1160" s="142" t="s">
        <v>52</v>
      </c>
      <c r="E1160" s="142" t="s">
        <v>2983</v>
      </c>
      <c r="F1160" s="170" t="s">
        <v>96</v>
      </c>
      <c r="G1160" s="171">
        <v>45904.0</v>
      </c>
      <c r="H1160" s="172">
        <f t="shared" si="2"/>
        <v>1</v>
      </c>
      <c r="I1160" s="173" t="s">
        <v>3418</v>
      </c>
      <c r="J1160" s="171">
        <v>45905.0</v>
      </c>
      <c r="K1160" s="169" t="s">
        <v>31</v>
      </c>
      <c r="L1160" s="282"/>
      <c r="M1160" s="282"/>
      <c r="N1160" s="282"/>
      <c r="O1160" s="282"/>
      <c r="P1160" s="282"/>
      <c r="Q1160" s="282"/>
      <c r="R1160" s="282"/>
      <c r="S1160" s="282"/>
      <c r="T1160" s="282"/>
      <c r="U1160" s="282"/>
      <c r="V1160" s="282"/>
      <c r="W1160" s="282"/>
      <c r="X1160" s="282"/>
      <c r="Y1160" s="282"/>
      <c r="Z1160" s="282"/>
      <c r="AA1160" s="282"/>
      <c r="AB1160" s="282"/>
      <c r="AC1160" s="282"/>
      <c r="AD1160" s="282"/>
    </row>
    <row r="1161">
      <c r="A1161" s="181">
        <v>16548.0</v>
      </c>
      <c r="B1161" s="175" t="s">
        <v>1233</v>
      </c>
      <c r="C1161" s="174">
        <v>2022.0</v>
      </c>
      <c r="D1161" s="176" t="s">
        <v>14</v>
      </c>
      <c r="E1161" s="176" t="s">
        <v>28</v>
      </c>
      <c r="F1161" s="177" t="s">
        <v>1234</v>
      </c>
      <c r="G1161" s="178">
        <v>45904.0</v>
      </c>
      <c r="H1161" s="179">
        <f t="shared" si="2"/>
        <v>1</v>
      </c>
      <c r="I1161" s="180" t="s">
        <v>3188</v>
      </c>
      <c r="J1161" s="178">
        <v>45905.0</v>
      </c>
      <c r="K1161" s="175" t="s">
        <v>31</v>
      </c>
      <c r="L1161" s="282"/>
      <c r="M1161" s="282"/>
      <c r="N1161" s="282"/>
      <c r="O1161" s="282"/>
      <c r="P1161" s="282"/>
      <c r="Q1161" s="282"/>
      <c r="R1161" s="282"/>
      <c r="S1161" s="282"/>
      <c r="T1161" s="282"/>
      <c r="U1161" s="282"/>
      <c r="V1161" s="282"/>
      <c r="W1161" s="282"/>
      <c r="X1161" s="282"/>
      <c r="Y1161" s="282"/>
      <c r="Z1161" s="282"/>
      <c r="AA1161" s="282"/>
      <c r="AB1161" s="282"/>
      <c r="AC1161" s="282"/>
      <c r="AD1161" s="282"/>
    </row>
    <row r="1162">
      <c r="A1162" s="183">
        <v>16549.0</v>
      </c>
      <c r="B1162" s="142" t="s">
        <v>4407</v>
      </c>
      <c r="C1162" s="168">
        <v>2019.0</v>
      </c>
      <c r="D1162" s="142" t="s">
        <v>451</v>
      </c>
      <c r="E1162" s="142" t="s">
        <v>4408</v>
      </c>
      <c r="F1162" s="170" t="s">
        <v>4409</v>
      </c>
      <c r="G1162" s="171">
        <v>45904.0</v>
      </c>
      <c r="H1162" s="172">
        <f t="shared" si="2"/>
        <v>0</v>
      </c>
      <c r="I1162" s="169" t="s">
        <v>533</v>
      </c>
      <c r="J1162" s="171">
        <v>45904.0</v>
      </c>
      <c r="K1162" s="169" t="s">
        <v>2758</v>
      </c>
      <c r="L1162" s="282"/>
      <c r="M1162" s="282"/>
      <c r="N1162" s="282"/>
      <c r="O1162" s="282"/>
      <c r="P1162" s="282"/>
      <c r="Q1162" s="282"/>
      <c r="R1162" s="282"/>
      <c r="S1162" s="282"/>
      <c r="T1162" s="282"/>
      <c r="U1162" s="282"/>
      <c r="V1162" s="282"/>
      <c r="W1162" s="282"/>
      <c r="X1162" s="282"/>
      <c r="Y1162" s="282"/>
      <c r="Z1162" s="282"/>
      <c r="AA1162" s="282"/>
      <c r="AB1162" s="282"/>
      <c r="AC1162" s="282"/>
      <c r="AD1162" s="282"/>
    </row>
    <row r="1163">
      <c r="A1163" s="181">
        <v>16550.0</v>
      </c>
      <c r="B1163" s="175" t="s">
        <v>1137</v>
      </c>
      <c r="C1163" s="174">
        <v>2018.0</v>
      </c>
      <c r="D1163" s="176" t="s">
        <v>14</v>
      </c>
      <c r="E1163" s="176" t="s">
        <v>3448</v>
      </c>
      <c r="F1163" s="177" t="s">
        <v>1138</v>
      </c>
      <c r="G1163" s="178">
        <v>45904.0</v>
      </c>
      <c r="H1163" s="179">
        <f t="shared" si="2"/>
        <v>1</v>
      </c>
      <c r="I1163" s="180" t="s">
        <v>533</v>
      </c>
      <c r="J1163" s="178">
        <v>45905.0</v>
      </c>
      <c r="K1163" s="175" t="s">
        <v>2758</v>
      </c>
      <c r="L1163" s="282"/>
      <c r="M1163" s="282"/>
      <c r="N1163" s="282"/>
      <c r="O1163" s="282"/>
      <c r="P1163" s="282"/>
      <c r="Q1163" s="282"/>
      <c r="R1163" s="282"/>
      <c r="S1163" s="282"/>
      <c r="T1163" s="282"/>
      <c r="U1163" s="282"/>
      <c r="V1163" s="282"/>
      <c r="W1163" s="282"/>
      <c r="X1163" s="282"/>
      <c r="Y1163" s="282"/>
      <c r="Z1163" s="282"/>
      <c r="AA1163" s="282"/>
      <c r="AB1163" s="282"/>
      <c r="AC1163" s="282"/>
      <c r="AD1163" s="282"/>
    </row>
    <row r="1164">
      <c r="A1164" s="183">
        <v>16554.0</v>
      </c>
      <c r="B1164" s="142" t="s">
        <v>2096</v>
      </c>
      <c r="C1164" s="168">
        <v>2022.0</v>
      </c>
      <c r="D1164" s="142" t="s">
        <v>52</v>
      </c>
      <c r="E1164" s="142" t="s">
        <v>235</v>
      </c>
      <c r="F1164" s="170" t="s">
        <v>2097</v>
      </c>
      <c r="G1164" s="171">
        <v>45905.0</v>
      </c>
      <c r="H1164" s="172">
        <f t="shared" si="2"/>
        <v>0</v>
      </c>
      <c r="I1164" s="169" t="s">
        <v>4410</v>
      </c>
      <c r="J1164" s="171">
        <v>45905.0</v>
      </c>
      <c r="K1164" s="169" t="s">
        <v>2758</v>
      </c>
      <c r="L1164" s="242"/>
      <c r="M1164" s="242"/>
      <c r="N1164" s="242"/>
      <c r="O1164" s="242"/>
      <c r="P1164" s="242"/>
      <c r="Q1164" s="242"/>
      <c r="R1164" s="242"/>
      <c r="S1164" s="242"/>
      <c r="T1164" s="242"/>
      <c r="U1164" s="242"/>
      <c r="V1164" s="242"/>
      <c r="W1164" s="242"/>
      <c r="X1164" s="242"/>
      <c r="Y1164" s="242"/>
      <c r="Z1164" s="242"/>
      <c r="AA1164" s="242"/>
      <c r="AB1164" s="242"/>
      <c r="AC1164" s="242"/>
      <c r="AD1164" s="242"/>
      <c r="AE1164" s="242"/>
      <c r="AF1164" s="242"/>
      <c r="AG1164" s="242"/>
      <c r="AH1164" s="242"/>
      <c r="AI1164" s="242"/>
      <c r="AJ1164" s="242"/>
      <c r="AK1164" s="242"/>
      <c r="AL1164" s="242"/>
      <c r="AM1164" s="242"/>
      <c r="AN1164" s="242"/>
      <c r="AO1164" s="242"/>
    </row>
    <row r="1165">
      <c r="A1165" s="181">
        <v>16558.0</v>
      </c>
      <c r="B1165" s="175" t="s">
        <v>46</v>
      </c>
      <c r="C1165" s="174">
        <v>2022.0</v>
      </c>
      <c r="D1165" s="176" t="s">
        <v>2875</v>
      </c>
      <c r="E1165" s="176" t="s">
        <v>47</v>
      </c>
      <c r="F1165" s="177" t="s">
        <v>48</v>
      </c>
      <c r="G1165" s="178">
        <v>45905.0</v>
      </c>
      <c r="H1165" s="179">
        <f t="shared" si="2"/>
        <v>0</v>
      </c>
      <c r="I1165" s="180" t="s">
        <v>4411</v>
      </c>
      <c r="J1165" s="178">
        <v>45905.0</v>
      </c>
      <c r="K1165" s="175" t="s">
        <v>31</v>
      </c>
      <c r="L1165" s="282"/>
      <c r="M1165" s="282"/>
      <c r="N1165" s="282"/>
      <c r="O1165" s="282"/>
      <c r="P1165" s="282"/>
      <c r="Q1165" s="282"/>
      <c r="R1165" s="282"/>
      <c r="S1165" s="282"/>
      <c r="T1165" s="282"/>
      <c r="U1165" s="282"/>
      <c r="V1165" s="282"/>
      <c r="W1165" s="282"/>
      <c r="X1165" s="282"/>
      <c r="Y1165" s="282"/>
      <c r="Z1165" s="282"/>
      <c r="AA1165" s="282"/>
      <c r="AB1165" s="282"/>
      <c r="AC1165" s="282"/>
      <c r="AD1165" s="282"/>
    </row>
    <row r="1166">
      <c r="A1166" s="183">
        <v>16560.0</v>
      </c>
      <c r="B1166" s="169" t="s">
        <v>111</v>
      </c>
      <c r="C1166" s="168">
        <v>2022.0</v>
      </c>
      <c r="D1166" s="142" t="s">
        <v>52</v>
      </c>
      <c r="E1166" s="142" t="s">
        <v>28</v>
      </c>
      <c r="F1166" s="170" t="s">
        <v>112</v>
      </c>
      <c r="G1166" s="171">
        <v>45908.0</v>
      </c>
      <c r="H1166" s="172">
        <f t="shared" si="2"/>
        <v>0</v>
      </c>
      <c r="I1166" s="173" t="s">
        <v>4412</v>
      </c>
      <c r="J1166" s="171">
        <v>45908.0</v>
      </c>
      <c r="K1166" s="169" t="s">
        <v>2758</v>
      </c>
      <c r="L1166" s="282"/>
      <c r="M1166" s="282"/>
      <c r="N1166" s="282"/>
      <c r="O1166" s="282"/>
      <c r="P1166" s="282"/>
      <c r="Q1166" s="282"/>
      <c r="R1166" s="282"/>
      <c r="S1166" s="282"/>
      <c r="T1166" s="282"/>
      <c r="U1166" s="282"/>
      <c r="V1166" s="282"/>
      <c r="W1166" s="282"/>
      <c r="X1166" s="282"/>
      <c r="Y1166" s="282"/>
      <c r="Z1166" s="282"/>
      <c r="AA1166" s="282"/>
      <c r="AB1166" s="282"/>
      <c r="AC1166" s="282"/>
      <c r="AD1166" s="282"/>
    </row>
    <row r="1167">
      <c r="A1167" s="181">
        <v>16564.0</v>
      </c>
      <c r="B1167" s="176" t="s">
        <v>4001</v>
      </c>
      <c r="C1167" s="174">
        <v>2015.0</v>
      </c>
      <c r="D1167" s="176" t="s">
        <v>14</v>
      </c>
      <c r="E1167" s="176" t="s">
        <v>125</v>
      </c>
      <c r="F1167" s="177" t="s">
        <v>4002</v>
      </c>
      <c r="G1167" s="178">
        <v>45908.0</v>
      </c>
      <c r="H1167" s="179">
        <f t="shared" si="2"/>
        <v>14</v>
      </c>
      <c r="I1167" s="175" t="s">
        <v>2736</v>
      </c>
      <c r="J1167" s="269">
        <v>45922.0</v>
      </c>
      <c r="K1167" s="175" t="s">
        <v>31</v>
      </c>
      <c r="L1167" s="282"/>
      <c r="M1167" s="282"/>
      <c r="N1167" s="282"/>
      <c r="O1167" s="282"/>
      <c r="P1167" s="282"/>
      <c r="Q1167" s="282"/>
      <c r="R1167" s="282"/>
      <c r="S1167" s="282"/>
      <c r="T1167" s="282"/>
      <c r="U1167" s="282"/>
      <c r="V1167" s="282"/>
      <c r="W1167" s="282"/>
      <c r="X1167" s="282"/>
      <c r="Y1167" s="282"/>
      <c r="Z1167" s="282"/>
      <c r="AA1167" s="282"/>
      <c r="AB1167" s="282"/>
      <c r="AC1167" s="282"/>
      <c r="AD1167" s="282"/>
    </row>
    <row r="1168">
      <c r="A1168" s="183">
        <v>16579.0</v>
      </c>
      <c r="B1168" s="169" t="s">
        <v>3416</v>
      </c>
      <c r="C1168" s="168">
        <v>2020.0</v>
      </c>
      <c r="D1168" s="142" t="s">
        <v>14</v>
      </c>
      <c r="E1168" s="142" t="s">
        <v>2788</v>
      </c>
      <c r="F1168" s="170" t="s">
        <v>4413</v>
      </c>
      <c r="G1168" s="171">
        <v>45909.0</v>
      </c>
      <c r="H1168" s="172">
        <f t="shared" si="2"/>
        <v>1</v>
      </c>
      <c r="I1168" s="173" t="s">
        <v>4414</v>
      </c>
      <c r="J1168" s="171">
        <v>45910.0</v>
      </c>
      <c r="K1168" s="169" t="s">
        <v>2758</v>
      </c>
      <c r="L1168" s="282"/>
      <c r="M1168" s="282"/>
      <c r="N1168" s="282"/>
      <c r="O1168" s="282"/>
      <c r="P1168" s="282"/>
      <c r="Q1168" s="282"/>
      <c r="R1168" s="282"/>
      <c r="S1168" s="282"/>
      <c r="T1168" s="282"/>
      <c r="U1168" s="282"/>
      <c r="V1168" s="282"/>
      <c r="W1168" s="282"/>
      <c r="X1168" s="282"/>
      <c r="Y1168" s="282"/>
      <c r="Z1168" s="282"/>
      <c r="AA1168" s="282"/>
      <c r="AB1168" s="282"/>
      <c r="AC1168" s="282"/>
      <c r="AD1168" s="282"/>
    </row>
    <row r="1169">
      <c r="A1169" s="181">
        <v>16582.0</v>
      </c>
      <c r="B1169" s="176" t="s">
        <v>664</v>
      </c>
      <c r="C1169" s="174">
        <v>2014.0</v>
      </c>
      <c r="D1169" s="176" t="s">
        <v>105</v>
      </c>
      <c r="E1169" s="176" t="s">
        <v>169</v>
      </c>
      <c r="F1169" s="177" t="s">
        <v>665</v>
      </c>
      <c r="G1169" s="178">
        <v>45911.0</v>
      </c>
      <c r="H1169" s="179">
        <f t="shared" si="2"/>
        <v>4</v>
      </c>
      <c r="I1169" s="175" t="s">
        <v>4415</v>
      </c>
      <c r="J1169" s="178">
        <v>45915.0</v>
      </c>
      <c r="K1169" s="175" t="s">
        <v>2758</v>
      </c>
      <c r="L1169" s="282"/>
      <c r="M1169" s="282"/>
      <c r="N1169" s="282"/>
      <c r="O1169" s="282"/>
      <c r="P1169" s="282"/>
      <c r="Q1169" s="282"/>
      <c r="R1169" s="282"/>
      <c r="S1169" s="282"/>
      <c r="T1169" s="282"/>
      <c r="U1169" s="282"/>
      <c r="V1169" s="282"/>
      <c r="W1169" s="282"/>
      <c r="X1169" s="282"/>
      <c r="Y1169" s="282"/>
      <c r="Z1169" s="282"/>
      <c r="AA1169" s="282"/>
      <c r="AB1169" s="282"/>
      <c r="AC1169" s="282"/>
      <c r="AD1169" s="282"/>
    </row>
    <row r="1170">
      <c r="A1170" s="183">
        <v>16583.0</v>
      </c>
      <c r="B1170" s="169" t="s">
        <v>2991</v>
      </c>
      <c r="C1170" s="168">
        <v>2020.0</v>
      </c>
      <c r="D1170" s="142" t="s">
        <v>451</v>
      </c>
      <c r="E1170" s="142" t="s">
        <v>405</v>
      </c>
      <c r="F1170" s="170" t="s">
        <v>2992</v>
      </c>
      <c r="G1170" s="171">
        <v>45910.0</v>
      </c>
      <c r="H1170" s="172">
        <f t="shared" si="2"/>
        <v>0</v>
      </c>
      <c r="I1170" s="173" t="s">
        <v>4416</v>
      </c>
      <c r="J1170" s="171">
        <v>45910.0</v>
      </c>
      <c r="K1170" s="169" t="s">
        <v>2758</v>
      </c>
      <c r="L1170" s="282"/>
      <c r="M1170" s="282"/>
      <c r="N1170" s="282"/>
      <c r="O1170" s="282"/>
      <c r="P1170" s="282"/>
      <c r="Q1170" s="282"/>
      <c r="R1170" s="282"/>
      <c r="S1170" s="282"/>
      <c r="T1170" s="282"/>
      <c r="U1170" s="282"/>
      <c r="V1170" s="282"/>
      <c r="W1170" s="282"/>
      <c r="X1170" s="282"/>
      <c r="Y1170" s="282"/>
      <c r="Z1170" s="282"/>
      <c r="AA1170" s="282"/>
      <c r="AB1170" s="282"/>
      <c r="AC1170" s="282"/>
      <c r="AD1170" s="282"/>
    </row>
    <row r="1171">
      <c r="A1171" s="174">
        <v>16587.0</v>
      </c>
      <c r="B1171" s="175" t="s">
        <v>4417</v>
      </c>
      <c r="C1171" s="174">
        <v>2022.0</v>
      </c>
      <c r="D1171" s="176" t="s">
        <v>52</v>
      </c>
      <c r="E1171" s="176" t="s">
        <v>82</v>
      </c>
      <c r="F1171" s="177" t="s">
        <v>342</v>
      </c>
      <c r="G1171" s="178">
        <v>45911.0</v>
      </c>
      <c r="H1171" s="179">
        <f t="shared" si="2"/>
        <v>0</v>
      </c>
      <c r="I1171" s="180" t="s">
        <v>4418</v>
      </c>
      <c r="J1171" s="178">
        <v>45911.0</v>
      </c>
      <c r="K1171" s="175" t="s">
        <v>2758</v>
      </c>
      <c r="L1171" s="152"/>
      <c r="M1171" s="152"/>
      <c r="N1171" s="152"/>
      <c r="O1171" s="152"/>
      <c r="P1171" s="152"/>
      <c r="Q1171" s="152"/>
      <c r="R1171" s="152"/>
      <c r="S1171" s="152"/>
      <c r="T1171" s="152"/>
      <c r="U1171" s="152"/>
      <c r="V1171" s="152"/>
      <c r="W1171" s="152"/>
      <c r="X1171" s="152"/>
      <c r="Y1171" s="152"/>
      <c r="Z1171" s="152"/>
      <c r="AA1171" s="152"/>
      <c r="AB1171" s="152"/>
      <c r="AC1171" s="152"/>
      <c r="AD1171" s="282"/>
    </row>
    <row r="1172">
      <c r="A1172" s="183">
        <v>16590.0</v>
      </c>
      <c r="B1172" s="169" t="s">
        <v>1721</v>
      </c>
      <c r="C1172" s="168">
        <v>2022.0</v>
      </c>
      <c r="D1172" s="142" t="s">
        <v>52</v>
      </c>
      <c r="E1172" s="142" t="s">
        <v>725</v>
      </c>
      <c r="F1172" s="170" t="s">
        <v>1722</v>
      </c>
      <c r="G1172" s="171">
        <v>45911.0</v>
      </c>
      <c r="H1172" s="172">
        <f t="shared" si="2"/>
        <v>0</v>
      </c>
      <c r="I1172" s="173" t="s">
        <v>4419</v>
      </c>
      <c r="J1172" s="171">
        <v>45911.0</v>
      </c>
      <c r="K1172" s="169" t="s">
        <v>31</v>
      </c>
      <c r="L1172" s="152"/>
      <c r="M1172" s="152"/>
      <c r="N1172" s="152"/>
      <c r="O1172" s="152"/>
      <c r="P1172" s="152"/>
      <c r="Q1172" s="152"/>
      <c r="R1172" s="152"/>
      <c r="S1172" s="152"/>
      <c r="T1172" s="152"/>
      <c r="U1172" s="152"/>
      <c r="V1172" s="152"/>
      <c r="W1172" s="152"/>
      <c r="X1172" s="152"/>
      <c r="Y1172" s="152"/>
      <c r="Z1172" s="152"/>
      <c r="AA1172" s="152"/>
      <c r="AB1172" s="152"/>
      <c r="AC1172" s="152"/>
      <c r="AD1172" s="282"/>
    </row>
    <row r="1173">
      <c r="A1173" s="181">
        <v>16591.0</v>
      </c>
      <c r="B1173" s="176" t="s">
        <v>1858</v>
      </c>
      <c r="C1173" s="174">
        <v>2020.0</v>
      </c>
      <c r="D1173" s="176" t="s">
        <v>105</v>
      </c>
      <c r="E1173" s="176" t="s">
        <v>459</v>
      </c>
      <c r="F1173" s="234">
        <v>45792.0</v>
      </c>
      <c r="G1173" s="178">
        <v>45911.0</v>
      </c>
      <c r="H1173" s="179">
        <f t="shared" si="2"/>
        <v>4</v>
      </c>
      <c r="I1173" s="175" t="s">
        <v>2718</v>
      </c>
      <c r="J1173" s="178">
        <v>45915.0</v>
      </c>
      <c r="K1173" s="175" t="s">
        <v>2758</v>
      </c>
      <c r="L1173" s="152"/>
      <c r="M1173" s="152"/>
      <c r="N1173" s="152"/>
      <c r="O1173" s="152"/>
      <c r="P1173" s="152"/>
      <c r="Q1173" s="152"/>
      <c r="R1173" s="152"/>
      <c r="S1173" s="152"/>
      <c r="T1173" s="152"/>
      <c r="U1173" s="152"/>
      <c r="V1173" s="152"/>
      <c r="W1173" s="152"/>
      <c r="X1173" s="152"/>
      <c r="Y1173" s="152"/>
      <c r="Z1173" s="152"/>
      <c r="AA1173" s="152"/>
      <c r="AB1173" s="152"/>
      <c r="AC1173" s="152"/>
      <c r="AD1173" s="282"/>
    </row>
    <row r="1174">
      <c r="A1174" s="183">
        <v>16593.0</v>
      </c>
      <c r="B1174" s="169" t="s">
        <v>3696</v>
      </c>
      <c r="C1174" s="168">
        <v>2015.0</v>
      </c>
      <c r="D1174" s="142" t="s">
        <v>52</v>
      </c>
      <c r="E1174" s="142" t="s">
        <v>3329</v>
      </c>
      <c r="F1174" s="241">
        <v>45976.0</v>
      </c>
      <c r="G1174" s="171">
        <v>45911.0</v>
      </c>
      <c r="H1174" s="172">
        <f t="shared" si="2"/>
        <v>0</v>
      </c>
      <c r="I1174" s="173" t="s">
        <v>4420</v>
      </c>
      <c r="J1174" s="171">
        <v>45911.0</v>
      </c>
      <c r="K1174" s="169" t="s">
        <v>31</v>
      </c>
      <c r="L1174" s="242"/>
      <c r="M1174" s="242"/>
      <c r="N1174" s="242"/>
      <c r="O1174" s="242"/>
      <c r="P1174" s="242"/>
      <c r="Q1174" s="242"/>
      <c r="R1174" s="242"/>
      <c r="S1174" s="242"/>
      <c r="T1174" s="242"/>
      <c r="U1174" s="242"/>
      <c r="V1174" s="242"/>
      <c r="W1174" s="242"/>
      <c r="X1174" s="242"/>
      <c r="Y1174" s="242"/>
      <c r="Z1174" s="242"/>
      <c r="AA1174" s="242"/>
      <c r="AB1174" s="242"/>
      <c r="AC1174" s="242"/>
      <c r="AD1174" s="242"/>
      <c r="AE1174" s="242"/>
      <c r="AF1174" s="242"/>
      <c r="AG1174" s="242"/>
      <c r="AH1174" s="242"/>
      <c r="AI1174" s="242"/>
      <c r="AJ1174" s="242"/>
      <c r="AK1174" s="242"/>
      <c r="AL1174" s="242"/>
      <c r="AM1174" s="242"/>
      <c r="AN1174" s="242"/>
      <c r="AO1174" s="242"/>
    </row>
    <row r="1175">
      <c r="A1175" s="181">
        <v>16595.0</v>
      </c>
      <c r="B1175" s="175" t="s">
        <v>1126</v>
      </c>
      <c r="C1175" s="174">
        <v>2022.0</v>
      </c>
      <c r="D1175" s="176" t="s">
        <v>52</v>
      </c>
      <c r="E1175" s="176" t="s">
        <v>3928</v>
      </c>
      <c r="F1175" s="177" t="s">
        <v>1127</v>
      </c>
      <c r="G1175" s="178">
        <v>45911.0</v>
      </c>
      <c r="H1175" s="179">
        <f t="shared" si="2"/>
        <v>0</v>
      </c>
      <c r="I1175" s="180" t="s">
        <v>4421</v>
      </c>
      <c r="J1175" s="178">
        <v>45911.0</v>
      </c>
      <c r="K1175" s="175" t="s">
        <v>2758</v>
      </c>
      <c r="L1175" s="152"/>
      <c r="M1175" s="152"/>
      <c r="N1175" s="152"/>
      <c r="O1175" s="152"/>
      <c r="P1175" s="152"/>
      <c r="Q1175" s="152"/>
      <c r="R1175" s="152"/>
      <c r="S1175" s="152"/>
      <c r="T1175" s="152"/>
      <c r="U1175" s="152"/>
      <c r="V1175" s="152"/>
      <c r="W1175" s="152"/>
      <c r="X1175" s="152"/>
      <c r="Y1175" s="152"/>
      <c r="Z1175" s="152"/>
      <c r="AA1175" s="152"/>
      <c r="AB1175" s="152"/>
      <c r="AC1175" s="152"/>
      <c r="AD1175" s="282"/>
    </row>
    <row r="1176">
      <c r="A1176" s="183">
        <v>16596.0</v>
      </c>
      <c r="B1176" s="169" t="s">
        <v>417</v>
      </c>
      <c r="C1176" s="168">
        <v>2022.0</v>
      </c>
      <c r="D1176" s="142" t="s">
        <v>52</v>
      </c>
      <c r="E1176" s="142" t="s">
        <v>418</v>
      </c>
      <c r="F1176" s="170" t="s">
        <v>419</v>
      </c>
      <c r="G1176" s="171">
        <v>45911.0</v>
      </c>
      <c r="H1176" s="172">
        <f t="shared" si="2"/>
        <v>0</v>
      </c>
      <c r="I1176" s="173" t="s">
        <v>4422</v>
      </c>
      <c r="J1176" s="171">
        <v>45911.0</v>
      </c>
      <c r="K1176" s="169" t="s">
        <v>2758</v>
      </c>
      <c r="L1176" s="152"/>
      <c r="M1176" s="152"/>
      <c r="N1176" s="152"/>
      <c r="O1176" s="152"/>
      <c r="P1176" s="152"/>
      <c r="Q1176" s="152"/>
      <c r="R1176" s="152"/>
      <c r="S1176" s="152"/>
      <c r="T1176" s="152"/>
      <c r="U1176" s="152"/>
      <c r="V1176" s="152"/>
      <c r="W1176" s="152"/>
      <c r="X1176" s="152"/>
      <c r="Y1176" s="152"/>
      <c r="Z1176" s="152"/>
      <c r="AA1176" s="152"/>
      <c r="AB1176" s="152"/>
      <c r="AC1176" s="152"/>
      <c r="AD1176" s="282"/>
    </row>
    <row r="1177">
      <c r="A1177" s="181">
        <v>16599.0</v>
      </c>
      <c r="B1177" s="175" t="s">
        <v>2048</v>
      </c>
      <c r="C1177" s="174">
        <v>2022.0</v>
      </c>
      <c r="D1177" s="176" t="s">
        <v>52</v>
      </c>
      <c r="E1177" s="176" t="s">
        <v>125</v>
      </c>
      <c r="F1177" s="177" t="s">
        <v>2049</v>
      </c>
      <c r="G1177" s="178">
        <v>45911.0</v>
      </c>
      <c r="H1177" s="179">
        <f t="shared" si="2"/>
        <v>0</v>
      </c>
      <c r="I1177" s="180" t="s">
        <v>4423</v>
      </c>
      <c r="J1177" s="178">
        <v>45911.0</v>
      </c>
      <c r="K1177" s="175" t="s">
        <v>2758</v>
      </c>
      <c r="L1177" s="152"/>
      <c r="M1177" s="152"/>
      <c r="N1177" s="152"/>
      <c r="O1177" s="152"/>
      <c r="P1177" s="152"/>
      <c r="Q1177" s="152"/>
      <c r="R1177" s="152"/>
      <c r="S1177" s="152"/>
      <c r="T1177" s="152"/>
      <c r="U1177" s="152"/>
      <c r="V1177" s="152"/>
      <c r="W1177" s="152"/>
      <c r="X1177" s="152"/>
      <c r="Y1177" s="152"/>
      <c r="Z1177" s="152"/>
      <c r="AA1177" s="152"/>
      <c r="AB1177" s="152"/>
      <c r="AC1177" s="152"/>
      <c r="AD1177" s="282"/>
    </row>
    <row r="1178">
      <c r="A1178" s="183">
        <v>16600.0</v>
      </c>
      <c r="B1178" s="169" t="s">
        <v>4424</v>
      </c>
      <c r="C1178" s="168">
        <v>2022.0</v>
      </c>
      <c r="D1178" s="142" t="s">
        <v>52</v>
      </c>
      <c r="E1178" s="142" t="s">
        <v>725</v>
      </c>
      <c r="F1178" s="170" t="s">
        <v>4425</v>
      </c>
      <c r="G1178" s="171">
        <v>45911.0</v>
      </c>
      <c r="H1178" s="172">
        <f t="shared" si="2"/>
        <v>5</v>
      </c>
      <c r="I1178" s="173" t="s">
        <v>4426</v>
      </c>
      <c r="J1178" s="171">
        <v>45916.0</v>
      </c>
      <c r="K1178" s="169" t="s">
        <v>2758</v>
      </c>
      <c r="L1178" s="242"/>
      <c r="M1178" s="242"/>
      <c r="N1178" s="242"/>
      <c r="O1178" s="242"/>
      <c r="P1178" s="242"/>
      <c r="Q1178" s="242"/>
      <c r="R1178" s="242"/>
      <c r="S1178" s="242"/>
      <c r="T1178" s="242"/>
      <c r="U1178" s="242"/>
      <c r="V1178" s="242"/>
      <c r="W1178" s="242"/>
      <c r="X1178" s="242"/>
      <c r="Y1178" s="242"/>
      <c r="Z1178" s="242"/>
      <c r="AA1178" s="242"/>
      <c r="AB1178" s="242"/>
      <c r="AC1178" s="242"/>
      <c r="AD1178" s="242"/>
      <c r="AE1178" s="242"/>
      <c r="AF1178" s="242"/>
      <c r="AG1178" s="242"/>
      <c r="AH1178" s="242"/>
      <c r="AI1178" s="242"/>
      <c r="AJ1178" s="242"/>
      <c r="AK1178" s="242"/>
      <c r="AL1178" s="242"/>
      <c r="AM1178" s="242"/>
      <c r="AN1178" s="242"/>
      <c r="AO1178" s="242"/>
    </row>
    <row r="1179">
      <c r="A1179" s="181">
        <v>16601.0</v>
      </c>
      <c r="B1179" s="176" t="s">
        <v>2458</v>
      </c>
      <c r="C1179" s="174">
        <v>2022.0</v>
      </c>
      <c r="D1179" s="176" t="s">
        <v>197</v>
      </c>
      <c r="E1179" s="176" t="s">
        <v>459</v>
      </c>
      <c r="F1179" s="177" t="s">
        <v>2459</v>
      </c>
      <c r="G1179" s="178">
        <v>45911.0</v>
      </c>
      <c r="H1179" s="179">
        <f t="shared" si="2"/>
        <v>314</v>
      </c>
      <c r="I1179" s="175" t="s">
        <v>4427</v>
      </c>
      <c r="J1179" s="194"/>
      <c r="K1179" s="194"/>
      <c r="L1179" s="282"/>
      <c r="M1179" s="282"/>
      <c r="N1179" s="282"/>
      <c r="O1179" s="282"/>
      <c r="P1179" s="282"/>
      <c r="Q1179" s="282"/>
      <c r="R1179" s="282"/>
      <c r="S1179" s="282"/>
      <c r="T1179" s="282"/>
      <c r="U1179" s="282"/>
      <c r="V1179" s="282"/>
      <c r="W1179" s="282"/>
      <c r="X1179" s="282"/>
      <c r="Y1179" s="282"/>
      <c r="Z1179" s="282"/>
      <c r="AA1179" s="282"/>
      <c r="AB1179" s="282"/>
      <c r="AC1179" s="282"/>
      <c r="AD1179" s="282"/>
    </row>
    <row r="1180">
      <c r="A1180" s="183">
        <v>16604.0</v>
      </c>
      <c r="B1180" s="169" t="s">
        <v>1510</v>
      </c>
      <c r="C1180" s="168">
        <v>2021.0</v>
      </c>
      <c r="D1180" s="142" t="s">
        <v>52</v>
      </c>
      <c r="E1180" s="142" t="s">
        <v>160</v>
      </c>
      <c r="F1180" s="170" t="s">
        <v>1511</v>
      </c>
      <c r="G1180" s="171">
        <v>45912.0</v>
      </c>
      <c r="H1180" s="172">
        <f t="shared" si="2"/>
        <v>0</v>
      </c>
      <c r="I1180" s="173" t="s">
        <v>4428</v>
      </c>
      <c r="J1180" s="171">
        <v>45912.0</v>
      </c>
      <c r="K1180" s="169" t="s">
        <v>2758</v>
      </c>
      <c r="L1180" s="282"/>
      <c r="M1180" s="282"/>
      <c r="N1180" s="282"/>
      <c r="O1180" s="282"/>
      <c r="P1180" s="282"/>
      <c r="Q1180" s="282"/>
      <c r="R1180" s="282"/>
      <c r="S1180" s="282"/>
      <c r="T1180" s="282"/>
      <c r="U1180" s="282"/>
      <c r="V1180" s="282"/>
      <c r="W1180" s="282"/>
      <c r="X1180" s="282"/>
      <c r="Y1180" s="282"/>
      <c r="Z1180" s="282"/>
      <c r="AA1180" s="282"/>
      <c r="AB1180" s="282"/>
      <c r="AC1180" s="282"/>
      <c r="AD1180" s="282"/>
    </row>
    <row r="1181" ht="16.5" customHeight="1">
      <c r="A1181" s="181">
        <v>16605.0</v>
      </c>
      <c r="B1181" s="175" t="s">
        <v>2090</v>
      </c>
      <c r="C1181" s="174">
        <v>2018.0</v>
      </c>
      <c r="D1181" s="176" t="s">
        <v>14</v>
      </c>
      <c r="E1181" s="176" t="s">
        <v>1194</v>
      </c>
      <c r="F1181" s="177" t="s">
        <v>3400</v>
      </c>
      <c r="G1181" s="178">
        <v>45912.0</v>
      </c>
      <c r="H1181" s="179">
        <f t="shared" si="2"/>
        <v>3</v>
      </c>
      <c r="I1181" s="180" t="s">
        <v>4429</v>
      </c>
      <c r="J1181" s="178">
        <v>45915.0</v>
      </c>
      <c r="K1181" s="175" t="s">
        <v>2758</v>
      </c>
      <c r="L1181" s="242"/>
      <c r="M1181" s="242"/>
      <c r="N1181" s="242"/>
      <c r="O1181" s="242"/>
      <c r="P1181" s="242"/>
      <c r="Q1181" s="242"/>
      <c r="R1181" s="242"/>
      <c r="S1181" s="242"/>
      <c r="T1181" s="242"/>
      <c r="U1181" s="242"/>
      <c r="V1181" s="242"/>
      <c r="W1181" s="242"/>
      <c r="X1181" s="242"/>
      <c r="Y1181" s="242"/>
      <c r="Z1181" s="242"/>
      <c r="AA1181" s="242"/>
      <c r="AB1181" s="242"/>
      <c r="AC1181" s="242"/>
      <c r="AD1181" s="242"/>
      <c r="AE1181" s="242"/>
      <c r="AF1181" s="242"/>
      <c r="AG1181" s="242"/>
      <c r="AH1181" s="242"/>
      <c r="AI1181" s="242"/>
      <c r="AJ1181" s="242"/>
      <c r="AK1181" s="242"/>
      <c r="AL1181" s="242"/>
      <c r="AM1181" s="242"/>
      <c r="AN1181" s="242"/>
      <c r="AO1181" s="242"/>
    </row>
    <row r="1182">
      <c r="A1182" s="183">
        <v>16607.0</v>
      </c>
      <c r="B1182" s="169" t="s">
        <v>192</v>
      </c>
      <c r="C1182" s="168">
        <v>2014.0</v>
      </c>
      <c r="D1182" s="142" t="s">
        <v>130</v>
      </c>
      <c r="E1182" s="142" t="s">
        <v>240</v>
      </c>
      <c r="F1182" s="170" t="s">
        <v>193</v>
      </c>
      <c r="G1182" s="171">
        <v>45915.0</v>
      </c>
      <c r="H1182" s="172">
        <f t="shared" si="2"/>
        <v>2</v>
      </c>
      <c r="I1182" s="173" t="s">
        <v>4430</v>
      </c>
      <c r="J1182" s="171">
        <v>45917.0</v>
      </c>
      <c r="K1182" s="169" t="s">
        <v>84</v>
      </c>
      <c r="L1182" s="282"/>
      <c r="M1182" s="282"/>
      <c r="N1182" s="282"/>
      <c r="O1182" s="282"/>
      <c r="P1182" s="282"/>
      <c r="Q1182" s="282"/>
      <c r="R1182" s="282"/>
      <c r="S1182" s="282"/>
      <c r="T1182" s="282"/>
      <c r="U1182" s="282"/>
      <c r="V1182" s="282"/>
      <c r="W1182" s="282"/>
      <c r="X1182" s="282"/>
      <c r="Y1182" s="282"/>
      <c r="Z1182" s="282"/>
      <c r="AA1182" s="282"/>
      <c r="AB1182" s="282"/>
      <c r="AC1182" s="282"/>
      <c r="AD1182" s="282"/>
    </row>
    <row r="1183">
      <c r="A1183" s="181">
        <v>16608.0</v>
      </c>
      <c r="B1183" s="175" t="s">
        <v>1556</v>
      </c>
      <c r="C1183" s="174">
        <v>2015.0</v>
      </c>
      <c r="D1183" s="176" t="s">
        <v>206</v>
      </c>
      <c r="E1183" s="176" t="s">
        <v>725</v>
      </c>
      <c r="F1183" s="177" t="s">
        <v>1558</v>
      </c>
      <c r="G1183" s="178">
        <v>45915.0</v>
      </c>
      <c r="H1183" s="179">
        <f t="shared" si="2"/>
        <v>1</v>
      </c>
      <c r="I1183" s="180" t="s">
        <v>284</v>
      </c>
      <c r="J1183" s="217">
        <v>45916.0</v>
      </c>
      <c r="K1183" s="175" t="s">
        <v>2758</v>
      </c>
      <c r="L1183" s="282"/>
      <c r="M1183" s="282"/>
      <c r="N1183" s="282"/>
      <c r="O1183" s="282"/>
      <c r="P1183" s="282"/>
      <c r="Q1183" s="282"/>
      <c r="R1183" s="282"/>
      <c r="S1183" s="282"/>
      <c r="T1183" s="282"/>
      <c r="U1183" s="282"/>
      <c r="V1183" s="282"/>
      <c r="W1183" s="282"/>
      <c r="X1183" s="282"/>
      <c r="Y1183" s="282"/>
      <c r="Z1183" s="282"/>
      <c r="AA1183" s="282"/>
      <c r="AB1183" s="282"/>
      <c r="AC1183" s="282"/>
      <c r="AD1183" s="282"/>
    </row>
    <row r="1184">
      <c r="A1184" s="183">
        <v>16619.0</v>
      </c>
      <c r="B1184" s="142" t="s">
        <v>3512</v>
      </c>
      <c r="C1184" s="168">
        <v>2014.0</v>
      </c>
      <c r="D1184" s="142" t="s">
        <v>130</v>
      </c>
      <c r="E1184" s="142" t="s">
        <v>805</v>
      </c>
      <c r="F1184" s="170" t="s">
        <v>3513</v>
      </c>
      <c r="G1184" s="171">
        <v>45916.0</v>
      </c>
      <c r="H1184" s="172">
        <f t="shared" si="2"/>
        <v>3</v>
      </c>
      <c r="I1184" s="169" t="s">
        <v>4431</v>
      </c>
      <c r="J1184" s="171">
        <v>45919.0</v>
      </c>
      <c r="K1184" s="169" t="s">
        <v>31</v>
      </c>
      <c r="L1184" s="242"/>
      <c r="M1184" s="242"/>
      <c r="N1184" s="242"/>
      <c r="O1184" s="242"/>
      <c r="P1184" s="242"/>
      <c r="Q1184" s="242"/>
      <c r="R1184" s="242"/>
      <c r="S1184" s="242"/>
      <c r="T1184" s="242"/>
      <c r="U1184" s="242"/>
      <c r="V1184" s="242"/>
      <c r="W1184" s="242"/>
      <c r="X1184" s="242"/>
      <c r="Y1184" s="242"/>
      <c r="Z1184" s="242"/>
      <c r="AA1184" s="242"/>
      <c r="AB1184" s="242"/>
      <c r="AC1184" s="242"/>
      <c r="AD1184" s="242"/>
      <c r="AE1184" s="242"/>
      <c r="AF1184" s="242"/>
      <c r="AG1184" s="242"/>
      <c r="AH1184" s="242"/>
      <c r="AI1184" s="242"/>
      <c r="AJ1184" s="242"/>
      <c r="AK1184" s="242"/>
      <c r="AL1184" s="242"/>
      <c r="AM1184" s="242"/>
      <c r="AN1184" s="242"/>
      <c r="AO1184" s="242"/>
    </row>
    <row r="1185">
      <c r="A1185" s="181">
        <v>16622.0</v>
      </c>
      <c r="B1185" s="176" t="s">
        <v>4432</v>
      </c>
      <c r="C1185" s="174">
        <v>2011.0</v>
      </c>
      <c r="D1185" s="176" t="s">
        <v>2647</v>
      </c>
      <c r="E1185" s="176" t="s">
        <v>173</v>
      </c>
      <c r="F1185" s="177" t="s">
        <v>4433</v>
      </c>
      <c r="G1185" s="178">
        <v>45916.0</v>
      </c>
      <c r="H1185" s="179">
        <f t="shared" si="2"/>
        <v>3</v>
      </c>
      <c r="I1185" s="175" t="s">
        <v>668</v>
      </c>
      <c r="J1185" s="178">
        <v>45919.0</v>
      </c>
      <c r="K1185" s="175" t="s">
        <v>2627</v>
      </c>
      <c r="L1185" s="242"/>
      <c r="M1185" s="242"/>
      <c r="N1185" s="242"/>
      <c r="O1185" s="242"/>
      <c r="P1185" s="242"/>
      <c r="Q1185" s="242"/>
      <c r="R1185" s="242"/>
      <c r="S1185" s="242"/>
      <c r="T1185" s="242"/>
      <c r="U1185" s="242"/>
      <c r="V1185" s="242"/>
      <c r="W1185" s="242"/>
      <c r="X1185" s="242"/>
      <c r="Y1185" s="242"/>
      <c r="Z1185" s="242"/>
      <c r="AA1185" s="242"/>
      <c r="AB1185" s="242"/>
      <c r="AC1185" s="242"/>
      <c r="AD1185" s="242"/>
      <c r="AE1185" s="242"/>
      <c r="AF1185" s="242"/>
      <c r="AG1185" s="242"/>
      <c r="AH1185" s="242"/>
      <c r="AI1185" s="242"/>
      <c r="AJ1185" s="242"/>
      <c r="AK1185" s="242"/>
      <c r="AL1185" s="242"/>
      <c r="AM1185" s="242"/>
      <c r="AN1185" s="242"/>
      <c r="AO1185" s="242"/>
    </row>
    <row r="1186">
      <c r="A1186" s="183">
        <v>16623.0</v>
      </c>
      <c r="B1186" s="169" t="s">
        <v>965</v>
      </c>
      <c r="C1186" s="168">
        <v>2022.0</v>
      </c>
      <c r="D1186" s="142" t="s">
        <v>52</v>
      </c>
      <c r="E1186" s="142" t="s">
        <v>399</v>
      </c>
      <c r="F1186" s="170" t="s">
        <v>966</v>
      </c>
      <c r="G1186" s="171">
        <v>45917.0</v>
      </c>
      <c r="H1186" s="172">
        <f t="shared" si="2"/>
        <v>0</v>
      </c>
      <c r="I1186" s="173" t="s">
        <v>4434</v>
      </c>
      <c r="J1186" s="171">
        <v>45917.0</v>
      </c>
      <c r="K1186" s="169" t="s">
        <v>2758</v>
      </c>
      <c r="L1186" s="282"/>
      <c r="M1186" s="282"/>
      <c r="N1186" s="282"/>
      <c r="O1186" s="282"/>
      <c r="P1186" s="282"/>
      <c r="Q1186" s="282"/>
      <c r="R1186" s="282"/>
      <c r="S1186" s="282"/>
      <c r="T1186" s="282"/>
      <c r="U1186" s="282"/>
      <c r="V1186" s="282"/>
      <c r="W1186" s="282"/>
      <c r="X1186" s="282"/>
      <c r="Y1186" s="282"/>
      <c r="Z1186" s="282"/>
      <c r="AA1186" s="282"/>
      <c r="AB1186" s="282"/>
      <c r="AC1186" s="282"/>
      <c r="AD1186" s="282"/>
    </row>
    <row r="1187">
      <c r="A1187" s="181">
        <v>16624.0</v>
      </c>
      <c r="B1187" s="175" t="s">
        <v>4435</v>
      </c>
      <c r="C1187" s="174">
        <v>2020.0</v>
      </c>
      <c r="D1187" s="176" t="s">
        <v>4436</v>
      </c>
      <c r="E1187" s="176" t="s">
        <v>1194</v>
      </c>
      <c r="F1187" s="177" t="s">
        <v>4437</v>
      </c>
      <c r="G1187" s="178">
        <v>45917.0</v>
      </c>
      <c r="H1187" s="179">
        <f t="shared" si="2"/>
        <v>1</v>
      </c>
      <c r="I1187" s="180" t="s">
        <v>4438</v>
      </c>
      <c r="J1187" s="178">
        <v>45918.0</v>
      </c>
      <c r="K1187" s="175" t="s">
        <v>2758</v>
      </c>
      <c r="L1187" s="282"/>
      <c r="M1187" s="282"/>
      <c r="N1187" s="282"/>
      <c r="O1187" s="282"/>
      <c r="P1187" s="282"/>
      <c r="Q1187" s="282"/>
      <c r="R1187" s="282"/>
      <c r="S1187" s="282"/>
      <c r="T1187" s="282"/>
      <c r="U1187" s="282"/>
      <c r="V1187" s="282"/>
      <c r="W1187" s="282"/>
      <c r="X1187" s="282"/>
      <c r="Y1187" s="282"/>
      <c r="Z1187" s="282"/>
      <c r="AA1187" s="282"/>
      <c r="AB1187" s="282"/>
      <c r="AC1187" s="282"/>
      <c r="AD1187" s="282"/>
    </row>
    <row r="1188">
      <c r="A1188" s="183">
        <v>16625.0</v>
      </c>
      <c r="B1188" s="142" t="s">
        <v>1462</v>
      </c>
      <c r="C1188" s="168">
        <v>2015.0</v>
      </c>
      <c r="D1188" s="142" t="s">
        <v>14</v>
      </c>
      <c r="E1188" s="142" t="s">
        <v>319</v>
      </c>
      <c r="F1188" s="241">
        <v>45762.0</v>
      </c>
      <c r="G1188" s="171">
        <v>45917.0</v>
      </c>
      <c r="H1188" s="172">
        <f t="shared" si="2"/>
        <v>1</v>
      </c>
      <c r="I1188" s="169" t="s">
        <v>4439</v>
      </c>
      <c r="J1188" s="171">
        <v>45918.0</v>
      </c>
      <c r="K1188" s="169" t="s">
        <v>31</v>
      </c>
      <c r="L1188" s="282"/>
      <c r="M1188" s="282"/>
      <c r="N1188" s="282"/>
      <c r="O1188" s="282"/>
      <c r="P1188" s="282"/>
      <c r="Q1188" s="282"/>
      <c r="R1188" s="282"/>
      <c r="S1188" s="282"/>
      <c r="T1188" s="282"/>
      <c r="U1188" s="282"/>
      <c r="V1188" s="282"/>
      <c r="W1188" s="282"/>
      <c r="X1188" s="282"/>
      <c r="Y1188" s="282"/>
      <c r="Z1188" s="282"/>
      <c r="AA1188" s="282"/>
      <c r="AB1188" s="282"/>
      <c r="AC1188" s="282"/>
      <c r="AD1188" s="282"/>
    </row>
    <row r="1189">
      <c r="A1189" s="181">
        <v>16628.0</v>
      </c>
      <c r="B1189" s="175" t="s">
        <v>4440</v>
      </c>
      <c r="C1189" s="174">
        <v>2022.0</v>
      </c>
      <c r="D1189" s="176" t="s">
        <v>52</v>
      </c>
      <c r="E1189" s="176" t="s">
        <v>4441</v>
      </c>
      <c r="F1189" s="177" t="s">
        <v>4442</v>
      </c>
      <c r="G1189" s="178">
        <v>45772.0</v>
      </c>
      <c r="H1189" s="179">
        <f t="shared" si="2"/>
        <v>0</v>
      </c>
      <c r="I1189" s="180" t="s">
        <v>4443</v>
      </c>
      <c r="J1189" s="178">
        <v>45772.0</v>
      </c>
      <c r="K1189" s="175" t="s">
        <v>2758</v>
      </c>
      <c r="L1189" s="282"/>
      <c r="M1189" s="282"/>
      <c r="N1189" s="282"/>
      <c r="O1189" s="282"/>
      <c r="P1189" s="282"/>
      <c r="Q1189" s="282"/>
      <c r="R1189" s="282"/>
      <c r="S1189" s="282"/>
      <c r="T1189" s="282"/>
      <c r="U1189" s="282"/>
      <c r="V1189" s="282"/>
      <c r="W1189" s="282"/>
      <c r="X1189" s="282"/>
      <c r="Y1189" s="282"/>
      <c r="Z1189" s="282"/>
      <c r="AA1189" s="282"/>
      <c r="AB1189" s="282"/>
      <c r="AC1189" s="282"/>
      <c r="AD1189" s="282"/>
    </row>
    <row r="1190">
      <c r="A1190" s="183">
        <v>16631.0</v>
      </c>
      <c r="B1190" s="169" t="s">
        <v>3696</v>
      </c>
      <c r="C1190" s="168">
        <v>2015.0</v>
      </c>
      <c r="D1190" s="142" t="s">
        <v>52</v>
      </c>
      <c r="E1190" s="142" t="s">
        <v>3329</v>
      </c>
      <c r="F1190" s="241">
        <v>45976.0</v>
      </c>
      <c r="G1190" s="171">
        <v>45877.0</v>
      </c>
      <c r="H1190" s="172">
        <f t="shared" si="2"/>
        <v>0</v>
      </c>
      <c r="I1190" s="173" t="s">
        <v>4444</v>
      </c>
      <c r="J1190" s="171">
        <v>45877.0</v>
      </c>
      <c r="K1190" s="169" t="s">
        <v>2758</v>
      </c>
      <c r="L1190" s="242"/>
      <c r="M1190" s="242"/>
      <c r="N1190" s="242"/>
      <c r="O1190" s="242"/>
      <c r="P1190" s="242"/>
      <c r="Q1190" s="242"/>
      <c r="R1190" s="242"/>
      <c r="S1190" s="242"/>
      <c r="T1190" s="242"/>
      <c r="U1190" s="242"/>
      <c r="V1190" s="242"/>
      <c r="W1190" s="242"/>
      <c r="X1190" s="242"/>
      <c r="Y1190" s="242"/>
      <c r="Z1190" s="242"/>
      <c r="AA1190" s="242"/>
      <c r="AB1190" s="242"/>
      <c r="AC1190" s="242"/>
      <c r="AD1190" s="242"/>
      <c r="AE1190" s="242"/>
      <c r="AF1190" s="242"/>
      <c r="AG1190" s="242"/>
      <c r="AH1190" s="242"/>
      <c r="AI1190" s="242"/>
      <c r="AJ1190" s="242"/>
      <c r="AK1190" s="242"/>
      <c r="AL1190" s="242"/>
      <c r="AM1190" s="242"/>
      <c r="AN1190" s="242"/>
      <c r="AO1190" s="242"/>
    </row>
    <row r="1191">
      <c r="A1191" s="181">
        <v>16631.0</v>
      </c>
      <c r="B1191" s="175" t="s">
        <v>2505</v>
      </c>
      <c r="C1191" s="174">
        <v>2018.0</v>
      </c>
      <c r="D1191" s="176" t="s">
        <v>14</v>
      </c>
      <c r="E1191" s="176" t="s">
        <v>912</v>
      </c>
      <c r="F1191" s="177" t="s">
        <v>2506</v>
      </c>
      <c r="G1191" s="178">
        <v>45918.0</v>
      </c>
      <c r="H1191" s="179">
        <f t="shared" si="2"/>
        <v>0</v>
      </c>
      <c r="I1191" s="180" t="s">
        <v>30</v>
      </c>
      <c r="J1191" s="178">
        <v>45918.0</v>
      </c>
      <c r="K1191" s="175" t="s">
        <v>31</v>
      </c>
      <c r="L1191" s="242"/>
      <c r="M1191" s="242"/>
      <c r="N1191" s="242"/>
      <c r="O1191" s="242"/>
      <c r="P1191" s="242"/>
      <c r="Q1191" s="242"/>
      <c r="R1191" s="242"/>
      <c r="S1191" s="242"/>
      <c r="T1191" s="242"/>
      <c r="U1191" s="242"/>
      <c r="V1191" s="242"/>
      <c r="W1191" s="242"/>
      <c r="X1191" s="242"/>
      <c r="Y1191" s="242"/>
      <c r="Z1191" s="242"/>
      <c r="AA1191" s="242"/>
      <c r="AB1191" s="242"/>
      <c r="AC1191" s="242"/>
      <c r="AD1191" s="242"/>
      <c r="AE1191" s="242"/>
      <c r="AF1191" s="242"/>
      <c r="AG1191" s="242"/>
      <c r="AH1191" s="242"/>
      <c r="AI1191" s="242"/>
      <c r="AJ1191" s="242"/>
      <c r="AK1191" s="242"/>
      <c r="AL1191" s="242"/>
      <c r="AM1191" s="242"/>
      <c r="AN1191" s="242"/>
      <c r="AO1191" s="242"/>
    </row>
    <row r="1192">
      <c r="A1192" s="183">
        <v>16632.0</v>
      </c>
      <c r="B1192" s="169" t="s">
        <v>1454</v>
      </c>
      <c r="C1192" s="168">
        <v>2022.0</v>
      </c>
      <c r="D1192" s="142" t="s">
        <v>52</v>
      </c>
      <c r="E1192" s="142" t="s">
        <v>125</v>
      </c>
      <c r="F1192" s="170" t="s">
        <v>1455</v>
      </c>
      <c r="G1192" s="171">
        <v>45918.0</v>
      </c>
      <c r="H1192" s="172">
        <f t="shared" si="2"/>
        <v>4</v>
      </c>
      <c r="I1192" s="173" t="s">
        <v>4445</v>
      </c>
      <c r="J1192" s="171">
        <v>45922.0</v>
      </c>
      <c r="K1192" s="169" t="s">
        <v>31</v>
      </c>
      <c r="L1192" s="282"/>
      <c r="M1192" s="282"/>
      <c r="N1192" s="282"/>
      <c r="O1192" s="282"/>
      <c r="P1192" s="282"/>
      <c r="Q1192" s="282"/>
      <c r="R1192" s="282"/>
      <c r="S1192" s="282"/>
      <c r="T1192" s="282"/>
      <c r="U1192" s="282"/>
      <c r="V1192" s="282"/>
      <c r="W1192" s="282"/>
      <c r="X1192" s="282"/>
      <c r="Y1192" s="282"/>
      <c r="Z1192" s="282"/>
      <c r="AA1192" s="282"/>
      <c r="AB1192" s="282"/>
      <c r="AC1192" s="282"/>
      <c r="AD1192" s="282"/>
    </row>
    <row r="1193">
      <c r="A1193" s="181">
        <v>16633.0</v>
      </c>
      <c r="B1193" s="175" t="s">
        <v>1862</v>
      </c>
      <c r="C1193" s="174">
        <v>2015.0</v>
      </c>
      <c r="D1193" s="176" t="s">
        <v>130</v>
      </c>
      <c r="E1193" s="176" t="s">
        <v>912</v>
      </c>
      <c r="F1193" s="177" t="s">
        <v>4446</v>
      </c>
      <c r="G1193" s="178">
        <v>45918.0</v>
      </c>
      <c r="H1193" s="179">
        <f t="shared" si="2"/>
        <v>0</v>
      </c>
      <c r="I1193" s="180" t="s">
        <v>4447</v>
      </c>
      <c r="J1193" s="178">
        <v>45918.0</v>
      </c>
      <c r="K1193" s="175" t="s">
        <v>2758</v>
      </c>
      <c r="L1193" s="312"/>
      <c r="M1193" s="312"/>
      <c r="N1193" s="312"/>
      <c r="O1193" s="312"/>
      <c r="P1193" s="312"/>
      <c r="Q1193" s="312"/>
      <c r="R1193" s="312"/>
      <c r="S1193" s="312"/>
      <c r="T1193" s="312"/>
      <c r="U1193" s="312"/>
      <c r="V1193" s="312"/>
      <c r="W1193" s="312"/>
      <c r="X1193" s="312"/>
      <c r="Y1193" s="312"/>
      <c r="Z1193" s="312"/>
      <c r="AA1193" s="312"/>
      <c r="AB1193" s="312"/>
      <c r="AC1193" s="312"/>
      <c r="AD1193" s="312"/>
      <c r="AE1193" s="312"/>
      <c r="AF1193" s="312"/>
      <c r="AG1193" s="312"/>
      <c r="AH1193" s="312"/>
      <c r="AI1193" s="312"/>
      <c r="AJ1193" s="312"/>
      <c r="AK1193" s="312"/>
      <c r="AL1193" s="312"/>
      <c r="AM1193" s="312"/>
      <c r="AN1193" s="312"/>
      <c r="AO1193" s="312"/>
    </row>
    <row r="1194">
      <c r="A1194" s="183">
        <v>19974.0</v>
      </c>
      <c r="B1194" s="169" t="s">
        <v>3844</v>
      </c>
      <c r="C1194" s="168">
        <v>2022.0</v>
      </c>
      <c r="D1194" s="142" t="s">
        <v>14</v>
      </c>
      <c r="E1194" s="142" t="s">
        <v>610</v>
      </c>
      <c r="F1194" s="170" t="s">
        <v>3845</v>
      </c>
      <c r="G1194" s="171">
        <v>45555.0</v>
      </c>
      <c r="H1194" s="172">
        <f t="shared" si="2"/>
        <v>0</v>
      </c>
      <c r="I1194" s="173" t="s">
        <v>3252</v>
      </c>
      <c r="J1194" s="171">
        <v>45555.0</v>
      </c>
      <c r="K1194" s="169" t="s">
        <v>2758</v>
      </c>
      <c r="L1194" s="242"/>
      <c r="M1194" s="242"/>
      <c r="N1194" s="242"/>
      <c r="O1194" s="242"/>
      <c r="P1194" s="242"/>
      <c r="Q1194" s="242"/>
      <c r="R1194" s="242"/>
      <c r="S1194" s="242"/>
      <c r="T1194" s="242"/>
      <c r="U1194" s="242"/>
      <c r="V1194" s="242"/>
      <c r="W1194" s="242"/>
      <c r="X1194" s="242"/>
      <c r="Y1194" s="242"/>
      <c r="Z1194" s="242"/>
      <c r="AA1194" s="242"/>
      <c r="AB1194" s="242"/>
      <c r="AC1194" s="242"/>
      <c r="AD1194" s="242"/>
      <c r="AE1194" s="242"/>
      <c r="AF1194" s="242"/>
      <c r="AG1194" s="242"/>
      <c r="AH1194" s="242"/>
      <c r="AI1194" s="242"/>
      <c r="AJ1194" s="242"/>
      <c r="AK1194" s="242"/>
      <c r="AL1194" s="242"/>
      <c r="AM1194" s="242"/>
      <c r="AN1194" s="242"/>
      <c r="AO1194" s="242"/>
    </row>
    <row r="1195">
      <c r="A1195" s="181">
        <v>145540.0</v>
      </c>
      <c r="B1195" s="175" t="s">
        <v>4448</v>
      </c>
      <c r="C1195" s="174">
        <v>2014.0</v>
      </c>
      <c r="D1195" s="176" t="s">
        <v>105</v>
      </c>
      <c r="E1195" s="176" t="s">
        <v>805</v>
      </c>
      <c r="F1195" s="177">
        <v>0.0</v>
      </c>
      <c r="G1195" s="178">
        <v>45636.0</v>
      </c>
      <c r="H1195" s="179">
        <f t="shared" si="2"/>
        <v>8</v>
      </c>
      <c r="I1195" s="180" t="s">
        <v>4449</v>
      </c>
      <c r="J1195" s="178">
        <v>45644.0</v>
      </c>
      <c r="K1195" s="175" t="s">
        <v>2758</v>
      </c>
      <c r="L1195" s="242"/>
      <c r="M1195" s="242"/>
      <c r="N1195" s="242"/>
      <c r="O1195" s="242"/>
      <c r="P1195" s="242"/>
      <c r="Q1195" s="242"/>
      <c r="R1195" s="242"/>
      <c r="S1195" s="242"/>
      <c r="T1195" s="242"/>
      <c r="U1195" s="242"/>
      <c r="V1195" s="242"/>
      <c r="W1195" s="242"/>
      <c r="X1195" s="242"/>
      <c r="Y1195" s="242"/>
      <c r="Z1195" s="242"/>
      <c r="AA1195" s="242"/>
      <c r="AB1195" s="242"/>
      <c r="AC1195" s="242"/>
      <c r="AD1195" s="242"/>
      <c r="AE1195" s="242"/>
      <c r="AF1195" s="242"/>
      <c r="AG1195" s="242"/>
      <c r="AH1195" s="242"/>
      <c r="AI1195" s="242"/>
      <c r="AJ1195" s="242"/>
      <c r="AK1195" s="242"/>
      <c r="AL1195" s="242"/>
      <c r="AM1195" s="242"/>
      <c r="AN1195" s="242"/>
      <c r="AO1195" s="242"/>
    </row>
    <row r="1196">
      <c r="A1196" s="168" t="s">
        <v>4450</v>
      </c>
      <c r="B1196" s="169" t="s">
        <v>94</v>
      </c>
      <c r="C1196" s="168">
        <v>2022.0</v>
      </c>
      <c r="D1196" s="142" t="s">
        <v>3529</v>
      </c>
      <c r="E1196" s="142" t="s">
        <v>173</v>
      </c>
      <c r="F1196" s="170" t="s">
        <v>96</v>
      </c>
      <c r="G1196" s="171">
        <v>45707.0</v>
      </c>
      <c r="H1196" s="172">
        <f t="shared" si="2"/>
        <v>0</v>
      </c>
      <c r="I1196" s="173" t="s">
        <v>4451</v>
      </c>
      <c r="J1196" s="171">
        <v>45707.0</v>
      </c>
      <c r="K1196" s="169" t="s">
        <v>2758</v>
      </c>
      <c r="L1196" s="282"/>
      <c r="M1196" s="282"/>
      <c r="N1196" s="282"/>
      <c r="O1196" s="282"/>
      <c r="P1196" s="282"/>
      <c r="Q1196" s="282"/>
      <c r="R1196" s="282"/>
      <c r="S1196" s="282"/>
      <c r="T1196" s="282"/>
      <c r="U1196" s="282"/>
      <c r="V1196" s="282"/>
      <c r="W1196" s="282"/>
      <c r="X1196" s="282"/>
      <c r="Y1196" s="282"/>
      <c r="Z1196" s="282"/>
      <c r="AA1196" s="282"/>
      <c r="AB1196" s="282"/>
      <c r="AC1196" s="282"/>
      <c r="AD1196" s="282"/>
    </row>
    <row r="1197">
      <c r="A1197" s="174" t="s">
        <v>4452</v>
      </c>
      <c r="B1197" s="175" t="s">
        <v>4453</v>
      </c>
      <c r="C1197" s="174">
        <v>2024.0</v>
      </c>
      <c r="D1197" s="176" t="s">
        <v>814</v>
      </c>
      <c r="E1197" s="176" t="s">
        <v>207</v>
      </c>
      <c r="F1197" s="177" t="s">
        <v>4454</v>
      </c>
      <c r="G1197" s="178">
        <v>45771.0</v>
      </c>
      <c r="H1197" s="179">
        <f t="shared" si="2"/>
        <v>1</v>
      </c>
      <c r="I1197" s="180" t="s">
        <v>4455</v>
      </c>
      <c r="J1197" s="178">
        <v>45772.0</v>
      </c>
      <c r="K1197" s="175" t="s">
        <v>2758</v>
      </c>
      <c r="L1197" s="282"/>
      <c r="M1197" s="282"/>
      <c r="N1197" s="282"/>
      <c r="O1197" s="282"/>
      <c r="P1197" s="282"/>
      <c r="Q1197" s="282"/>
      <c r="R1197" s="282"/>
      <c r="S1197" s="282"/>
      <c r="T1197" s="282"/>
      <c r="U1197" s="282"/>
      <c r="V1197" s="282"/>
      <c r="W1197" s="282"/>
      <c r="X1197" s="282"/>
      <c r="Y1197" s="282"/>
      <c r="Z1197" s="282"/>
      <c r="AA1197" s="282"/>
      <c r="AB1197" s="282"/>
      <c r="AC1197" s="282"/>
      <c r="AD1197" s="282"/>
    </row>
    <row r="1198">
      <c r="A1198" s="168" t="s">
        <v>4456</v>
      </c>
      <c r="B1198" s="169" t="s">
        <v>4457</v>
      </c>
      <c r="C1198" s="168">
        <v>2018.0</v>
      </c>
      <c r="D1198" s="142" t="s">
        <v>14</v>
      </c>
      <c r="E1198" s="142" t="s">
        <v>962</v>
      </c>
      <c r="F1198" s="170" t="s">
        <v>2996</v>
      </c>
      <c r="G1198" s="171">
        <v>45779.0</v>
      </c>
      <c r="H1198" s="172">
        <f t="shared" si="2"/>
        <v>0</v>
      </c>
      <c r="I1198" s="173" t="s">
        <v>4458</v>
      </c>
      <c r="J1198" s="171">
        <v>45779.0</v>
      </c>
      <c r="K1198" s="169" t="s">
        <v>2758</v>
      </c>
      <c r="L1198" s="282"/>
      <c r="M1198" s="282"/>
      <c r="N1198" s="282"/>
      <c r="O1198" s="282"/>
      <c r="P1198" s="282"/>
      <c r="Q1198" s="282"/>
      <c r="R1198" s="282"/>
      <c r="S1198" s="282"/>
      <c r="T1198" s="282"/>
      <c r="U1198" s="282"/>
      <c r="V1198" s="282"/>
      <c r="W1198" s="282"/>
      <c r="X1198" s="282"/>
      <c r="Y1198" s="282"/>
      <c r="Z1198" s="282"/>
      <c r="AA1198" s="282"/>
      <c r="AB1198" s="282"/>
      <c r="AC1198" s="282"/>
      <c r="AD1198" s="282"/>
    </row>
    <row r="1199">
      <c r="A1199" s="174" t="s">
        <v>4459</v>
      </c>
      <c r="B1199" s="175" t="s">
        <v>965</v>
      </c>
      <c r="C1199" s="174">
        <v>2022.0</v>
      </c>
      <c r="D1199" s="176" t="s">
        <v>52</v>
      </c>
      <c r="E1199" s="176" t="s">
        <v>4248</v>
      </c>
      <c r="F1199" s="177" t="s">
        <v>966</v>
      </c>
      <c r="G1199" s="178">
        <v>45810.0</v>
      </c>
      <c r="H1199" s="179">
        <f t="shared" si="2"/>
        <v>0</v>
      </c>
      <c r="I1199" s="180" t="s">
        <v>4460</v>
      </c>
      <c r="J1199" s="178">
        <v>45810.0</v>
      </c>
      <c r="K1199" s="175" t="s">
        <v>2758</v>
      </c>
      <c r="L1199" s="242"/>
      <c r="M1199" s="242"/>
      <c r="N1199" s="242"/>
      <c r="O1199" s="242"/>
      <c r="P1199" s="242"/>
      <c r="Q1199" s="242"/>
      <c r="R1199" s="242"/>
      <c r="S1199" s="242"/>
      <c r="T1199" s="242"/>
      <c r="U1199" s="242"/>
      <c r="V1199" s="242"/>
      <c r="W1199" s="242"/>
      <c r="X1199" s="242"/>
      <c r="Y1199" s="242"/>
      <c r="Z1199" s="242"/>
      <c r="AA1199" s="242"/>
      <c r="AB1199" s="242"/>
      <c r="AC1199" s="242"/>
      <c r="AD1199" s="242"/>
      <c r="AE1199" s="242"/>
      <c r="AF1199" s="242"/>
      <c r="AG1199" s="242"/>
      <c r="AH1199" s="242"/>
      <c r="AI1199" s="242"/>
      <c r="AJ1199" s="242"/>
      <c r="AK1199" s="242"/>
      <c r="AL1199" s="242"/>
      <c r="AM1199" s="242"/>
      <c r="AN1199" s="242"/>
      <c r="AO1199" s="242"/>
    </row>
    <row r="1200">
      <c r="A1200" s="168" t="s">
        <v>4461</v>
      </c>
      <c r="B1200" s="142" t="s">
        <v>3519</v>
      </c>
      <c r="C1200" s="189"/>
      <c r="D1200" s="142" t="s">
        <v>14</v>
      </c>
      <c r="E1200" s="142" t="s">
        <v>459</v>
      </c>
      <c r="F1200" s="170" t="s">
        <v>3520</v>
      </c>
      <c r="G1200" s="171">
        <v>45810.0</v>
      </c>
      <c r="H1200" s="172">
        <f t="shared" si="2"/>
        <v>77</v>
      </c>
      <c r="I1200" s="211" t="s">
        <v>4462</v>
      </c>
      <c r="J1200" s="268">
        <v>45887.0</v>
      </c>
      <c r="K1200" s="169" t="s">
        <v>31</v>
      </c>
      <c r="L1200" s="282"/>
      <c r="M1200" s="282"/>
      <c r="N1200" s="282"/>
      <c r="O1200" s="282"/>
      <c r="P1200" s="282"/>
      <c r="Q1200" s="282"/>
      <c r="R1200" s="282"/>
      <c r="S1200" s="282"/>
      <c r="T1200" s="282"/>
      <c r="U1200" s="282"/>
      <c r="V1200" s="282"/>
      <c r="W1200" s="282"/>
      <c r="X1200" s="282"/>
      <c r="Y1200" s="282"/>
      <c r="Z1200" s="282"/>
      <c r="AA1200" s="282"/>
      <c r="AB1200" s="282"/>
      <c r="AC1200" s="282"/>
      <c r="AD1200" s="282"/>
    </row>
    <row r="1201">
      <c r="A1201" s="181" t="s">
        <v>4463</v>
      </c>
      <c r="B1201" s="176" t="s">
        <v>3554</v>
      </c>
      <c r="C1201" s="174">
        <v>2015.0</v>
      </c>
      <c r="D1201" s="176" t="s">
        <v>148</v>
      </c>
      <c r="E1201" s="176" t="s">
        <v>125</v>
      </c>
      <c r="F1201" s="177" t="s">
        <v>3555</v>
      </c>
      <c r="G1201" s="178">
        <v>45861.0</v>
      </c>
      <c r="H1201" s="179">
        <f t="shared" si="2"/>
        <v>13</v>
      </c>
      <c r="I1201" s="175" t="s">
        <v>4464</v>
      </c>
      <c r="J1201" s="178">
        <v>45874.0</v>
      </c>
      <c r="K1201" s="175" t="s">
        <v>2758</v>
      </c>
      <c r="L1201" s="282"/>
      <c r="M1201" s="282"/>
      <c r="N1201" s="282"/>
      <c r="O1201" s="282"/>
      <c r="P1201" s="282"/>
      <c r="Q1201" s="282"/>
      <c r="R1201" s="282"/>
      <c r="S1201" s="282"/>
      <c r="T1201" s="282"/>
      <c r="U1201" s="282"/>
      <c r="V1201" s="282"/>
      <c r="W1201" s="282"/>
      <c r="X1201" s="282"/>
      <c r="Y1201" s="282"/>
      <c r="Z1201" s="282"/>
      <c r="AA1201" s="282"/>
      <c r="AB1201" s="282"/>
      <c r="AC1201" s="282"/>
      <c r="AD1201" s="282"/>
    </row>
    <row r="1202">
      <c r="A1202" s="168" t="s">
        <v>4465</v>
      </c>
      <c r="B1202" s="142" t="s">
        <v>965</v>
      </c>
      <c r="C1202" s="168">
        <v>2022.0</v>
      </c>
      <c r="D1202" s="142" t="s">
        <v>52</v>
      </c>
      <c r="E1202" s="142" t="s">
        <v>368</v>
      </c>
      <c r="F1202" s="170" t="s">
        <v>966</v>
      </c>
      <c r="G1202" s="171">
        <v>45862.0</v>
      </c>
      <c r="H1202" s="172">
        <f t="shared" si="2"/>
        <v>7</v>
      </c>
      <c r="I1202" s="169" t="s">
        <v>4466</v>
      </c>
      <c r="J1202" s="171">
        <v>45869.0</v>
      </c>
      <c r="K1202" s="169" t="s">
        <v>31</v>
      </c>
      <c r="L1202" s="282"/>
      <c r="M1202" s="282"/>
      <c r="N1202" s="282"/>
      <c r="O1202" s="282"/>
      <c r="P1202" s="282"/>
      <c r="Q1202" s="282"/>
      <c r="R1202" s="282"/>
      <c r="S1202" s="282"/>
      <c r="T1202" s="282"/>
      <c r="U1202" s="282"/>
      <c r="V1202" s="282"/>
      <c r="W1202" s="282"/>
      <c r="X1202" s="282"/>
      <c r="Y1202" s="282"/>
      <c r="Z1202" s="282"/>
      <c r="AA1202" s="282"/>
      <c r="AB1202" s="282"/>
      <c r="AC1202" s="282"/>
      <c r="AD1202" s="282"/>
    </row>
    <row r="1203">
      <c r="A1203" s="174" t="s">
        <v>4467</v>
      </c>
      <c r="B1203" s="175" t="s">
        <v>825</v>
      </c>
      <c r="C1203" s="174">
        <v>2022.0</v>
      </c>
      <c r="D1203" s="176" t="s">
        <v>136</v>
      </c>
      <c r="E1203" s="176" t="s">
        <v>70</v>
      </c>
      <c r="F1203" s="177" t="s">
        <v>4383</v>
      </c>
      <c r="G1203" s="178">
        <v>45862.0</v>
      </c>
      <c r="H1203" s="179">
        <f t="shared" si="2"/>
        <v>5</v>
      </c>
      <c r="I1203" s="180" t="s">
        <v>668</v>
      </c>
      <c r="J1203" s="178">
        <v>45867.0</v>
      </c>
      <c r="K1203" s="175" t="s">
        <v>2758</v>
      </c>
      <c r="L1203" s="282"/>
      <c r="M1203" s="282"/>
      <c r="N1203" s="282"/>
      <c r="O1203" s="282"/>
      <c r="P1203" s="282"/>
      <c r="Q1203" s="282"/>
      <c r="R1203" s="282"/>
      <c r="S1203" s="282"/>
      <c r="T1203" s="282"/>
      <c r="U1203" s="282"/>
      <c r="V1203" s="282"/>
      <c r="W1203" s="282"/>
      <c r="X1203" s="282"/>
      <c r="Y1203" s="282"/>
      <c r="Z1203" s="282"/>
      <c r="AA1203" s="282"/>
      <c r="AB1203" s="282"/>
      <c r="AC1203" s="282"/>
      <c r="AD1203" s="282"/>
    </row>
    <row r="1204">
      <c r="A1204" s="168" t="s">
        <v>4468</v>
      </c>
      <c r="B1204" s="169" t="s">
        <v>4469</v>
      </c>
      <c r="C1204" s="168">
        <v>2022.0</v>
      </c>
      <c r="D1204" s="142" t="s">
        <v>4470</v>
      </c>
      <c r="E1204" s="142" t="s">
        <v>4471</v>
      </c>
      <c r="F1204" s="170" t="s">
        <v>4472</v>
      </c>
      <c r="G1204" s="171">
        <v>45915.0</v>
      </c>
      <c r="H1204" s="172">
        <f t="shared" si="2"/>
        <v>0</v>
      </c>
      <c r="I1204" s="173" t="s">
        <v>4473</v>
      </c>
      <c r="J1204" s="171">
        <v>45915.0</v>
      </c>
      <c r="K1204" s="169" t="s">
        <v>2758</v>
      </c>
      <c r="L1204" s="242"/>
      <c r="M1204" s="242"/>
      <c r="N1204" s="242"/>
      <c r="O1204" s="242"/>
      <c r="P1204" s="242"/>
      <c r="Q1204" s="242"/>
      <c r="R1204" s="242"/>
      <c r="S1204" s="242"/>
      <c r="T1204" s="242"/>
      <c r="U1204" s="242"/>
      <c r="V1204" s="242"/>
      <c r="W1204" s="242"/>
      <c r="X1204" s="242"/>
      <c r="Y1204" s="242"/>
      <c r="Z1204" s="242"/>
      <c r="AA1204" s="242"/>
      <c r="AB1204" s="242"/>
      <c r="AC1204" s="242"/>
      <c r="AD1204" s="242"/>
      <c r="AE1204" s="242"/>
      <c r="AF1204" s="242"/>
      <c r="AG1204" s="242"/>
      <c r="AH1204" s="242"/>
      <c r="AI1204" s="242"/>
      <c r="AJ1204" s="242"/>
      <c r="AK1204" s="242"/>
      <c r="AL1204" s="242"/>
      <c r="AM1204" s="242"/>
      <c r="AN1204" s="242"/>
      <c r="AO1204" s="242"/>
    </row>
    <row r="1205">
      <c r="A1205" s="174" t="s">
        <v>4474</v>
      </c>
      <c r="B1205" s="176" t="s">
        <v>4475</v>
      </c>
      <c r="C1205" s="174">
        <v>2023.0</v>
      </c>
      <c r="D1205" s="176" t="s">
        <v>814</v>
      </c>
      <c r="E1205" s="176" t="s">
        <v>459</v>
      </c>
      <c r="F1205" s="234">
        <v>45679.0</v>
      </c>
      <c r="G1205" s="178">
        <v>45917.0</v>
      </c>
      <c r="H1205" s="179">
        <f t="shared" si="2"/>
        <v>5</v>
      </c>
      <c r="I1205" s="175" t="s">
        <v>4476</v>
      </c>
      <c r="J1205" s="178">
        <v>45922.0</v>
      </c>
      <c r="K1205" s="175" t="s">
        <v>31</v>
      </c>
      <c r="L1205" s="282"/>
      <c r="M1205" s="282"/>
      <c r="N1205" s="282"/>
      <c r="O1205" s="282"/>
      <c r="P1205" s="282"/>
      <c r="Q1205" s="282"/>
      <c r="R1205" s="282"/>
      <c r="S1205" s="282"/>
      <c r="T1205" s="282"/>
      <c r="U1205" s="282"/>
      <c r="V1205" s="282"/>
      <c r="W1205" s="282"/>
      <c r="X1205" s="282"/>
      <c r="Y1205" s="282"/>
      <c r="Z1205" s="282"/>
      <c r="AA1205" s="282"/>
      <c r="AB1205" s="282"/>
      <c r="AC1205" s="282"/>
      <c r="AD1205" s="282"/>
    </row>
    <row r="1206">
      <c r="A1206" s="168" t="s">
        <v>2670</v>
      </c>
      <c r="B1206" s="142" t="s">
        <v>2671</v>
      </c>
      <c r="C1206" s="168">
        <v>2017.0</v>
      </c>
      <c r="D1206" s="142" t="s">
        <v>14</v>
      </c>
      <c r="E1206" s="142" t="s">
        <v>2672</v>
      </c>
      <c r="F1206" s="170" t="s">
        <v>2673</v>
      </c>
      <c r="G1206" s="171">
        <v>45628.0</v>
      </c>
      <c r="H1206" s="172">
        <f t="shared" si="2"/>
        <v>80</v>
      </c>
      <c r="I1206" s="211" t="s">
        <v>2674</v>
      </c>
      <c r="J1206" s="228">
        <v>45708.0</v>
      </c>
      <c r="K1206" s="169" t="s">
        <v>2627</v>
      </c>
      <c r="L1206" s="282"/>
      <c r="M1206" s="282"/>
      <c r="N1206" s="282"/>
      <c r="O1206" s="282"/>
      <c r="P1206" s="282"/>
      <c r="Q1206" s="282"/>
      <c r="R1206" s="282"/>
      <c r="S1206" s="282"/>
      <c r="T1206" s="282"/>
      <c r="U1206" s="282"/>
      <c r="V1206" s="282"/>
      <c r="W1206" s="282"/>
      <c r="X1206" s="282"/>
      <c r="Y1206" s="282"/>
      <c r="Z1206" s="282"/>
      <c r="AA1206" s="282"/>
      <c r="AB1206" s="282"/>
      <c r="AC1206" s="282"/>
      <c r="AD1206" s="282"/>
    </row>
    <row r="1207">
      <c r="A1207" s="199" t="s">
        <v>4477</v>
      </c>
      <c r="B1207" s="198" t="s">
        <v>705</v>
      </c>
      <c r="C1207" s="199">
        <v>2022.0</v>
      </c>
      <c r="D1207" s="198" t="s">
        <v>52</v>
      </c>
      <c r="E1207" s="198" t="s">
        <v>169</v>
      </c>
      <c r="F1207" s="200" t="s">
        <v>706</v>
      </c>
      <c r="G1207" s="196">
        <v>45474.0</v>
      </c>
      <c r="H1207" s="179">
        <f t="shared" si="2"/>
        <v>0</v>
      </c>
      <c r="I1207" s="201" t="s">
        <v>668</v>
      </c>
      <c r="J1207" s="196">
        <v>45474.0</v>
      </c>
      <c r="K1207" s="198" t="s">
        <v>2758</v>
      </c>
      <c r="L1207" s="242"/>
      <c r="M1207" s="242"/>
      <c r="N1207" s="242"/>
      <c r="O1207" s="242"/>
      <c r="P1207" s="242"/>
      <c r="Q1207" s="242"/>
      <c r="R1207" s="242"/>
      <c r="S1207" s="242"/>
      <c r="T1207" s="242"/>
      <c r="U1207" s="242"/>
      <c r="V1207" s="242"/>
      <c r="W1207" s="242"/>
      <c r="X1207" s="242"/>
      <c r="Y1207" s="242"/>
      <c r="Z1207" s="242"/>
      <c r="AA1207" s="242"/>
      <c r="AB1207" s="242"/>
      <c r="AC1207" s="242"/>
      <c r="AD1207" s="242"/>
      <c r="AE1207" s="242"/>
      <c r="AF1207" s="242"/>
      <c r="AG1207" s="242"/>
      <c r="AH1207" s="242"/>
      <c r="AI1207" s="242"/>
      <c r="AJ1207" s="242"/>
      <c r="AK1207" s="242"/>
      <c r="AL1207" s="242"/>
      <c r="AM1207" s="242"/>
      <c r="AN1207" s="242"/>
      <c r="AO1207" s="242"/>
    </row>
    <row r="1208">
      <c r="A1208" s="185" t="s">
        <v>4478</v>
      </c>
      <c r="B1208" s="184" t="s">
        <v>4479</v>
      </c>
      <c r="C1208" s="185">
        <v>2024.0</v>
      </c>
      <c r="D1208" s="184" t="s">
        <v>4480</v>
      </c>
      <c r="E1208" s="184" t="s">
        <v>131</v>
      </c>
      <c r="F1208" s="186">
        <v>0.0</v>
      </c>
      <c r="G1208" s="187">
        <v>45488.0</v>
      </c>
      <c r="H1208" s="172">
        <f t="shared" si="2"/>
        <v>0</v>
      </c>
      <c r="I1208" s="188" t="s">
        <v>4481</v>
      </c>
      <c r="J1208" s="187">
        <v>45488.0</v>
      </c>
      <c r="K1208" s="184" t="s">
        <v>2758</v>
      </c>
      <c r="L1208" s="282"/>
      <c r="M1208" s="282"/>
      <c r="N1208" s="282"/>
      <c r="O1208" s="282"/>
      <c r="P1208" s="282"/>
      <c r="Q1208" s="282"/>
      <c r="R1208" s="282"/>
      <c r="S1208" s="282"/>
      <c r="T1208" s="282"/>
      <c r="U1208" s="282"/>
      <c r="V1208" s="282"/>
      <c r="W1208" s="282"/>
      <c r="X1208" s="282"/>
      <c r="Y1208" s="282"/>
      <c r="Z1208" s="282"/>
      <c r="AA1208" s="282"/>
      <c r="AB1208" s="282"/>
      <c r="AC1208" s="282"/>
      <c r="AD1208" s="282"/>
    </row>
    <row r="1209">
      <c r="A1209" s="174" t="s">
        <v>4482</v>
      </c>
      <c r="B1209" s="175" t="s">
        <v>985</v>
      </c>
      <c r="C1209" s="174">
        <v>2015.0</v>
      </c>
      <c r="D1209" s="176" t="s">
        <v>130</v>
      </c>
      <c r="E1209" s="176" t="s">
        <v>47</v>
      </c>
      <c r="F1209" s="177" t="s">
        <v>1875</v>
      </c>
      <c r="G1209" s="178">
        <v>45551.0</v>
      </c>
      <c r="H1209" s="179">
        <f t="shared" si="2"/>
        <v>0</v>
      </c>
      <c r="I1209" s="180" t="s">
        <v>707</v>
      </c>
      <c r="J1209" s="178">
        <v>45551.0</v>
      </c>
      <c r="K1209" s="175" t="s">
        <v>2758</v>
      </c>
      <c r="L1209" s="282"/>
      <c r="M1209" s="282"/>
      <c r="N1209" s="282"/>
      <c r="O1209" s="282"/>
      <c r="P1209" s="282"/>
      <c r="Q1209" s="282"/>
      <c r="R1209" s="282"/>
      <c r="S1209" s="282"/>
      <c r="T1209" s="282"/>
      <c r="U1209" s="282"/>
      <c r="V1209" s="282"/>
      <c r="W1209" s="282"/>
      <c r="X1209" s="282"/>
      <c r="Y1209" s="282"/>
      <c r="Z1209" s="282"/>
      <c r="AA1209" s="282"/>
      <c r="AB1209" s="282"/>
      <c r="AC1209" s="282"/>
      <c r="AD1209" s="282"/>
    </row>
    <row r="1210">
      <c r="A1210" s="168" t="s">
        <v>4483</v>
      </c>
      <c r="B1210" s="169" t="s">
        <v>4484</v>
      </c>
      <c r="C1210" s="168">
        <v>2022.0</v>
      </c>
      <c r="D1210" s="142" t="s">
        <v>136</v>
      </c>
      <c r="E1210" s="142" t="s">
        <v>47</v>
      </c>
      <c r="F1210" s="170" t="s">
        <v>4485</v>
      </c>
      <c r="G1210" s="171">
        <v>45551.0</v>
      </c>
      <c r="H1210" s="172">
        <f t="shared" si="2"/>
        <v>0</v>
      </c>
      <c r="I1210" s="173" t="s">
        <v>4486</v>
      </c>
      <c r="J1210" s="171">
        <v>45551.0</v>
      </c>
      <c r="K1210" s="169" t="s">
        <v>2758</v>
      </c>
      <c r="L1210" s="282"/>
      <c r="M1210" s="282"/>
      <c r="N1210" s="282"/>
      <c r="O1210" s="282"/>
      <c r="P1210" s="282"/>
      <c r="Q1210" s="282"/>
      <c r="R1210" s="282"/>
      <c r="S1210" s="282"/>
      <c r="T1210" s="282"/>
      <c r="U1210" s="282"/>
      <c r="V1210" s="282"/>
      <c r="W1210" s="282"/>
      <c r="X1210" s="282"/>
      <c r="Y1210" s="282"/>
      <c r="Z1210" s="282"/>
      <c r="AA1210" s="282"/>
      <c r="AB1210" s="282"/>
      <c r="AC1210" s="282"/>
      <c r="AD1210" s="282"/>
    </row>
    <row r="1211">
      <c r="A1211" s="174" t="s">
        <v>4487</v>
      </c>
      <c r="B1211" s="175" t="s">
        <v>3485</v>
      </c>
      <c r="C1211" s="174">
        <v>2018.0</v>
      </c>
      <c r="D1211" s="176" t="s">
        <v>14</v>
      </c>
      <c r="E1211" s="176" t="s">
        <v>4488</v>
      </c>
      <c r="F1211" s="177" t="s">
        <v>221</v>
      </c>
      <c r="G1211" s="178">
        <v>45582.0</v>
      </c>
      <c r="H1211" s="179">
        <f t="shared" si="2"/>
        <v>0</v>
      </c>
      <c r="I1211" s="180" t="s">
        <v>4489</v>
      </c>
      <c r="J1211" s="177" t="s">
        <v>4490</v>
      </c>
      <c r="K1211" s="175" t="s">
        <v>2758</v>
      </c>
      <c r="L1211" s="282"/>
      <c r="M1211" s="282"/>
      <c r="N1211" s="282"/>
      <c r="O1211" s="282"/>
      <c r="P1211" s="282"/>
      <c r="Q1211" s="282"/>
      <c r="R1211" s="282"/>
      <c r="S1211" s="282"/>
      <c r="T1211" s="282"/>
      <c r="U1211" s="282"/>
      <c r="V1211" s="282"/>
      <c r="W1211" s="282"/>
      <c r="X1211" s="282"/>
      <c r="Y1211" s="282"/>
      <c r="Z1211" s="282"/>
      <c r="AA1211" s="282"/>
      <c r="AB1211" s="282"/>
      <c r="AC1211" s="282"/>
      <c r="AD1211" s="282"/>
    </row>
    <row r="1212">
      <c r="A1212" s="168" t="s">
        <v>4491</v>
      </c>
      <c r="B1212" s="169" t="s">
        <v>4492</v>
      </c>
      <c r="C1212" s="168">
        <v>2010.0</v>
      </c>
      <c r="D1212" s="142" t="s">
        <v>75</v>
      </c>
      <c r="E1212" s="142" t="s">
        <v>169</v>
      </c>
      <c r="F1212" s="170" t="s">
        <v>4220</v>
      </c>
      <c r="G1212" s="171">
        <v>45582.0</v>
      </c>
      <c r="H1212" s="172">
        <f t="shared" si="2"/>
        <v>6</v>
      </c>
      <c r="I1212" s="173" t="s">
        <v>4493</v>
      </c>
      <c r="J1212" s="171">
        <v>45588.0</v>
      </c>
      <c r="K1212" s="169" t="s">
        <v>2758</v>
      </c>
      <c r="L1212" s="282"/>
      <c r="M1212" s="282"/>
      <c r="N1212" s="282"/>
      <c r="O1212" s="282"/>
      <c r="P1212" s="282"/>
      <c r="Q1212" s="282"/>
      <c r="R1212" s="282"/>
      <c r="S1212" s="282"/>
      <c r="T1212" s="282"/>
      <c r="U1212" s="282"/>
      <c r="V1212" s="282"/>
      <c r="W1212" s="282"/>
      <c r="X1212" s="282"/>
      <c r="Y1212" s="282"/>
      <c r="Z1212" s="282"/>
      <c r="AA1212" s="282"/>
      <c r="AB1212" s="282"/>
      <c r="AC1212" s="282"/>
      <c r="AD1212" s="282"/>
    </row>
    <row r="1213">
      <c r="A1213" s="174" t="s">
        <v>4494</v>
      </c>
      <c r="B1213" s="176" t="s">
        <v>413</v>
      </c>
      <c r="C1213" s="174">
        <v>2018.0</v>
      </c>
      <c r="D1213" s="176" t="s">
        <v>14</v>
      </c>
      <c r="E1213" s="176" t="s">
        <v>2802</v>
      </c>
      <c r="F1213" s="177" t="s">
        <v>414</v>
      </c>
      <c r="G1213" s="178">
        <v>45589.0</v>
      </c>
      <c r="H1213" s="179">
        <f t="shared" si="2"/>
        <v>20</v>
      </c>
      <c r="I1213" s="182" t="s">
        <v>4495</v>
      </c>
      <c r="J1213" s="313">
        <v>45609.0</v>
      </c>
      <c r="K1213" s="266" t="s">
        <v>2758</v>
      </c>
      <c r="L1213" s="282"/>
      <c r="M1213" s="282"/>
      <c r="N1213" s="282"/>
      <c r="O1213" s="282"/>
      <c r="P1213" s="282"/>
      <c r="Q1213" s="282"/>
      <c r="R1213" s="282"/>
      <c r="S1213" s="282"/>
      <c r="T1213" s="282"/>
      <c r="U1213" s="282"/>
      <c r="V1213" s="282"/>
      <c r="W1213" s="282"/>
      <c r="X1213" s="282"/>
      <c r="Y1213" s="282"/>
      <c r="Z1213" s="282"/>
      <c r="AA1213" s="282"/>
      <c r="AB1213" s="282"/>
      <c r="AC1213" s="282"/>
      <c r="AD1213" s="282"/>
    </row>
    <row r="1214">
      <c r="A1214" s="168" t="s">
        <v>4496</v>
      </c>
      <c r="B1214" s="169" t="s">
        <v>3029</v>
      </c>
      <c r="C1214" s="168">
        <v>2018.0</v>
      </c>
      <c r="D1214" s="142" t="s">
        <v>52</v>
      </c>
      <c r="E1214" s="142" t="s">
        <v>912</v>
      </c>
      <c r="F1214" s="170" t="s">
        <v>3030</v>
      </c>
      <c r="G1214" s="171">
        <v>45649.0</v>
      </c>
      <c r="H1214" s="172">
        <f t="shared" si="2"/>
        <v>0</v>
      </c>
      <c r="I1214" s="173" t="s">
        <v>4497</v>
      </c>
      <c r="J1214" s="171">
        <v>45649.0</v>
      </c>
      <c r="K1214" s="169" t="s">
        <v>2758</v>
      </c>
      <c r="L1214" s="282"/>
      <c r="M1214" s="282"/>
      <c r="N1214" s="282"/>
      <c r="O1214" s="282"/>
      <c r="P1214" s="282"/>
      <c r="Q1214" s="282"/>
      <c r="R1214" s="282"/>
      <c r="S1214" s="282"/>
      <c r="T1214" s="282"/>
      <c r="U1214" s="282"/>
      <c r="V1214" s="282"/>
      <c r="W1214" s="282"/>
      <c r="X1214" s="282"/>
      <c r="Y1214" s="282"/>
      <c r="Z1214" s="282"/>
      <c r="AA1214" s="282"/>
      <c r="AB1214" s="282"/>
      <c r="AC1214" s="282"/>
      <c r="AD1214" s="282"/>
    </row>
    <row r="1215">
      <c r="A1215" s="174" t="s">
        <v>4498</v>
      </c>
      <c r="B1215" s="176" t="s">
        <v>4499</v>
      </c>
      <c r="C1215" s="174">
        <v>2014.0</v>
      </c>
      <c r="D1215" s="176" t="s">
        <v>2875</v>
      </c>
      <c r="E1215" s="176" t="s">
        <v>21</v>
      </c>
      <c r="F1215" s="177" t="s">
        <v>3450</v>
      </c>
      <c r="G1215" s="178">
        <v>45519.0</v>
      </c>
      <c r="H1215" s="179">
        <f t="shared" si="2"/>
        <v>21</v>
      </c>
      <c r="I1215" s="182" t="s">
        <v>4500</v>
      </c>
      <c r="J1215" s="178">
        <v>45540.0</v>
      </c>
      <c r="K1215" s="175" t="s">
        <v>2758</v>
      </c>
      <c r="L1215" s="242"/>
      <c r="M1215" s="242"/>
      <c r="N1215" s="242"/>
      <c r="O1215" s="242"/>
      <c r="P1215" s="242"/>
      <c r="Q1215" s="242"/>
      <c r="R1215" s="242"/>
      <c r="S1215" s="242"/>
      <c r="T1215" s="242"/>
      <c r="U1215" s="242"/>
      <c r="V1215" s="242"/>
      <c r="W1215" s="242"/>
      <c r="X1215" s="242"/>
      <c r="Y1215" s="242"/>
      <c r="Z1215" s="242"/>
      <c r="AA1215" s="242"/>
      <c r="AB1215" s="242"/>
      <c r="AC1215" s="242"/>
      <c r="AD1215" s="242"/>
      <c r="AE1215" s="242"/>
      <c r="AF1215" s="242"/>
      <c r="AG1215" s="242"/>
      <c r="AH1215" s="242"/>
      <c r="AI1215" s="242"/>
      <c r="AJ1215" s="242"/>
      <c r="AK1215" s="242"/>
      <c r="AL1215" s="242"/>
      <c r="AM1215" s="242"/>
      <c r="AN1215" s="242"/>
      <c r="AO1215" s="242"/>
    </row>
    <row r="1216">
      <c r="A1216" s="168" t="s">
        <v>4501</v>
      </c>
      <c r="B1216" s="169" t="s">
        <v>4502</v>
      </c>
      <c r="C1216" s="168">
        <v>2013.0</v>
      </c>
      <c r="D1216" s="142" t="s">
        <v>2875</v>
      </c>
      <c r="E1216" s="142" t="s">
        <v>70</v>
      </c>
      <c r="F1216" s="170" t="s">
        <v>3555</v>
      </c>
      <c r="G1216" s="171">
        <v>45870.0</v>
      </c>
      <c r="H1216" s="172">
        <f t="shared" si="2"/>
        <v>10</v>
      </c>
      <c r="I1216" s="173" t="s">
        <v>4503</v>
      </c>
      <c r="J1216" s="171">
        <v>45880.0</v>
      </c>
      <c r="K1216" s="169" t="s">
        <v>31</v>
      </c>
      <c r="L1216" s="282"/>
      <c r="M1216" s="282"/>
      <c r="N1216" s="282"/>
      <c r="O1216" s="282"/>
      <c r="P1216" s="282"/>
      <c r="Q1216" s="282"/>
      <c r="R1216" s="282"/>
      <c r="S1216" s="282"/>
      <c r="T1216" s="282"/>
      <c r="U1216" s="282"/>
      <c r="V1216" s="282"/>
      <c r="W1216" s="282"/>
      <c r="X1216" s="282"/>
      <c r="Y1216" s="282"/>
      <c r="Z1216" s="282"/>
      <c r="AA1216" s="282"/>
      <c r="AB1216" s="282"/>
      <c r="AC1216" s="282"/>
      <c r="AD1216" s="282"/>
    </row>
    <row r="1217">
      <c r="A1217" s="174" t="s">
        <v>4504</v>
      </c>
      <c r="B1217" s="175" t="s">
        <v>4505</v>
      </c>
      <c r="C1217" s="174">
        <v>2022.0</v>
      </c>
      <c r="D1217" s="176" t="s">
        <v>14</v>
      </c>
      <c r="E1217" s="176" t="s">
        <v>4506</v>
      </c>
      <c r="F1217" s="177" t="s">
        <v>4507</v>
      </c>
      <c r="G1217" s="178">
        <v>45677.0</v>
      </c>
      <c r="H1217" s="179">
        <f t="shared" si="2"/>
        <v>0</v>
      </c>
      <c r="I1217" s="180" t="s">
        <v>4508</v>
      </c>
      <c r="J1217" s="178">
        <v>45677.0</v>
      </c>
      <c r="K1217" s="175" t="s">
        <v>2758</v>
      </c>
      <c r="L1217" s="242"/>
      <c r="M1217" s="242"/>
      <c r="N1217" s="242"/>
      <c r="O1217" s="242"/>
      <c r="P1217" s="242"/>
      <c r="Q1217" s="242"/>
      <c r="R1217" s="242"/>
      <c r="S1217" s="242"/>
      <c r="T1217" s="242"/>
      <c r="U1217" s="242"/>
      <c r="V1217" s="242"/>
      <c r="W1217" s="242"/>
      <c r="X1217" s="242"/>
      <c r="Y1217" s="242"/>
      <c r="Z1217" s="242"/>
      <c r="AA1217" s="242"/>
      <c r="AB1217" s="242"/>
      <c r="AC1217" s="242"/>
      <c r="AD1217" s="242"/>
      <c r="AE1217" s="242"/>
      <c r="AF1217" s="242"/>
      <c r="AG1217" s="242"/>
      <c r="AH1217" s="242"/>
      <c r="AI1217" s="242"/>
      <c r="AJ1217" s="242"/>
      <c r="AK1217" s="242"/>
      <c r="AL1217" s="242"/>
      <c r="AM1217" s="242"/>
      <c r="AN1217" s="242"/>
      <c r="AO1217" s="242"/>
    </row>
    <row r="1218">
      <c r="A1218" s="168" t="s">
        <v>4504</v>
      </c>
      <c r="B1218" s="142" t="s">
        <v>363</v>
      </c>
      <c r="C1218" s="168">
        <v>2021.0</v>
      </c>
      <c r="D1218" s="142" t="s">
        <v>14</v>
      </c>
      <c r="E1218" s="142" t="s">
        <v>2362</v>
      </c>
      <c r="F1218" s="170" t="s">
        <v>4509</v>
      </c>
      <c r="G1218" s="171">
        <v>45677.0</v>
      </c>
      <c r="H1218" s="172">
        <f t="shared" si="2"/>
        <v>0</v>
      </c>
      <c r="I1218" s="211" t="s">
        <v>4510</v>
      </c>
      <c r="J1218" s="268">
        <v>45677.0</v>
      </c>
      <c r="K1218" s="169" t="s">
        <v>2758</v>
      </c>
      <c r="L1218" s="282"/>
      <c r="M1218" s="282"/>
      <c r="N1218" s="282"/>
      <c r="O1218" s="282"/>
      <c r="P1218" s="282"/>
      <c r="Q1218" s="282"/>
      <c r="R1218" s="282"/>
      <c r="S1218" s="282"/>
      <c r="T1218" s="282"/>
      <c r="U1218" s="282"/>
      <c r="V1218" s="282"/>
      <c r="W1218" s="282"/>
      <c r="X1218" s="282"/>
      <c r="Y1218" s="282"/>
      <c r="Z1218" s="282"/>
      <c r="AA1218" s="282"/>
      <c r="AB1218" s="282"/>
      <c r="AC1218" s="282"/>
      <c r="AD1218" s="282"/>
    </row>
    <row r="1219">
      <c r="A1219" s="174" t="s">
        <v>4504</v>
      </c>
      <c r="B1219" s="175" t="s">
        <v>4283</v>
      </c>
      <c r="C1219" s="174">
        <v>2022.0</v>
      </c>
      <c r="D1219" s="176" t="s">
        <v>14</v>
      </c>
      <c r="E1219" s="176" t="s">
        <v>4511</v>
      </c>
      <c r="F1219" s="177" t="s">
        <v>4512</v>
      </c>
      <c r="G1219" s="178">
        <v>45681.0</v>
      </c>
      <c r="H1219" s="179">
        <f t="shared" si="2"/>
        <v>0</v>
      </c>
      <c r="I1219" s="180" t="s">
        <v>4513</v>
      </c>
      <c r="J1219" s="178">
        <v>45681.0</v>
      </c>
      <c r="K1219" s="175" t="s">
        <v>2758</v>
      </c>
      <c r="L1219" s="282"/>
      <c r="M1219" s="282"/>
      <c r="N1219" s="282"/>
      <c r="O1219" s="282"/>
      <c r="P1219" s="282"/>
      <c r="Q1219" s="282"/>
      <c r="R1219" s="282"/>
      <c r="S1219" s="282"/>
      <c r="T1219" s="282"/>
      <c r="U1219" s="282"/>
      <c r="V1219" s="282"/>
      <c r="W1219" s="282"/>
      <c r="X1219" s="282"/>
      <c r="Y1219" s="282"/>
      <c r="Z1219" s="282"/>
      <c r="AA1219" s="282"/>
      <c r="AB1219" s="282"/>
      <c r="AC1219" s="282"/>
      <c r="AD1219" s="282"/>
    </row>
    <row r="1220">
      <c r="A1220" s="168" t="s">
        <v>4504</v>
      </c>
      <c r="B1220" s="169" t="s">
        <v>3937</v>
      </c>
      <c r="C1220" s="168">
        <v>2022.0</v>
      </c>
      <c r="D1220" s="142" t="s">
        <v>14</v>
      </c>
      <c r="E1220" s="142" t="s">
        <v>4511</v>
      </c>
      <c r="F1220" s="170" t="s">
        <v>4514</v>
      </c>
      <c r="G1220" s="171">
        <v>45681.0</v>
      </c>
      <c r="H1220" s="172">
        <f t="shared" si="2"/>
        <v>0</v>
      </c>
      <c r="I1220" s="173" t="s">
        <v>4513</v>
      </c>
      <c r="J1220" s="171">
        <v>45681.0</v>
      </c>
      <c r="K1220" s="169" t="s">
        <v>2758</v>
      </c>
      <c r="L1220" s="242"/>
      <c r="M1220" s="242"/>
      <c r="N1220" s="242"/>
      <c r="O1220" s="242"/>
      <c r="P1220" s="242"/>
      <c r="Q1220" s="242"/>
      <c r="R1220" s="242"/>
      <c r="S1220" s="242"/>
      <c r="T1220" s="242"/>
      <c r="U1220" s="242"/>
      <c r="V1220" s="242"/>
      <c r="W1220" s="242"/>
      <c r="X1220" s="242"/>
      <c r="Y1220" s="242"/>
      <c r="Z1220" s="242"/>
      <c r="AA1220" s="242"/>
      <c r="AB1220" s="242"/>
      <c r="AC1220" s="242"/>
      <c r="AD1220" s="242"/>
      <c r="AE1220" s="242"/>
      <c r="AF1220" s="242"/>
      <c r="AG1220" s="242"/>
      <c r="AH1220" s="242"/>
      <c r="AI1220" s="242"/>
      <c r="AJ1220" s="242"/>
      <c r="AK1220" s="242"/>
      <c r="AL1220" s="242"/>
      <c r="AM1220" s="242"/>
      <c r="AN1220" s="242"/>
      <c r="AO1220" s="242"/>
    </row>
    <row r="1221">
      <c r="A1221" s="174" t="s">
        <v>4504</v>
      </c>
      <c r="B1221" s="175" t="s">
        <v>1233</v>
      </c>
      <c r="C1221" s="174">
        <v>2022.0</v>
      </c>
      <c r="D1221" s="176" t="s">
        <v>14</v>
      </c>
      <c r="E1221" s="176" t="s">
        <v>4511</v>
      </c>
      <c r="F1221" s="177" t="s">
        <v>4515</v>
      </c>
      <c r="G1221" s="178">
        <v>45681.0</v>
      </c>
      <c r="H1221" s="179">
        <f t="shared" si="2"/>
        <v>0</v>
      </c>
      <c r="I1221" s="180" t="s">
        <v>4513</v>
      </c>
      <c r="J1221" s="178">
        <v>45681.0</v>
      </c>
      <c r="K1221" s="175" t="s">
        <v>2758</v>
      </c>
      <c r="L1221" s="282"/>
      <c r="M1221" s="282"/>
      <c r="N1221" s="282"/>
      <c r="O1221" s="282"/>
      <c r="P1221" s="282"/>
      <c r="Q1221" s="282"/>
      <c r="R1221" s="282"/>
      <c r="S1221" s="282"/>
      <c r="T1221" s="282"/>
      <c r="U1221" s="282"/>
      <c r="V1221" s="282"/>
      <c r="W1221" s="282"/>
      <c r="X1221" s="282"/>
      <c r="Y1221" s="282"/>
      <c r="Z1221" s="282"/>
      <c r="AA1221" s="282"/>
      <c r="AB1221" s="282"/>
      <c r="AC1221" s="282"/>
      <c r="AD1221" s="282"/>
    </row>
    <row r="1222">
      <c r="A1222" s="168" t="s">
        <v>4516</v>
      </c>
      <c r="B1222" s="169" t="s">
        <v>1072</v>
      </c>
      <c r="C1222" s="168">
        <v>2022.0</v>
      </c>
      <c r="D1222" s="142" t="s">
        <v>14</v>
      </c>
      <c r="E1222" s="142" t="s">
        <v>4511</v>
      </c>
      <c r="F1222" s="170" t="s">
        <v>4517</v>
      </c>
      <c r="G1222" s="171">
        <v>45681.0</v>
      </c>
      <c r="H1222" s="172">
        <f t="shared" si="2"/>
        <v>0</v>
      </c>
      <c r="I1222" s="173" t="s">
        <v>4513</v>
      </c>
      <c r="J1222" s="171">
        <v>45681.0</v>
      </c>
      <c r="K1222" s="169" t="s">
        <v>2758</v>
      </c>
      <c r="L1222" s="282"/>
      <c r="M1222" s="282"/>
      <c r="N1222" s="282"/>
      <c r="O1222" s="282"/>
      <c r="P1222" s="282"/>
      <c r="Q1222" s="282"/>
      <c r="R1222" s="282"/>
      <c r="S1222" s="282"/>
      <c r="T1222" s="282"/>
      <c r="U1222" s="282"/>
      <c r="V1222" s="282"/>
      <c r="W1222" s="282"/>
      <c r="X1222" s="282"/>
      <c r="Y1222" s="282"/>
      <c r="Z1222" s="282"/>
      <c r="AA1222" s="282"/>
      <c r="AB1222" s="282"/>
      <c r="AC1222" s="282"/>
      <c r="AD1222" s="282"/>
    </row>
    <row r="1223">
      <c r="A1223" s="174" t="s">
        <v>4516</v>
      </c>
      <c r="B1223" s="175" t="s">
        <v>4518</v>
      </c>
      <c r="C1223" s="174">
        <v>2022.0</v>
      </c>
      <c r="D1223" s="176" t="s">
        <v>14</v>
      </c>
      <c r="E1223" s="176" t="s">
        <v>4519</v>
      </c>
      <c r="F1223" s="177" t="s">
        <v>4520</v>
      </c>
      <c r="G1223" s="178">
        <v>45681.0</v>
      </c>
      <c r="H1223" s="179">
        <f t="shared" si="2"/>
        <v>0</v>
      </c>
      <c r="I1223" s="180" t="s">
        <v>4513</v>
      </c>
      <c r="J1223" s="178">
        <v>45681.0</v>
      </c>
      <c r="K1223" s="175" t="s">
        <v>2758</v>
      </c>
      <c r="L1223" s="242"/>
      <c r="M1223" s="242"/>
      <c r="N1223" s="242"/>
      <c r="O1223" s="242"/>
      <c r="P1223" s="242"/>
      <c r="Q1223" s="242"/>
      <c r="R1223" s="242"/>
      <c r="S1223" s="242"/>
      <c r="T1223" s="242"/>
      <c r="U1223" s="242"/>
      <c r="V1223" s="242"/>
      <c r="W1223" s="242"/>
      <c r="X1223" s="242"/>
      <c r="Y1223" s="242"/>
      <c r="Z1223" s="242"/>
      <c r="AA1223" s="242"/>
      <c r="AB1223" s="242"/>
      <c r="AC1223" s="242"/>
      <c r="AD1223" s="242"/>
      <c r="AE1223" s="242"/>
      <c r="AF1223" s="242"/>
      <c r="AG1223" s="242"/>
      <c r="AH1223" s="242"/>
      <c r="AI1223" s="242"/>
      <c r="AJ1223" s="242"/>
      <c r="AK1223" s="242"/>
      <c r="AL1223" s="242"/>
      <c r="AM1223" s="242"/>
      <c r="AN1223" s="242"/>
      <c r="AO1223" s="242"/>
    </row>
    <row r="1224">
      <c r="A1224" s="314" t="s">
        <v>4521</v>
      </c>
      <c r="B1224" s="169" t="s">
        <v>4208</v>
      </c>
      <c r="C1224" s="168">
        <v>2022.0</v>
      </c>
      <c r="D1224" s="142" t="s">
        <v>14</v>
      </c>
      <c r="E1224" s="142" t="s">
        <v>4522</v>
      </c>
      <c r="F1224" s="170" t="s">
        <v>4523</v>
      </c>
      <c r="G1224" s="171">
        <v>45722.0</v>
      </c>
      <c r="H1224" s="172">
        <f t="shared" si="2"/>
        <v>0</v>
      </c>
      <c r="I1224" s="315" t="s">
        <v>4524</v>
      </c>
      <c r="J1224" s="171">
        <v>45722.0</v>
      </c>
      <c r="K1224" s="169" t="s">
        <v>2758</v>
      </c>
      <c r="L1224" s="242"/>
      <c r="M1224" s="242"/>
      <c r="N1224" s="242"/>
      <c r="O1224" s="242"/>
      <c r="P1224" s="242"/>
      <c r="Q1224" s="242"/>
      <c r="R1224" s="242"/>
      <c r="S1224" s="242"/>
      <c r="T1224" s="242"/>
      <c r="U1224" s="242"/>
      <c r="V1224" s="242"/>
      <c r="W1224" s="242"/>
      <c r="X1224" s="242"/>
      <c r="Y1224" s="242"/>
      <c r="Z1224" s="242"/>
      <c r="AA1224" s="242"/>
      <c r="AB1224" s="242"/>
      <c r="AC1224" s="242"/>
      <c r="AD1224" s="242"/>
      <c r="AE1224" s="242"/>
      <c r="AF1224" s="242"/>
      <c r="AG1224" s="242"/>
      <c r="AH1224" s="242"/>
      <c r="AI1224" s="242"/>
      <c r="AJ1224" s="242"/>
      <c r="AK1224" s="242"/>
      <c r="AL1224" s="242"/>
      <c r="AM1224" s="242"/>
      <c r="AN1224" s="242"/>
      <c r="AO1224" s="242"/>
    </row>
    <row r="1225">
      <c r="A1225" s="316" t="s">
        <v>4521</v>
      </c>
      <c r="B1225" s="175" t="s">
        <v>244</v>
      </c>
      <c r="C1225" s="174">
        <v>2022.0</v>
      </c>
      <c r="D1225" s="176" t="s">
        <v>14</v>
      </c>
      <c r="E1225" s="176" t="s">
        <v>4525</v>
      </c>
      <c r="F1225" s="177" t="s">
        <v>4526</v>
      </c>
      <c r="G1225" s="178">
        <v>45722.0</v>
      </c>
      <c r="H1225" s="179">
        <f t="shared" si="2"/>
        <v>0</v>
      </c>
      <c r="I1225" s="315" t="s">
        <v>4524</v>
      </c>
      <c r="J1225" s="178">
        <v>45722.0</v>
      </c>
      <c r="K1225" s="175" t="s">
        <v>2758</v>
      </c>
      <c r="L1225" s="282"/>
      <c r="M1225" s="282"/>
      <c r="N1225" s="282"/>
      <c r="O1225" s="282"/>
      <c r="P1225" s="282"/>
      <c r="Q1225" s="282"/>
      <c r="R1225" s="282"/>
      <c r="S1225" s="282"/>
      <c r="T1225" s="282"/>
      <c r="U1225" s="282"/>
      <c r="V1225" s="282"/>
      <c r="W1225" s="282"/>
      <c r="X1225" s="282"/>
      <c r="Y1225" s="282"/>
      <c r="Z1225" s="282"/>
      <c r="AA1225" s="282"/>
      <c r="AB1225" s="282"/>
      <c r="AC1225" s="282"/>
      <c r="AD1225" s="282"/>
    </row>
    <row r="1226">
      <c r="A1226" s="314" t="s">
        <v>4521</v>
      </c>
      <c r="B1226" s="169" t="s">
        <v>4527</v>
      </c>
      <c r="C1226" s="168">
        <v>2022.0</v>
      </c>
      <c r="D1226" s="142" t="s">
        <v>14</v>
      </c>
      <c r="E1226" s="142" t="s">
        <v>4522</v>
      </c>
      <c r="F1226" s="170" t="s">
        <v>4528</v>
      </c>
      <c r="G1226" s="171">
        <v>45723.0</v>
      </c>
      <c r="H1226" s="172">
        <f t="shared" si="2"/>
        <v>0</v>
      </c>
      <c r="I1226" s="317" t="s">
        <v>4529</v>
      </c>
      <c r="J1226" s="171">
        <v>45723.0</v>
      </c>
      <c r="K1226" s="169" t="s">
        <v>2758</v>
      </c>
      <c r="L1226" s="242"/>
      <c r="M1226" s="242"/>
      <c r="N1226" s="242"/>
      <c r="O1226" s="242"/>
      <c r="P1226" s="242"/>
      <c r="Q1226" s="242"/>
      <c r="R1226" s="242"/>
      <c r="S1226" s="242"/>
      <c r="T1226" s="242"/>
      <c r="U1226" s="242"/>
      <c r="V1226" s="242"/>
      <c r="W1226" s="242"/>
      <c r="X1226" s="242"/>
      <c r="Y1226" s="242"/>
      <c r="Z1226" s="242"/>
      <c r="AA1226" s="242"/>
      <c r="AB1226" s="242"/>
      <c r="AC1226" s="242"/>
      <c r="AD1226" s="242"/>
      <c r="AE1226" s="242"/>
      <c r="AF1226" s="242"/>
      <c r="AG1226" s="242"/>
      <c r="AH1226" s="242"/>
      <c r="AI1226" s="242"/>
      <c r="AJ1226" s="242"/>
      <c r="AK1226" s="242"/>
      <c r="AL1226" s="242"/>
      <c r="AM1226" s="242"/>
      <c r="AN1226" s="242"/>
      <c r="AO1226" s="242"/>
    </row>
    <row r="1227">
      <c r="A1227" s="316" t="s">
        <v>4521</v>
      </c>
      <c r="B1227" s="175" t="s">
        <v>4530</v>
      </c>
      <c r="C1227" s="174">
        <v>2022.0</v>
      </c>
      <c r="D1227" s="176" t="s">
        <v>52</v>
      </c>
      <c r="E1227" s="176" t="s">
        <v>4522</v>
      </c>
      <c r="F1227" s="177" t="s">
        <v>4531</v>
      </c>
      <c r="G1227" s="178">
        <v>45723.0</v>
      </c>
      <c r="H1227" s="179">
        <f t="shared" si="2"/>
        <v>0</v>
      </c>
      <c r="I1227" s="317" t="s">
        <v>4532</v>
      </c>
      <c r="J1227" s="178">
        <v>45723.0</v>
      </c>
      <c r="K1227" s="175"/>
      <c r="L1227" s="242"/>
      <c r="M1227" s="242"/>
      <c r="N1227" s="242"/>
      <c r="O1227" s="242"/>
      <c r="P1227" s="242"/>
      <c r="Q1227" s="242"/>
      <c r="R1227" s="242"/>
      <c r="S1227" s="242"/>
      <c r="T1227" s="242"/>
      <c r="U1227" s="242"/>
      <c r="V1227" s="242"/>
      <c r="W1227" s="242"/>
      <c r="X1227" s="242"/>
      <c r="Y1227" s="242"/>
      <c r="Z1227" s="242"/>
      <c r="AA1227" s="242"/>
      <c r="AB1227" s="242"/>
      <c r="AC1227" s="242"/>
      <c r="AD1227" s="242"/>
      <c r="AE1227" s="242"/>
      <c r="AF1227" s="242"/>
      <c r="AG1227" s="242"/>
      <c r="AH1227" s="242"/>
      <c r="AI1227" s="242"/>
      <c r="AJ1227" s="242"/>
      <c r="AK1227" s="242"/>
      <c r="AL1227" s="242"/>
      <c r="AM1227" s="242"/>
      <c r="AN1227" s="242"/>
      <c r="AO1227" s="242"/>
    </row>
    <row r="1228">
      <c r="A1228" s="314" t="s">
        <v>4521</v>
      </c>
      <c r="B1228" s="169" t="s">
        <v>4533</v>
      </c>
      <c r="C1228" s="168">
        <v>2022.0</v>
      </c>
      <c r="D1228" s="142" t="s">
        <v>52</v>
      </c>
      <c r="E1228" s="142" t="s">
        <v>4522</v>
      </c>
      <c r="F1228" s="170" t="s">
        <v>4534</v>
      </c>
      <c r="G1228" s="171">
        <v>45723.0</v>
      </c>
      <c r="H1228" s="172">
        <f t="shared" si="2"/>
        <v>0</v>
      </c>
      <c r="I1228" s="315" t="s">
        <v>4535</v>
      </c>
      <c r="J1228" s="171">
        <v>45723.0</v>
      </c>
      <c r="K1228" s="169"/>
      <c r="L1228" s="282"/>
      <c r="M1228" s="282"/>
      <c r="N1228" s="282"/>
      <c r="O1228" s="282"/>
      <c r="P1228" s="282"/>
      <c r="Q1228" s="282"/>
      <c r="R1228" s="282"/>
      <c r="S1228" s="282"/>
      <c r="T1228" s="282"/>
      <c r="U1228" s="282"/>
      <c r="V1228" s="282"/>
      <c r="W1228" s="282"/>
      <c r="X1228" s="282"/>
      <c r="Y1228" s="282"/>
      <c r="Z1228" s="282"/>
      <c r="AA1228" s="282"/>
      <c r="AB1228" s="282"/>
      <c r="AC1228" s="282"/>
      <c r="AD1228" s="282"/>
    </row>
    <row r="1229">
      <c r="A1229" s="316" t="s">
        <v>4521</v>
      </c>
      <c r="B1229" s="175" t="s">
        <v>4536</v>
      </c>
      <c r="C1229" s="174">
        <v>2019.0</v>
      </c>
      <c r="D1229" s="176" t="s">
        <v>14</v>
      </c>
      <c r="E1229" s="176" t="s">
        <v>4522</v>
      </c>
      <c r="F1229" s="177" t="s">
        <v>4537</v>
      </c>
      <c r="G1229" s="178">
        <v>45723.0</v>
      </c>
      <c r="H1229" s="179">
        <f t="shared" si="2"/>
        <v>0</v>
      </c>
      <c r="I1229" s="317" t="s">
        <v>4538</v>
      </c>
      <c r="J1229" s="178">
        <v>45723.0</v>
      </c>
      <c r="K1229" s="175" t="s">
        <v>2758</v>
      </c>
      <c r="L1229" s="242"/>
      <c r="M1229" s="242"/>
      <c r="N1229" s="242"/>
      <c r="O1229" s="242"/>
      <c r="P1229" s="242"/>
      <c r="Q1229" s="242"/>
      <c r="R1229" s="242"/>
      <c r="S1229" s="242"/>
      <c r="T1229" s="242"/>
      <c r="U1229" s="242"/>
      <c r="V1229" s="242"/>
      <c r="W1229" s="242"/>
      <c r="X1229" s="242"/>
      <c r="Y1229" s="242"/>
      <c r="Z1229" s="242"/>
      <c r="AA1229" s="242"/>
      <c r="AB1229" s="242"/>
      <c r="AC1229" s="242"/>
      <c r="AD1229" s="242"/>
      <c r="AE1229" s="242"/>
      <c r="AF1229" s="242"/>
      <c r="AG1229" s="242"/>
      <c r="AH1229" s="242"/>
      <c r="AI1229" s="242"/>
      <c r="AJ1229" s="242"/>
      <c r="AK1229" s="242"/>
      <c r="AL1229" s="242"/>
      <c r="AM1229" s="242"/>
      <c r="AN1229" s="242"/>
      <c r="AO1229" s="242"/>
    </row>
    <row r="1230">
      <c r="A1230" s="168" t="s">
        <v>4521</v>
      </c>
      <c r="B1230" s="169" t="s">
        <v>4539</v>
      </c>
      <c r="C1230" s="168">
        <v>2019.0</v>
      </c>
      <c r="D1230" s="142" t="s">
        <v>14</v>
      </c>
      <c r="E1230" s="142" t="s">
        <v>4540</v>
      </c>
      <c r="F1230" s="170" t="s">
        <v>4541</v>
      </c>
      <c r="G1230" s="171">
        <v>45726.0</v>
      </c>
      <c r="H1230" s="172">
        <f t="shared" si="2"/>
        <v>0</v>
      </c>
      <c r="I1230" s="317" t="s">
        <v>4542</v>
      </c>
      <c r="J1230" s="171">
        <v>45726.0</v>
      </c>
      <c r="K1230" s="169" t="s">
        <v>2758</v>
      </c>
      <c r="L1230" s="242"/>
      <c r="M1230" s="242"/>
      <c r="N1230" s="242"/>
      <c r="O1230" s="242"/>
      <c r="P1230" s="242"/>
      <c r="Q1230" s="242"/>
      <c r="R1230" s="242"/>
      <c r="S1230" s="242"/>
      <c r="T1230" s="242"/>
      <c r="U1230" s="242"/>
      <c r="V1230" s="242"/>
      <c r="W1230" s="242"/>
      <c r="X1230" s="242"/>
      <c r="Y1230" s="242"/>
      <c r="Z1230" s="242"/>
      <c r="AA1230" s="242"/>
      <c r="AB1230" s="242"/>
      <c r="AC1230" s="242"/>
      <c r="AD1230" s="242"/>
      <c r="AE1230" s="242"/>
      <c r="AF1230" s="242"/>
      <c r="AG1230" s="242"/>
      <c r="AH1230" s="242"/>
      <c r="AI1230" s="242"/>
      <c r="AJ1230" s="242"/>
      <c r="AK1230" s="242"/>
      <c r="AL1230" s="242"/>
      <c r="AM1230" s="242"/>
      <c r="AN1230" s="242"/>
      <c r="AO1230" s="242"/>
    </row>
    <row r="1231">
      <c r="A1231" s="174" t="s">
        <v>4521</v>
      </c>
      <c r="B1231" s="175" t="s">
        <v>4543</v>
      </c>
      <c r="C1231" s="193"/>
      <c r="D1231" s="176" t="s">
        <v>197</v>
      </c>
      <c r="E1231" s="176" t="s">
        <v>4525</v>
      </c>
      <c r="F1231" s="177" t="s">
        <v>4544</v>
      </c>
      <c r="G1231" s="178">
        <v>45726.0</v>
      </c>
      <c r="H1231" s="179">
        <f t="shared" si="2"/>
        <v>0</v>
      </c>
      <c r="I1231" s="317" t="s">
        <v>4545</v>
      </c>
      <c r="J1231" s="178">
        <v>45726.0</v>
      </c>
      <c r="K1231" s="175" t="s">
        <v>2758</v>
      </c>
      <c r="L1231" s="282"/>
      <c r="M1231" s="282"/>
      <c r="N1231" s="282"/>
      <c r="O1231" s="282"/>
      <c r="P1231" s="282"/>
      <c r="Q1231" s="282"/>
      <c r="R1231" s="282"/>
      <c r="S1231" s="282"/>
      <c r="T1231" s="282"/>
      <c r="U1231" s="282"/>
      <c r="V1231" s="282"/>
      <c r="W1231" s="282"/>
      <c r="X1231" s="282"/>
      <c r="Y1231" s="282"/>
      <c r="Z1231" s="282"/>
      <c r="AA1231" s="282"/>
      <c r="AB1231" s="282"/>
      <c r="AC1231" s="282"/>
      <c r="AD1231" s="282"/>
    </row>
    <row r="1232">
      <c r="A1232" s="168" t="s">
        <v>4546</v>
      </c>
      <c r="B1232" s="169" t="s">
        <v>4547</v>
      </c>
      <c r="C1232" s="168">
        <v>2020.0</v>
      </c>
      <c r="D1232" s="142" t="s">
        <v>197</v>
      </c>
      <c r="E1232" s="142" t="s">
        <v>4548</v>
      </c>
      <c r="F1232" s="170" t="s">
        <v>4549</v>
      </c>
      <c r="G1232" s="171">
        <v>45909.0</v>
      </c>
      <c r="H1232" s="172">
        <f t="shared" si="2"/>
        <v>0</v>
      </c>
      <c r="I1232" s="173" t="s">
        <v>4550</v>
      </c>
      <c r="J1232" s="171">
        <v>45909.0</v>
      </c>
      <c r="K1232" s="169" t="s">
        <v>2758</v>
      </c>
      <c r="L1232" s="282"/>
      <c r="M1232" s="282"/>
      <c r="N1232" s="282"/>
      <c r="O1232" s="282"/>
      <c r="P1232" s="282"/>
      <c r="Q1232" s="282"/>
      <c r="R1232" s="282"/>
      <c r="S1232" s="282"/>
      <c r="T1232" s="282"/>
      <c r="U1232" s="282"/>
      <c r="V1232" s="282"/>
      <c r="W1232" s="282"/>
      <c r="X1232" s="282"/>
      <c r="Y1232" s="282"/>
      <c r="Z1232" s="282"/>
      <c r="AA1232" s="282"/>
      <c r="AB1232" s="282"/>
      <c r="AC1232" s="282"/>
      <c r="AD1232" s="282"/>
    </row>
    <row r="1233">
      <c r="A1233" s="174" t="s">
        <v>4551</v>
      </c>
      <c r="B1233" s="175" t="s">
        <v>4552</v>
      </c>
      <c r="C1233" s="174">
        <v>2022.0</v>
      </c>
      <c r="D1233" s="176" t="s">
        <v>52</v>
      </c>
      <c r="E1233" s="176" t="s">
        <v>2763</v>
      </c>
      <c r="F1233" s="177" t="s">
        <v>4553</v>
      </c>
      <c r="G1233" s="178">
        <v>45663.0</v>
      </c>
      <c r="H1233" s="179">
        <f t="shared" si="2"/>
        <v>0</v>
      </c>
      <c r="I1233" s="180" t="s">
        <v>4554</v>
      </c>
      <c r="J1233" s="178">
        <v>45663.0</v>
      </c>
      <c r="K1233" s="175" t="s">
        <v>2758</v>
      </c>
      <c r="L1233" s="242"/>
      <c r="M1233" s="242"/>
      <c r="N1233" s="242"/>
      <c r="O1233" s="242"/>
      <c r="P1233" s="242"/>
      <c r="Q1233" s="242"/>
      <c r="R1233" s="242"/>
      <c r="S1233" s="242"/>
      <c r="T1233" s="242"/>
      <c r="U1233" s="242"/>
      <c r="V1233" s="242"/>
      <c r="W1233" s="242"/>
      <c r="X1233" s="242"/>
      <c r="Y1233" s="242"/>
      <c r="Z1233" s="242"/>
      <c r="AA1233" s="242"/>
      <c r="AB1233" s="242"/>
      <c r="AC1233" s="242"/>
      <c r="AD1233" s="242"/>
      <c r="AE1233" s="242"/>
      <c r="AF1233" s="242"/>
      <c r="AG1233" s="242"/>
      <c r="AH1233" s="242"/>
      <c r="AI1233" s="242"/>
      <c r="AJ1233" s="242"/>
      <c r="AK1233" s="242"/>
      <c r="AL1233" s="242"/>
      <c r="AM1233" s="242"/>
      <c r="AN1233" s="242"/>
      <c r="AO1233" s="242"/>
    </row>
    <row r="1234">
      <c r="A1234" s="168" t="s">
        <v>4551</v>
      </c>
      <c r="B1234" s="169" t="s">
        <v>4555</v>
      </c>
      <c r="C1234" s="168">
        <v>2020.0</v>
      </c>
      <c r="D1234" s="142" t="s">
        <v>52</v>
      </c>
      <c r="E1234" s="142" t="s">
        <v>2763</v>
      </c>
      <c r="F1234" s="170" t="s">
        <v>4556</v>
      </c>
      <c r="G1234" s="171">
        <v>45663.0</v>
      </c>
      <c r="H1234" s="172">
        <f t="shared" si="2"/>
        <v>0</v>
      </c>
      <c r="I1234" s="173" t="s">
        <v>4557</v>
      </c>
      <c r="J1234" s="171">
        <v>45663.0</v>
      </c>
      <c r="K1234" s="169" t="s">
        <v>4558</v>
      </c>
      <c r="L1234" s="282"/>
      <c r="M1234" s="282"/>
      <c r="N1234" s="282"/>
      <c r="O1234" s="282"/>
      <c r="P1234" s="282"/>
      <c r="Q1234" s="282"/>
      <c r="R1234" s="282"/>
      <c r="S1234" s="282"/>
      <c r="T1234" s="282"/>
      <c r="U1234" s="282"/>
      <c r="V1234" s="282"/>
      <c r="W1234" s="282"/>
      <c r="X1234" s="282"/>
      <c r="Y1234" s="282"/>
      <c r="Z1234" s="282"/>
      <c r="AA1234" s="282"/>
      <c r="AB1234" s="282"/>
      <c r="AC1234" s="282"/>
      <c r="AD1234" s="282"/>
    </row>
    <row r="1235">
      <c r="A1235" s="318" t="s">
        <v>4559</v>
      </c>
      <c r="B1235" s="175" t="s">
        <v>4560</v>
      </c>
      <c r="C1235" s="174">
        <v>2022.0</v>
      </c>
      <c r="D1235" s="176" t="s">
        <v>52</v>
      </c>
      <c r="E1235" s="176" t="s">
        <v>2763</v>
      </c>
      <c r="F1235" s="177" t="s">
        <v>4561</v>
      </c>
      <c r="G1235" s="178">
        <v>45664.0</v>
      </c>
      <c r="H1235" s="179">
        <f t="shared" si="2"/>
        <v>0</v>
      </c>
      <c r="I1235" s="180" t="s">
        <v>4554</v>
      </c>
      <c r="J1235" s="178">
        <v>45664.0</v>
      </c>
      <c r="K1235" s="175" t="s">
        <v>2758</v>
      </c>
      <c r="L1235" s="282"/>
      <c r="M1235" s="282"/>
      <c r="N1235" s="282"/>
      <c r="O1235" s="282"/>
      <c r="P1235" s="282"/>
      <c r="Q1235" s="282"/>
      <c r="R1235" s="282"/>
      <c r="S1235" s="282"/>
      <c r="T1235" s="282"/>
      <c r="U1235" s="282"/>
      <c r="V1235" s="282"/>
      <c r="W1235" s="282"/>
      <c r="X1235" s="282"/>
      <c r="Y1235" s="282"/>
      <c r="Z1235" s="282"/>
      <c r="AA1235" s="282"/>
      <c r="AB1235" s="282"/>
      <c r="AC1235" s="282"/>
      <c r="AD1235" s="282"/>
    </row>
    <row r="1236">
      <c r="A1236" s="168" t="s">
        <v>4562</v>
      </c>
      <c r="B1236" s="169" t="s">
        <v>4563</v>
      </c>
      <c r="C1236" s="168">
        <v>2019.0</v>
      </c>
      <c r="D1236" s="142" t="s">
        <v>52</v>
      </c>
      <c r="E1236" s="142" t="s">
        <v>2763</v>
      </c>
      <c r="F1236" s="170" t="s">
        <v>4564</v>
      </c>
      <c r="G1236" s="171">
        <v>45664.0</v>
      </c>
      <c r="H1236" s="172">
        <f t="shared" si="2"/>
        <v>0</v>
      </c>
      <c r="I1236" s="173" t="s">
        <v>4565</v>
      </c>
      <c r="J1236" s="171">
        <v>45664.0</v>
      </c>
      <c r="K1236" s="169" t="s">
        <v>31</v>
      </c>
      <c r="L1236" s="282"/>
      <c r="M1236" s="282"/>
      <c r="N1236" s="282"/>
      <c r="O1236" s="282"/>
      <c r="P1236" s="282"/>
      <c r="Q1236" s="282"/>
      <c r="R1236" s="282"/>
      <c r="S1236" s="282"/>
      <c r="T1236" s="282"/>
      <c r="U1236" s="282"/>
      <c r="V1236" s="282"/>
      <c r="W1236" s="282"/>
      <c r="X1236" s="282"/>
      <c r="Y1236" s="282"/>
      <c r="Z1236" s="282"/>
      <c r="AA1236" s="282"/>
      <c r="AB1236" s="282"/>
      <c r="AC1236" s="282"/>
      <c r="AD1236" s="282"/>
    </row>
    <row r="1237">
      <c r="A1237" s="174" t="s">
        <v>4562</v>
      </c>
      <c r="B1237" s="175" t="s">
        <v>4563</v>
      </c>
      <c r="C1237" s="174">
        <v>2019.0</v>
      </c>
      <c r="D1237" s="176" t="s">
        <v>52</v>
      </c>
      <c r="E1237" s="176" t="s">
        <v>2763</v>
      </c>
      <c r="F1237" s="177" t="s">
        <v>4564</v>
      </c>
      <c r="G1237" s="178">
        <v>45664.0</v>
      </c>
      <c r="H1237" s="179">
        <f t="shared" si="2"/>
        <v>0</v>
      </c>
      <c r="I1237" s="180" t="s">
        <v>4566</v>
      </c>
      <c r="J1237" s="178">
        <v>45664.0</v>
      </c>
      <c r="K1237" s="175" t="s">
        <v>2758</v>
      </c>
      <c r="L1237" s="282"/>
      <c r="M1237" s="282"/>
      <c r="N1237" s="282"/>
      <c r="O1237" s="282"/>
      <c r="P1237" s="282"/>
      <c r="Q1237" s="282"/>
      <c r="R1237" s="282"/>
      <c r="S1237" s="282"/>
      <c r="T1237" s="282"/>
      <c r="U1237" s="282"/>
      <c r="V1237" s="282"/>
      <c r="W1237" s="282"/>
      <c r="X1237" s="282"/>
      <c r="Y1237" s="282"/>
      <c r="Z1237" s="282"/>
      <c r="AA1237" s="282"/>
      <c r="AB1237" s="282"/>
      <c r="AC1237" s="282"/>
      <c r="AD1237" s="282"/>
    </row>
    <row r="1238">
      <c r="A1238" s="319" t="s">
        <v>4567</v>
      </c>
      <c r="B1238" s="169" t="s">
        <v>4568</v>
      </c>
      <c r="C1238" s="168">
        <v>2022.0</v>
      </c>
      <c r="D1238" s="142" t="s">
        <v>4061</v>
      </c>
      <c r="E1238" s="142" t="s">
        <v>2763</v>
      </c>
      <c r="F1238" s="170" t="s">
        <v>4569</v>
      </c>
      <c r="G1238" s="171">
        <v>45665.0</v>
      </c>
      <c r="H1238" s="172">
        <f t="shared" si="2"/>
        <v>0</v>
      </c>
      <c r="I1238" s="173" t="s">
        <v>4554</v>
      </c>
      <c r="J1238" s="171">
        <v>45665.0</v>
      </c>
      <c r="K1238" s="169" t="s">
        <v>2758</v>
      </c>
      <c r="L1238" s="282"/>
      <c r="M1238" s="282"/>
      <c r="N1238" s="282"/>
      <c r="O1238" s="282"/>
      <c r="P1238" s="282"/>
      <c r="Q1238" s="282"/>
      <c r="R1238" s="282"/>
      <c r="S1238" s="282"/>
      <c r="T1238" s="282"/>
      <c r="U1238" s="282"/>
      <c r="V1238" s="282"/>
      <c r="W1238" s="282"/>
      <c r="X1238" s="282"/>
      <c r="Y1238" s="282"/>
      <c r="Z1238" s="282"/>
      <c r="AA1238" s="282"/>
      <c r="AB1238" s="282"/>
      <c r="AC1238" s="282"/>
      <c r="AD1238" s="282"/>
    </row>
    <row r="1239">
      <c r="A1239" s="174" t="s">
        <v>4570</v>
      </c>
      <c r="B1239" s="175" t="s">
        <v>4571</v>
      </c>
      <c r="C1239" s="174">
        <v>2014.0</v>
      </c>
      <c r="D1239" s="176" t="s">
        <v>4572</v>
      </c>
      <c r="E1239" s="176" t="s">
        <v>805</v>
      </c>
      <c r="F1239" s="177" t="s">
        <v>4573</v>
      </c>
      <c r="G1239" s="178">
        <v>45806.0</v>
      </c>
      <c r="H1239" s="179">
        <f t="shared" si="2"/>
        <v>0</v>
      </c>
      <c r="I1239" s="180" t="s">
        <v>4574</v>
      </c>
      <c r="J1239" s="178">
        <v>45806.0</v>
      </c>
      <c r="K1239" s="175" t="s">
        <v>2758</v>
      </c>
      <c r="L1239" s="242"/>
      <c r="M1239" s="242"/>
      <c r="N1239" s="242"/>
      <c r="O1239" s="242"/>
      <c r="P1239" s="242"/>
      <c r="Q1239" s="242"/>
      <c r="R1239" s="242"/>
      <c r="S1239" s="242"/>
      <c r="T1239" s="242"/>
      <c r="U1239" s="242"/>
      <c r="V1239" s="242"/>
      <c r="W1239" s="242"/>
      <c r="X1239" s="242"/>
      <c r="Y1239" s="242"/>
      <c r="Z1239" s="242"/>
      <c r="AA1239" s="242"/>
      <c r="AB1239" s="242"/>
      <c r="AC1239" s="242"/>
      <c r="AD1239" s="242"/>
      <c r="AE1239" s="242"/>
      <c r="AF1239" s="242"/>
      <c r="AG1239" s="242"/>
      <c r="AH1239" s="242"/>
      <c r="AI1239" s="242"/>
      <c r="AJ1239" s="242"/>
      <c r="AK1239" s="242"/>
      <c r="AL1239" s="242"/>
      <c r="AM1239" s="242"/>
      <c r="AN1239" s="242"/>
      <c r="AO1239" s="242"/>
    </row>
    <row r="1240">
      <c r="A1240" s="168" t="s">
        <v>4575</v>
      </c>
      <c r="B1240" s="169" t="s">
        <v>4576</v>
      </c>
      <c r="C1240" s="168">
        <v>2011.0</v>
      </c>
      <c r="D1240" s="142" t="s">
        <v>2647</v>
      </c>
      <c r="E1240" s="142" t="s">
        <v>70</v>
      </c>
      <c r="F1240" s="170" t="s">
        <v>3740</v>
      </c>
      <c r="G1240" s="171">
        <v>45587.0</v>
      </c>
      <c r="H1240" s="172">
        <f t="shared" si="2"/>
        <v>0</v>
      </c>
      <c r="I1240" s="173" t="s">
        <v>4577</v>
      </c>
      <c r="J1240" s="171">
        <v>45587.0</v>
      </c>
      <c r="K1240" s="169" t="s">
        <v>2758</v>
      </c>
      <c r="L1240" s="242"/>
      <c r="M1240" s="242"/>
      <c r="N1240" s="242"/>
      <c r="O1240" s="242"/>
      <c r="P1240" s="242"/>
      <c r="Q1240" s="242"/>
      <c r="R1240" s="242"/>
      <c r="S1240" s="242"/>
      <c r="T1240" s="242"/>
      <c r="U1240" s="242"/>
      <c r="V1240" s="242"/>
      <c r="W1240" s="242"/>
      <c r="X1240" s="242"/>
      <c r="Y1240" s="242"/>
      <c r="Z1240" s="242"/>
      <c r="AA1240" s="242"/>
      <c r="AB1240" s="242"/>
      <c r="AC1240" s="242"/>
      <c r="AD1240" s="242"/>
      <c r="AE1240" s="242"/>
      <c r="AF1240" s="242"/>
      <c r="AG1240" s="242"/>
      <c r="AH1240" s="242"/>
      <c r="AI1240" s="242"/>
      <c r="AJ1240" s="242"/>
      <c r="AK1240" s="242"/>
      <c r="AL1240" s="242"/>
      <c r="AM1240" s="242"/>
      <c r="AN1240" s="242"/>
      <c r="AO1240" s="242"/>
    </row>
    <row r="1241">
      <c r="A1241" s="174" t="s">
        <v>4578</v>
      </c>
      <c r="B1241" s="175" t="s">
        <v>3941</v>
      </c>
      <c r="C1241" s="174">
        <v>2014.0</v>
      </c>
      <c r="D1241" s="176" t="s">
        <v>105</v>
      </c>
      <c r="E1241" s="176" t="s">
        <v>805</v>
      </c>
      <c r="F1241" s="177" t="s">
        <v>3942</v>
      </c>
      <c r="G1241" s="178">
        <v>45665.0</v>
      </c>
      <c r="H1241" s="179">
        <f t="shared" si="2"/>
        <v>1</v>
      </c>
      <c r="I1241" s="180" t="s">
        <v>4579</v>
      </c>
      <c r="J1241" s="178">
        <v>45666.0</v>
      </c>
      <c r="K1241" s="175" t="s">
        <v>2758</v>
      </c>
      <c r="L1241" s="282"/>
      <c r="M1241" s="282"/>
      <c r="N1241" s="282"/>
      <c r="O1241" s="282"/>
      <c r="P1241" s="282"/>
      <c r="Q1241" s="282"/>
      <c r="R1241" s="282"/>
      <c r="S1241" s="282"/>
      <c r="T1241" s="282"/>
      <c r="U1241" s="282"/>
      <c r="V1241" s="282"/>
      <c r="W1241" s="282"/>
      <c r="X1241" s="282"/>
      <c r="Y1241" s="282"/>
      <c r="Z1241" s="282"/>
      <c r="AA1241" s="282"/>
      <c r="AB1241" s="282"/>
      <c r="AC1241" s="282"/>
      <c r="AD1241" s="282"/>
    </row>
    <row r="1242">
      <c r="A1242" s="168" t="s">
        <v>3390</v>
      </c>
      <c r="B1242" s="169" t="s">
        <v>4580</v>
      </c>
      <c r="C1242" s="168">
        <v>2023.0</v>
      </c>
      <c r="D1242" s="142" t="s">
        <v>52</v>
      </c>
      <c r="E1242" s="142" t="s">
        <v>4581</v>
      </c>
      <c r="F1242" s="170" t="s">
        <v>4582</v>
      </c>
      <c r="G1242" s="171">
        <v>45532.0</v>
      </c>
      <c r="H1242" s="172">
        <f t="shared" si="2"/>
        <v>0</v>
      </c>
      <c r="I1242" s="173" t="s">
        <v>4583</v>
      </c>
      <c r="J1242" s="171">
        <v>45532.0</v>
      </c>
      <c r="K1242" s="169" t="s">
        <v>2758</v>
      </c>
      <c r="L1242" s="282"/>
      <c r="M1242" s="282"/>
      <c r="N1242" s="282"/>
      <c r="O1242" s="282"/>
      <c r="P1242" s="282"/>
      <c r="Q1242" s="282"/>
      <c r="R1242" s="282"/>
      <c r="S1242" s="282"/>
      <c r="T1242" s="282"/>
      <c r="U1242" s="282"/>
      <c r="V1242" s="282"/>
      <c r="W1242" s="282"/>
      <c r="X1242" s="282"/>
      <c r="Y1242" s="282"/>
      <c r="Z1242" s="282"/>
      <c r="AA1242" s="282"/>
      <c r="AB1242" s="282"/>
      <c r="AC1242" s="282"/>
      <c r="AD1242" s="282"/>
    </row>
    <row r="1243">
      <c r="A1243" s="174" t="s">
        <v>3390</v>
      </c>
      <c r="B1243" s="175" t="s">
        <v>4584</v>
      </c>
      <c r="C1243" s="174">
        <v>2013.0</v>
      </c>
      <c r="D1243" s="176" t="s">
        <v>105</v>
      </c>
      <c r="E1243" s="176" t="s">
        <v>107</v>
      </c>
      <c r="F1243" s="177" t="s">
        <v>106</v>
      </c>
      <c r="G1243" s="178">
        <v>45740.0</v>
      </c>
      <c r="H1243" s="179">
        <f t="shared" si="2"/>
        <v>0</v>
      </c>
      <c r="I1243" s="180" t="s">
        <v>4585</v>
      </c>
      <c r="J1243" s="178">
        <v>45740.0</v>
      </c>
      <c r="K1243" s="175" t="s">
        <v>2758</v>
      </c>
      <c r="L1243" s="282"/>
      <c r="M1243" s="282"/>
      <c r="N1243" s="282"/>
      <c r="O1243" s="282"/>
      <c r="P1243" s="282"/>
      <c r="Q1243" s="282"/>
      <c r="R1243" s="282"/>
      <c r="S1243" s="282"/>
      <c r="T1243" s="282"/>
      <c r="U1243" s="282"/>
      <c r="V1243" s="282"/>
      <c r="W1243" s="282"/>
      <c r="X1243" s="282"/>
      <c r="Y1243" s="282"/>
      <c r="Z1243" s="282"/>
      <c r="AA1243" s="282"/>
      <c r="AB1243" s="282"/>
      <c r="AC1243" s="282"/>
      <c r="AD1243" s="282"/>
    </row>
    <row r="1244">
      <c r="A1244" s="168" t="s">
        <v>3390</v>
      </c>
      <c r="B1244" s="169" t="s">
        <v>4586</v>
      </c>
      <c r="C1244" s="168">
        <v>2021.0</v>
      </c>
      <c r="D1244" s="142" t="s">
        <v>3458</v>
      </c>
      <c r="E1244" s="142" t="s">
        <v>4587</v>
      </c>
      <c r="F1244" s="170" t="s">
        <v>4587</v>
      </c>
      <c r="G1244" s="171">
        <v>45740.0</v>
      </c>
      <c r="H1244" s="172">
        <f t="shared" si="2"/>
        <v>0</v>
      </c>
      <c r="I1244" s="173" t="s">
        <v>4588</v>
      </c>
      <c r="J1244" s="171">
        <v>45740.0</v>
      </c>
      <c r="K1244" s="169" t="s">
        <v>2627</v>
      </c>
      <c r="L1244" s="282"/>
      <c r="M1244" s="282"/>
      <c r="N1244" s="282"/>
      <c r="O1244" s="282"/>
      <c r="P1244" s="282"/>
      <c r="Q1244" s="282"/>
      <c r="R1244" s="282"/>
      <c r="S1244" s="282"/>
      <c r="T1244" s="282"/>
      <c r="U1244" s="282"/>
      <c r="V1244" s="282"/>
      <c r="W1244" s="282"/>
      <c r="X1244" s="282"/>
      <c r="Y1244" s="282"/>
      <c r="Z1244" s="282"/>
      <c r="AA1244" s="282"/>
      <c r="AB1244" s="282"/>
      <c r="AC1244" s="282"/>
      <c r="AD1244" s="282"/>
    </row>
    <row r="1245">
      <c r="A1245" s="174" t="s">
        <v>3390</v>
      </c>
      <c r="B1245" s="175" t="s">
        <v>4589</v>
      </c>
      <c r="C1245" s="174">
        <v>2022.0</v>
      </c>
      <c r="D1245" s="176" t="s">
        <v>52</v>
      </c>
      <c r="E1245" s="176" t="s">
        <v>4590</v>
      </c>
      <c r="F1245" s="177" t="s">
        <v>4591</v>
      </c>
      <c r="G1245" s="178">
        <v>45740.0</v>
      </c>
      <c r="H1245" s="179">
        <f t="shared" si="2"/>
        <v>0</v>
      </c>
      <c r="I1245" s="180" t="s">
        <v>4592</v>
      </c>
      <c r="J1245" s="178">
        <v>45740.0</v>
      </c>
      <c r="K1245" s="175" t="s">
        <v>2758</v>
      </c>
      <c r="L1245" s="282"/>
      <c r="M1245" s="282"/>
      <c r="N1245" s="282"/>
      <c r="O1245" s="282"/>
      <c r="P1245" s="282"/>
      <c r="Q1245" s="282"/>
      <c r="R1245" s="282"/>
      <c r="S1245" s="282"/>
      <c r="T1245" s="282"/>
      <c r="U1245" s="282"/>
      <c r="V1245" s="282"/>
      <c r="W1245" s="282"/>
      <c r="X1245" s="282"/>
      <c r="Y1245" s="282"/>
      <c r="Z1245" s="282"/>
      <c r="AA1245" s="282"/>
      <c r="AB1245" s="282"/>
      <c r="AC1245" s="282"/>
      <c r="AD1245" s="282"/>
    </row>
    <row r="1246">
      <c r="A1246" s="168" t="s">
        <v>3390</v>
      </c>
      <c r="B1246" s="169" t="s">
        <v>4593</v>
      </c>
      <c r="C1246" s="168">
        <v>2021.0</v>
      </c>
      <c r="D1246" s="142" t="s">
        <v>52</v>
      </c>
      <c r="E1246" s="142" t="s">
        <v>4594</v>
      </c>
      <c r="F1246" s="170" t="s">
        <v>4595</v>
      </c>
      <c r="G1246" s="171">
        <v>45740.0</v>
      </c>
      <c r="H1246" s="172">
        <f t="shared" si="2"/>
        <v>0</v>
      </c>
      <c r="I1246" s="173" t="s">
        <v>4596</v>
      </c>
      <c r="J1246" s="171">
        <v>45740.0</v>
      </c>
      <c r="K1246" s="169" t="s">
        <v>2627</v>
      </c>
      <c r="L1246" s="282"/>
      <c r="M1246" s="282"/>
      <c r="N1246" s="282"/>
      <c r="O1246" s="282"/>
      <c r="P1246" s="282"/>
      <c r="Q1246" s="282"/>
      <c r="R1246" s="282"/>
      <c r="S1246" s="282"/>
      <c r="T1246" s="282"/>
      <c r="U1246" s="282"/>
      <c r="V1246" s="282"/>
      <c r="W1246" s="282"/>
      <c r="X1246" s="282"/>
      <c r="Y1246" s="282"/>
      <c r="Z1246" s="282"/>
      <c r="AA1246" s="282"/>
      <c r="AB1246" s="282"/>
      <c r="AC1246" s="282"/>
      <c r="AD1246" s="282"/>
    </row>
    <row r="1247">
      <c r="A1247" s="174" t="s">
        <v>3390</v>
      </c>
      <c r="B1247" s="175" t="s">
        <v>4597</v>
      </c>
      <c r="C1247" s="174">
        <v>2021.0</v>
      </c>
      <c r="D1247" s="176" t="s">
        <v>52</v>
      </c>
      <c r="E1247" s="176" t="s">
        <v>4598</v>
      </c>
      <c r="F1247" s="177" t="s">
        <v>4599</v>
      </c>
      <c r="G1247" s="178">
        <v>45740.0</v>
      </c>
      <c r="H1247" s="179">
        <f t="shared" si="2"/>
        <v>0</v>
      </c>
      <c r="I1247" s="180" t="s">
        <v>4600</v>
      </c>
      <c r="J1247" s="178">
        <v>45740.0</v>
      </c>
      <c r="K1247" s="175" t="s">
        <v>2627</v>
      </c>
      <c r="L1247" s="242"/>
      <c r="M1247" s="242"/>
      <c r="N1247" s="242"/>
      <c r="O1247" s="242"/>
      <c r="P1247" s="242"/>
      <c r="Q1247" s="242"/>
      <c r="R1247" s="242"/>
      <c r="S1247" s="242"/>
      <c r="T1247" s="242"/>
      <c r="U1247" s="242"/>
      <c r="V1247" s="242"/>
      <c r="W1247" s="242"/>
      <c r="X1247" s="242"/>
      <c r="Y1247" s="242"/>
      <c r="Z1247" s="242"/>
      <c r="AA1247" s="242"/>
      <c r="AB1247" s="242"/>
      <c r="AC1247" s="242"/>
      <c r="AD1247" s="242"/>
      <c r="AE1247" s="242"/>
      <c r="AF1247" s="242"/>
      <c r="AG1247" s="242"/>
      <c r="AH1247" s="242"/>
      <c r="AI1247" s="242"/>
      <c r="AJ1247" s="242"/>
      <c r="AK1247" s="242"/>
      <c r="AL1247" s="242"/>
      <c r="AM1247" s="242"/>
      <c r="AN1247" s="242"/>
      <c r="AO1247" s="242"/>
    </row>
    <row r="1248">
      <c r="A1248" s="168" t="s">
        <v>3390</v>
      </c>
      <c r="B1248" s="169" t="s">
        <v>1049</v>
      </c>
      <c r="C1248" s="168">
        <v>2021.0</v>
      </c>
      <c r="D1248" s="142" t="s">
        <v>52</v>
      </c>
      <c r="E1248" s="142" t="s">
        <v>4594</v>
      </c>
      <c r="F1248" s="170" t="s">
        <v>4595</v>
      </c>
      <c r="G1248" s="171">
        <v>45750.0</v>
      </c>
      <c r="H1248" s="172">
        <f t="shared" si="2"/>
        <v>0</v>
      </c>
      <c r="I1248" s="173" t="s">
        <v>4601</v>
      </c>
      <c r="J1248" s="171">
        <v>45750.0</v>
      </c>
      <c r="K1248" s="169" t="s">
        <v>2758</v>
      </c>
      <c r="L1248" s="282"/>
      <c r="M1248" s="282"/>
      <c r="N1248" s="282"/>
      <c r="O1248" s="282"/>
      <c r="P1248" s="282"/>
      <c r="Q1248" s="282"/>
      <c r="R1248" s="282"/>
      <c r="S1248" s="282"/>
      <c r="T1248" s="282"/>
      <c r="U1248" s="282"/>
      <c r="V1248" s="282"/>
      <c r="W1248" s="282"/>
      <c r="X1248" s="282"/>
      <c r="Y1248" s="282"/>
      <c r="Z1248" s="282"/>
      <c r="AA1248" s="282"/>
      <c r="AB1248" s="282"/>
      <c r="AC1248" s="282"/>
      <c r="AD1248" s="282"/>
    </row>
    <row r="1249">
      <c r="A1249" s="174" t="s">
        <v>3390</v>
      </c>
      <c r="B1249" s="175" t="s">
        <v>4602</v>
      </c>
      <c r="C1249" s="174">
        <v>2020.0</v>
      </c>
      <c r="D1249" s="176" t="s">
        <v>197</v>
      </c>
      <c r="E1249" s="176" t="s">
        <v>4581</v>
      </c>
      <c r="F1249" s="177" t="s">
        <v>4603</v>
      </c>
      <c r="G1249" s="178">
        <v>45782.0</v>
      </c>
      <c r="H1249" s="179">
        <f t="shared" si="2"/>
        <v>0</v>
      </c>
      <c r="I1249" s="180" t="s">
        <v>4604</v>
      </c>
      <c r="J1249" s="178">
        <v>45782.0</v>
      </c>
      <c r="K1249" s="175" t="s">
        <v>2758</v>
      </c>
      <c r="L1249" s="282"/>
      <c r="M1249" s="282"/>
      <c r="N1249" s="282"/>
      <c r="O1249" s="282"/>
      <c r="P1249" s="282"/>
      <c r="Q1249" s="282"/>
      <c r="R1249" s="282"/>
      <c r="S1249" s="282"/>
      <c r="T1249" s="282"/>
      <c r="U1249" s="282"/>
      <c r="V1249" s="282"/>
      <c r="W1249" s="282"/>
      <c r="X1249" s="282"/>
      <c r="Y1249" s="282"/>
      <c r="Z1249" s="282"/>
      <c r="AA1249" s="282"/>
      <c r="AB1249" s="282"/>
      <c r="AC1249" s="282"/>
      <c r="AD1249" s="282"/>
    </row>
    <row r="1250">
      <c r="A1250" s="168" t="s">
        <v>3390</v>
      </c>
      <c r="B1250" s="169" t="s">
        <v>4605</v>
      </c>
      <c r="C1250" s="168">
        <v>2018.0</v>
      </c>
      <c r="D1250" s="142" t="s">
        <v>14</v>
      </c>
      <c r="E1250" s="142" t="s">
        <v>4581</v>
      </c>
      <c r="F1250" s="170" t="s">
        <v>4606</v>
      </c>
      <c r="G1250" s="171">
        <v>45782.0</v>
      </c>
      <c r="H1250" s="172">
        <f t="shared" si="2"/>
        <v>0</v>
      </c>
      <c r="I1250" s="173" t="s">
        <v>4607</v>
      </c>
      <c r="J1250" s="171">
        <v>45782.0</v>
      </c>
      <c r="K1250" s="169" t="s">
        <v>2758</v>
      </c>
      <c r="L1250" s="242"/>
      <c r="M1250" s="242"/>
      <c r="N1250" s="242"/>
      <c r="O1250" s="242"/>
      <c r="P1250" s="242"/>
      <c r="Q1250" s="242"/>
      <c r="R1250" s="242"/>
      <c r="S1250" s="242"/>
      <c r="T1250" s="242"/>
      <c r="U1250" s="242"/>
      <c r="V1250" s="242"/>
      <c r="W1250" s="242"/>
      <c r="X1250" s="242"/>
      <c r="Y1250" s="242"/>
      <c r="Z1250" s="242"/>
      <c r="AA1250" s="242"/>
      <c r="AB1250" s="242"/>
      <c r="AC1250" s="242"/>
      <c r="AD1250" s="242"/>
      <c r="AE1250" s="242"/>
      <c r="AF1250" s="242"/>
      <c r="AG1250" s="242"/>
      <c r="AH1250" s="242"/>
      <c r="AI1250" s="242"/>
      <c r="AJ1250" s="242"/>
      <c r="AK1250" s="242"/>
      <c r="AL1250" s="242"/>
      <c r="AM1250" s="242"/>
      <c r="AN1250" s="242"/>
      <c r="AO1250" s="242"/>
    </row>
    <row r="1251">
      <c r="A1251" s="174" t="s">
        <v>3390</v>
      </c>
      <c r="B1251" s="175" t="s">
        <v>357</v>
      </c>
      <c r="C1251" s="174">
        <v>2013.0</v>
      </c>
      <c r="D1251" s="176" t="s">
        <v>105</v>
      </c>
      <c r="E1251" s="176" t="s">
        <v>805</v>
      </c>
      <c r="F1251" s="177" t="s">
        <v>4608</v>
      </c>
      <c r="G1251" s="178">
        <v>45821.0</v>
      </c>
      <c r="H1251" s="179">
        <f t="shared" si="2"/>
        <v>0</v>
      </c>
      <c r="I1251" s="180" t="s">
        <v>4609</v>
      </c>
      <c r="J1251" s="178">
        <v>45821.0</v>
      </c>
      <c r="K1251" s="175" t="s">
        <v>2758</v>
      </c>
      <c r="L1251" s="282"/>
      <c r="M1251" s="282"/>
      <c r="N1251" s="282"/>
      <c r="O1251" s="282"/>
      <c r="P1251" s="282"/>
      <c r="Q1251" s="282"/>
      <c r="R1251" s="282"/>
      <c r="S1251" s="282"/>
      <c r="T1251" s="282"/>
      <c r="U1251" s="282"/>
      <c r="V1251" s="282"/>
      <c r="W1251" s="282"/>
      <c r="X1251" s="282"/>
      <c r="Y1251" s="282"/>
      <c r="Z1251" s="282"/>
      <c r="AA1251" s="282"/>
      <c r="AB1251" s="282"/>
      <c r="AC1251" s="282"/>
      <c r="AD1251" s="282"/>
    </row>
    <row r="1252">
      <c r="A1252" s="168" t="s">
        <v>4610</v>
      </c>
      <c r="B1252" s="169" t="s">
        <v>4611</v>
      </c>
      <c r="C1252" s="168">
        <v>2020.0</v>
      </c>
      <c r="D1252" s="142" t="s">
        <v>197</v>
      </c>
      <c r="E1252" s="142" t="s">
        <v>4612</v>
      </c>
      <c r="F1252" s="170" t="s">
        <v>4613</v>
      </c>
      <c r="G1252" s="171">
        <v>45782.0</v>
      </c>
      <c r="H1252" s="172">
        <f t="shared" si="2"/>
        <v>0</v>
      </c>
      <c r="I1252" s="173" t="s">
        <v>4614</v>
      </c>
      <c r="J1252" s="171">
        <v>45782.0</v>
      </c>
      <c r="K1252" s="169" t="s">
        <v>2758</v>
      </c>
      <c r="L1252" s="282"/>
      <c r="M1252" s="282"/>
      <c r="N1252" s="282"/>
      <c r="O1252" s="282"/>
      <c r="P1252" s="282"/>
      <c r="Q1252" s="282"/>
      <c r="R1252" s="282"/>
      <c r="S1252" s="282"/>
      <c r="T1252" s="282"/>
      <c r="U1252" s="282"/>
      <c r="V1252" s="282"/>
      <c r="W1252" s="282"/>
      <c r="X1252" s="282"/>
      <c r="Y1252" s="282"/>
      <c r="Z1252" s="282"/>
      <c r="AA1252" s="282"/>
      <c r="AB1252" s="282"/>
      <c r="AC1252" s="282"/>
      <c r="AD1252" s="282"/>
    </row>
    <row r="1253">
      <c r="A1253" s="174" t="s">
        <v>4610</v>
      </c>
      <c r="B1253" s="175" t="s">
        <v>4615</v>
      </c>
      <c r="C1253" s="174">
        <v>2019.0</v>
      </c>
      <c r="D1253" s="176" t="s">
        <v>14</v>
      </c>
      <c r="E1253" s="176" t="s">
        <v>764</v>
      </c>
      <c r="F1253" s="177" t="s">
        <v>4616</v>
      </c>
      <c r="G1253" s="178">
        <v>45820.0</v>
      </c>
      <c r="H1253" s="179">
        <f t="shared" si="2"/>
        <v>0</v>
      </c>
      <c r="I1253" s="180" t="s">
        <v>4617</v>
      </c>
      <c r="J1253" s="178">
        <v>45820.0</v>
      </c>
      <c r="K1253" s="175" t="s">
        <v>1200</v>
      </c>
      <c r="L1253" s="282"/>
      <c r="M1253" s="282"/>
      <c r="N1253" s="282"/>
      <c r="O1253" s="282"/>
      <c r="P1253" s="282"/>
      <c r="Q1253" s="282"/>
      <c r="R1253" s="282"/>
      <c r="S1253" s="282"/>
      <c r="T1253" s="282"/>
      <c r="U1253" s="282"/>
      <c r="V1253" s="282"/>
      <c r="W1253" s="282"/>
      <c r="X1253" s="282"/>
      <c r="Y1253" s="282"/>
      <c r="Z1253" s="282"/>
      <c r="AA1253" s="282"/>
      <c r="AB1253" s="282"/>
      <c r="AC1253" s="282"/>
      <c r="AD1253" s="282"/>
    </row>
    <row r="1254">
      <c r="A1254" s="168" t="s">
        <v>4610</v>
      </c>
      <c r="B1254" s="169" t="s">
        <v>4618</v>
      </c>
      <c r="C1254" s="168">
        <v>2014.0</v>
      </c>
      <c r="D1254" s="142" t="s">
        <v>105</v>
      </c>
      <c r="E1254" s="142" t="s">
        <v>764</v>
      </c>
      <c r="F1254" s="170" t="s">
        <v>4619</v>
      </c>
      <c r="G1254" s="171">
        <v>45820.0</v>
      </c>
      <c r="H1254" s="172">
        <f t="shared" si="2"/>
        <v>0</v>
      </c>
      <c r="I1254" s="173" t="s">
        <v>4620</v>
      </c>
      <c r="J1254" s="171">
        <v>45820.0</v>
      </c>
      <c r="K1254" s="169" t="s">
        <v>2758</v>
      </c>
      <c r="L1254" s="282"/>
      <c r="M1254" s="282"/>
      <c r="N1254" s="282"/>
      <c r="O1254" s="282"/>
      <c r="P1254" s="282"/>
      <c r="Q1254" s="282"/>
      <c r="R1254" s="282"/>
      <c r="S1254" s="282"/>
      <c r="T1254" s="282"/>
      <c r="U1254" s="282"/>
      <c r="V1254" s="282"/>
      <c r="W1254" s="282"/>
      <c r="X1254" s="282"/>
      <c r="Y1254" s="282"/>
      <c r="Z1254" s="282"/>
      <c r="AA1254" s="282"/>
      <c r="AB1254" s="282"/>
      <c r="AC1254" s="282"/>
      <c r="AD1254" s="282"/>
    </row>
    <row r="1255">
      <c r="A1255" s="174" t="s">
        <v>4610</v>
      </c>
      <c r="B1255" s="175" t="s">
        <v>4621</v>
      </c>
      <c r="C1255" s="174">
        <v>2022.0</v>
      </c>
      <c r="D1255" s="176" t="s">
        <v>52</v>
      </c>
      <c r="E1255" s="176" t="s">
        <v>82</v>
      </c>
      <c r="F1255" s="195"/>
      <c r="G1255" s="178">
        <v>45824.0</v>
      </c>
      <c r="H1255" s="179">
        <f t="shared" si="2"/>
        <v>0</v>
      </c>
      <c r="I1255" s="180" t="s">
        <v>4622</v>
      </c>
      <c r="J1255" s="178">
        <v>45824.0</v>
      </c>
      <c r="K1255" s="175" t="s">
        <v>2758</v>
      </c>
      <c r="L1255" s="282"/>
      <c r="M1255" s="282"/>
      <c r="N1255" s="282"/>
      <c r="O1255" s="282"/>
      <c r="P1255" s="282"/>
      <c r="Q1255" s="282"/>
      <c r="R1255" s="282"/>
      <c r="S1255" s="282"/>
      <c r="T1255" s="282"/>
      <c r="U1255" s="282"/>
      <c r="V1255" s="282"/>
      <c r="W1255" s="282"/>
      <c r="X1255" s="282"/>
      <c r="Y1255" s="282"/>
      <c r="Z1255" s="282"/>
      <c r="AA1255" s="282"/>
      <c r="AB1255" s="282"/>
      <c r="AC1255" s="282"/>
      <c r="AD1255" s="282"/>
    </row>
    <row r="1256">
      <c r="A1256" s="168" t="s">
        <v>4610</v>
      </c>
      <c r="B1256" s="169" t="s">
        <v>4424</v>
      </c>
      <c r="C1256" s="168">
        <v>2021.0</v>
      </c>
      <c r="D1256" s="142" t="s">
        <v>52</v>
      </c>
      <c r="E1256" s="142" t="s">
        <v>4623</v>
      </c>
      <c r="F1256" s="170" t="s">
        <v>4624</v>
      </c>
      <c r="G1256" s="171">
        <v>45831.0</v>
      </c>
      <c r="H1256" s="172">
        <f t="shared" si="2"/>
        <v>0</v>
      </c>
      <c r="I1256" s="173" t="s">
        <v>4625</v>
      </c>
      <c r="J1256" s="171">
        <v>45831.0</v>
      </c>
      <c r="K1256" s="169" t="s">
        <v>2758</v>
      </c>
      <c r="L1256" s="242"/>
      <c r="M1256" s="242"/>
      <c r="N1256" s="242"/>
      <c r="O1256" s="242"/>
      <c r="P1256" s="242"/>
      <c r="Q1256" s="242"/>
      <c r="R1256" s="242"/>
      <c r="S1256" s="242"/>
      <c r="T1256" s="242"/>
      <c r="U1256" s="242"/>
      <c r="V1256" s="242"/>
      <c r="W1256" s="242"/>
      <c r="X1256" s="242"/>
      <c r="Y1256" s="242"/>
      <c r="Z1256" s="242"/>
      <c r="AA1256" s="242"/>
      <c r="AB1256" s="242"/>
      <c r="AC1256" s="242"/>
      <c r="AD1256" s="242"/>
      <c r="AE1256" s="242"/>
      <c r="AF1256" s="242"/>
      <c r="AG1256" s="242"/>
      <c r="AH1256" s="242"/>
      <c r="AI1256" s="242"/>
      <c r="AJ1256" s="242"/>
      <c r="AK1256" s="242"/>
      <c r="AL1256" s="242"/>
      <c r="AM1256" s="242"/>
      <c r="AN1256" s="242"/>
      <c r="AO1256" s="242"/>
    </row>
    <row r="1257">
      <c r="A1257" s="174" t="s">
        <v>4610</v>
      </c>
      <c r="B1257" s="175" t="s">
        <v>4626</v>
      </c>
      <c r="C1257" s="174">
        <v>2019.0</v>
      </c>
      <c r="D1257" s="176" t="s">
        <v>14</v>
      </c>
      <c r="E1257" s="176" t="s">
        <v>4627</v>
      </c>
      <c r="F1257" s="177" t="s">
        <v>4628</v>
      </c>
      <c r="G1257" s="178">
        <v>45856.0</v>
      </c>
      <c r="H1257" s="179">
        <f t="shared" si="2"/>
        <v>0</v>
      </c>
      <c r="I1257" s="180" t="s">
        <v>4629</v>
      </c>
      <c r="J1257" s="178">
        <v>45856.0</v>
      </c>
      <c r="K1257" s="175" t="s">
        <v>2758</v>
      </c>
      <c r="L1257" s="282"/>
      <c r="M1257" s="282"/>
      <c r="N1257" s="282"/>
      <c r="O1257" s="282"/>
      <c r="P1257" s="282"/>
      <c r="Q1257" s="282"/>
      <c r="R1257" s="282"/>
      <c r="S1257" s="282"/>
      <c r="T1257" s="282"/>
      <c r="U1257" s="282"/>
      <c r="V1257" s="282"/>
      <c r="W1257" s="282"/>
      <c r="X1257" s="282"/>
      <c r="Y1257" s="282"/>
      <c r="Z1257" s="282"/>
      <c r="AA1257" s="282"/>
      <c r="AB1257" s="282"/>
      <c r="AC1257" s="282"/>
      <c r="AD1257" s="282"/>
    </row>
    <row r="1258">
      <c r="A1258" s="168" t="s">
        <v>4610</v>
      </c>
      <c r="B1258" s="169" t="s">
        <v>4630</v>
      </c>
      <c r="C1258" s="168">
        <v>2019.0</v>
      </c>
      <c r="D1258" s="142" t="s">
        <v>14</v>
      </c>
      <c r="E1258" s="142" t="s">
        <v>4627</v>
      </c>
      <c r="F1258" s="170" t="s">
        <v>4631</v>
      </c>
      <c r="G1258" s="171">
        <v>45856.0</v>
      </c>
      <c r="H1258" s="172">
        <f t="shared" si="2"/>
        <v>0</v>
      </c>
      <c r="I1258" s="173" t="s">
        <v>4632</v>
      </c>
      <c r="J1258" s="171">
        <v>45856.0</v>
      </c>
      <c r="K1258" s="169" t="s">
        <v>2758</v>
      </c>
      <c r="L1258" s="282"/>
      <c r="M1258" s="282"/>
      <c r="N1258" s="282"/>
      <c r="O1258" s="282"/>
      <c r="P1258" s="282"/>
      <c r="Q1258" s="282"/>
      <c r="R1258" s="282"/>
      <c r="S1258" s="282"/>
      <c r="T1258" s="282"/>
      <c r="U1258" s="282"/>
      <c r="V1258" s="282"/>
      <c r="W1258" s="282"/>
      <c r="X1258" s="282"/>
      <c r="Y1258" s="282"/>
      <c r="Z1258" s="282"/>
      <c r="AA1258" s="282"/>
      <c r="AB1258" s="282"/>
      <c r="AC1258" s="282"/>
      <c r="AD1258" s="282"/>
    </row>
    <row r="1259">
      <c r="A1259" s="174" t="s">
        <v>4610</v>
      </c>
      <c r="B1259" s="175" t="s">
        <v>739</v>
      </c>
      <c r="C1259" s="174">
        <v>2020.0</v>
      </c>
      <c r="D1259" s="176" t="s">
        <v>52</v>
      </c>
      <c r="E1259" s="176" t="s">
        <v>70</v>
      </c>
      <c r="F1259" s="195"/>
      <c r="G1259" s="178">
        <v>45862.0</v>
      </c>
      <c r="H1259" s="179">
        <f t="shared" si="2"/>
        <v>0</v>
      </c>
      <c r="I1259" s="180" t="s">
        <v>4633</v>
      </c>
      <c r="J1259" s="178">
        <v>45862.0</v>
      </c>
      <c r="K1259" s="175" t="s">
        <v>2758</v>
      </c>
      <c r="L1259" s="282"/>
      <c r="M1259" s="282"/>
      <c r="N1259" s="282"/>
      <c r="O1259" s="282"/>
      <c r="P1259" s="282"/>
      <c r="Q1259" s="282"/>
      <c r="R1259" s="282"/>
      <c r="S1259" s="282"/>
      <c r="T1259" s="282"/>
      <c r="U1259" s="282"/>
      <c r="V1259" s="282"/>
      <c r="W1259" s="282"/>
      <c r="X1259" s="282"/>
      <c r="Y1259" s="282"/>
      <c r="Z1259" s="282"/>
      <c r="AA1259" s="282"/>
      <c r="AB1259" s="282"/>
      <c r="AC1259" s="282"/>
      <c r="AD1259" s="282"/>
    </row>
    <row r="1260">
      <c r="A1260" s="168" t="s">
        <v>4610</v>
      </c>
      <c r="B1260" s="169" t="s">
        <v>3129</v>
      </c>
      <c r="C1260" s="168">
        <v>2014.0</v>
      </c>
      <c r="D1260" s="142" t="s">
        <v>130</v>
      </c>
      <c r="E1260" s="142" t="s">
        <v>725</v>
      </c>
      <c r="F1260" s="170" t="s">
        <v>4231</v>
      </c>
      <c r="G1260" s="171">
        <v>45862.0</v>
      </c>
      <c r="H1260" s="172">
        <f t="shared" si="2"/>
        <v>0</v>
      </c>
      <c r="I1260" s="173" t="s">
        <v>4634</v>
      </c>
      <c r="J1260" s="171">
        <v>45862.0</v>
      </c>
      <c r="K1260" s="169" t="s">
        <v>2758</v>
      </c>
      <c r="L1260" s="282"/>
      <c r="M1260" s="282"/>
      <c r="N1260" s="282"/>
      <c r="O1260" s="282"/>
      <c r="P1260" s="282"/>
      <c r="Q1260" s="282"/>
      <c r="R1260" s="282"/>
      <c r="S1260" s="282"/>
      <c r="T1260" s="282"/>
      <c r="U1260" s="282"/>
      <c r="V1260" s="282"/>
      <c r="W1260" s="282"/>
      <c r="X1260" s="282"/>
      <c r="Y1260" s="282"/>
      <c r="Z1260" s="282"/>
      <c r="AA1260" s="282"/>
      <c r="AB1260" s="282"/>
      <c r="AC1260" s="282"/>
      <c r="AD1260" s="282"/>
    </row>
    <row r="1261">
      <c r="A1261" s="174" t="s">
        <v>4610</v>
      </c>
      <c r="B1261" s="175" t="s">
        <v>713</v>
      </c>
      <c r="C1261" s="174">
        <v>2018.0</v>
      </c>
      <c r="D1261" s="176" t="s">
        <v>52</v>
      </c>
      <c r="E1261" s="176" t="s">
        <v>53</v>
      </c>
      <c r="F1261" s="234">
        <v>45764.0</v>
      </c>
      <c r="G1261" s="178">
        <v>45862.0</v>
      </c>
      <c r="H1261" s="179">
        <f t="shared" si="2"/>
        <v>0</v>
      </c>
      <c r="I1261" s="180" t="s">
        <v>4634</v>
      </c>
      <c r="J1261" s="178">
        <v>45862.0</v>
      </c>
      <c r="K1261" s="175" t="s">
        <v>2758</v>
      </c>
      <c r="L1261" s="282"/>
      <c r="M1261" s="282"/>
      <c r="N1261" s="282"/>
      <c r="O1261" s="282"/>
      <c r="P1261" s="282"/>
      <c r="Q1261" s="282"/>
      <c r="R1261" s="282"/>
      <c r="S1261" s="282"/>
      <c r="T1261" s="282"/>
      <c r="U1261" s="282"/>
      <c r="V1261" s="282"/>
      <c r="W1261" s="282"/>
      <c r="X1261" s="282"/>
      <c r="Y1261" s="282"/>
      <c r="Z1261" s="282"/>
      <c r="AA1261" s="282"/>
      <c r="AB1261" s="282"/>
      <c r="AC1261" s="282"/>
      <c r="AD1261" s="282"/>
    </row>
    <row r="1262">
      <c r="A1262" s="168" t="s">
        <v>4610</v>
      </c>
      <c r="B1262" s="169" t="s">
        <v>2028</v>
      </c>
      <c r="C1262" s="168">
        <v>2022.0</v>
      </c>
      <c r="D1262" s="142" t="s">
        <v>52</v>
      </c>
      <c r="E1262" s="142" t="s">
        <v>125</v>
      </c>
      <c r="F1262" s="170" t="s">
        <v>2030</v>
      </c>
      <c r="G1262" s="171">
        <v>45862.0</v>
      </c>
      <c r="H1262" s="172">
        <f t="shared" si="2"/>
        <v>0</v>
      </c>
      <c r="I1262" s="173" t="s">
        <v>4634</v>
      </c>
      <c r="J1262" s="171">
        <v>45862.0</v>
      </c>
      <c r="K1262" s="169" t="s">
        <v>2758</v>
      </c>
      <c r="L1262" s="320"/>
      <c r="M1262" s="309"/>
      <c r="N1262" s="320"/>
      <c r="O1262" s="148"/>
      <c r="P1262" s="148"/>
      <c r="Q1262" s="153"/>
      <c r="R1262" s="321"/>
      <c r="S1262" s="156" t="str">
        <f>IF(R1262="","",IF(U1262="",TODAY()-R1262,U1262-R1262))</f>
        <v/>
      </c>
      <c r="T1262" s="322"/>
      <c r="U1262" s="321"/>
      <c r="V1262" s="152"/>
      <c r="W1262" s="320"/>
      <c r="X1262" s="309"/>
      <c r="Y1262" s="320"/>
      <c r="Z1262" s="148"/>
      <c r="AA1262" s="148"/>
      <c r="AB1262" s="153"/>
      <c r="AC1262" s="321"/>
      <c r="AD1262" s="156" t="str">
        <f>IF(AC1262="","",IF(AF1262="",TODAY()-AC1262,AF1262-AC1262))</f>
        <v/>
      </c>
    </row>
    <row r="1263">
      <c r="A1263" s="174" t="s">
        <v>4610</v>
      </c>
      <c r="B1263" s="175" t="s">
        <v>4635</v>
      </c>
      <c r="C1263" s="193"/>
      <c r="D1263" s="176" t="s">
        <v>14</v>
      </c>
      <c r="E1263" s="176" t="s">
        <v>4636</v>
      </c>
      <c r="F1263" s="177" t="s">
        <v>4637</v>
      </c>
      <c r="G1263" s="178">
        <v>45863.0</v>
      </c>
      <c r="H1263" s="179">
        <f t="shared" si="2"/>
        <v>0</v>
      </c>
      <c r="I1263" s="180" t="s">
        <v>4638</v>
      </c>
      <c r="J1263" s="178">
        <v>45863.0</v>
      </c>
      <c r="K1263" s="175" t="s">
        <v>4639</v>
      </c>
      <c r="L1263" s="282"/>
      <c r="M1263" s="282"/>
      <c r="N1263" s="282"/>
      <c r="O1263" s="282"/>
      <c r="P1263" s="282"/>
      <c r="Q1263" s="282"/>
      <c r="R1263" s="282"/>
      <c r="S1263" s="282"/>
      <c r="T1263" s="282"/>
      <c r="U1263" s="282"/>
      <c r="V1263" s="282"/>
      <c r="W1263" s="282"/>
      <c r="X1263" s="282"/>
      <c r="Y1263" s="282"/>
      <c r="Z1263" s="282"/>
      <c r="AA1263" s="282"/>
      <c r="AB1263" s="282"/>
      <c r="AC1263" s="282"/>
      <c r="AD1263" s="282"/>
    </row>
    <row r="1264">
      <c r="A1264" s="168" t="s">
        <v>4610</v>
      </c>
      <c r="B1264" s="169" t="s">
        <v>2770</v>
      </c>
      <c r="C1264" s="168">
        <v>2019.0</v>
      </c>
      <c r="D1264" s="142" t="s">
        <v>14</v>
      </c>
      <c r="E1264" s="142" t="s">
        <v>4640</v>
      </c>
      <c r="F1264" s="170" t="s">
        <v>4641</v>
      </c>
      <c r="G1264" s="171">
        <v>45863.0</v>
      </c>
      <c r="H1264" s="172">
        <f t="shared" si="2"/>
        <v>0</v>
      </c>
      <c r="I1264" s="173" t="s">
        <v>4638</v>
      </c>
      <c r="J1264" s="171">
        <v>45863.0</v>
      </c>
      <c r="K1264" s="169" t="s">
        <v>4639</v>
      </c>
      <c r="L1264" s="242"/>
      <c r="M1264" s="242"/>
      <c r="N1264" s="242"/>
      <c r="O1264" s="242"/>
      <c r="P1264" s="242"/>
      <c r="Q1264" s="242"/>
      <c r="R1264" s="242"/>
      <c r="S1264" s="242"/>
      <c r="T1264" s="242"/>
      <c r="U1264" s="242"/>
      <c r="V1264" s="242"/>
      <c r="W1264" s="242"/>
      <c r="X1264" s="242"/>
      <c r="Y1264" s="242"/>
      <c r="Z1264" s="242"/>
      <c r="AA1264" s="242"/>
      <c r="AB1264" s="242"/>
      <c r="AC1264" s="242"/>
      <c r="AD1264" s="242"/>
      <c r="AE1264" s="242"/>
      <c r="AF1264" s="242"/>
      <c r="AG1264" s="242"/>
      <c r="AH1264" s="242"/>
      <c r="AI1264" s="242"/>
      <c r="AJ1264" s="242"/>
      <c r="AK1264" s="242"/>
      <c r="AL1264" s="242"/>
      <c r="AM1264" s="242"/>
      <c r="AN1264" s="242"/>
      <c r="AO1264" s="242"/>
    </row>
    <row r="1265">
      <c r="A1265" s="174" t="s">
        <v>4610</v>
      </c>
      <c r="B1265" s="175" t="s">
        <v>4642</v>
      </c>
      <c r="C1265" s="174">
        <v>2019.0</v>
      </c>
      <c r="D1265" s="176" t="s">
        <v>75</v>
      </c>
      <c r="E1265" s="176" t="s">
        <v>4643</v>
      </c>
      <c r="F1265" s="177">
        <v>43224.0</v>
      </c>
      <c r="G1265" s="178">
        <v>45863.0</v>
      </c>
      <c r="H1265" s="179">
        <f t="shared" si="2"/>
        <v>0</v>
      </c>
      <c r="I1265" s="180" t="s">
        <v>4644</v>
      </c>
      <c r="J1265" s="178">
        <v>45863.0</v>
      </c>
      <c r="K1265" s="175" t="s">
        <v>2758</v>
      </c>
      <c r="L1265" s="282"/>
      <c r="M1265" s="282"/>
      <c r="N1265" s="282"/>
      <c r="O1265" s="282"/>
      <c r="P1265" s="282"/>
      <c r="Q1265" s="282"/>
      <c r="R1265" s="282"/>
      <c r="S1265" s="282"/>
      <c r="T1265" s="282"/>
      <c r="U1265" s="282"/>
      <c r="V1265" s="282"/>
      <c r="W1265" s="282"/>
      <c r="X1265" s="282"/>
      <c r="Y1265" s="282"/>
      <c r="Z1265" s="282"/>
      <c r="AA1265" s="282"/>
      <c r="AB1265" s="282"/>
      <c r="AC1265" s="282"/>
      <c r="AD1265" s="282"/>
    </row>
    <row r="1266">
      <c r="A1266" s="168" t="s">
        <v>4645</v>
      </c>
      <c r="B1266" s="169" t="s">
        <v>4646</v>
      </c>
      <c r="C1266" s="168">
        <v>2022.0</v>
      </c>
      <c r="D1266" s="142" t="s">
        <v>52</v>
      </c>
      <c r="E1266" s="142" t="s">
        <v>125</v>
      </c>
      <c r="F1266" s="170" t="s">
        <v>4647</v>
      </c>
      <c r="G1266" s="171">
        <v>45749.0</v>
      </c>
      <c r="H1266" s="172">
        <f t="shared" si="2"/>
        <v>0</v>
      </c>
      <c r="I1266" s="173" t="s">
        <v>4648</v>
      </c>
      <c r="J1266" s="171">
        <v>45749.0</v>
      </c>
      <c r="K1266" s="169" t="s">
        <v>17</v>
      </c>
      <c r="L1266" s="282"/>
      <c r="M1266" s="282"/>
      <c r="N1266" s="282"/>
      <c r="O1266" s="282"/>
      <c r="P1266" s="282"/>
      <c r="Q1266" s="282"/>
      <c r="R1266" s="282"/>
      <c r="S1266" s="282"/>
      <c r="T1266" s="282"/>
      <c r="U1266" s="282"/>
      <c r="V1266" s="282"/>
      <c r="W1266" s="282"/>
      <c r="X1266" s="282"/>
      <c r="Y1266" s="282"/>
      <c r="Z1266" s="282"/>
      <c r="AA1266" s="282"/>
      <c r="AB1266" s="282"/>
      <c r="AC1266" s="282"/>
      <c r="AD1266" s="282"/>
    </row>
    <row r="1267">
      <c r="A1267" s="174" t="s">
        <v>4645</v>
      </c>
      <c r="B1267" s="175" t="s">
        <v>318</v>
      </c>
      <c r="C1267" s="174">
        <v>2022.0</v>
      </c>
      <c r="D1267" s="176" t="s">
        <v>52</v>
      </c>
      <c r="E1267" s="176" t="s">
        <v>4649</v>
      </c>
      <c r="F1267" s="177" t="s">
        <v>4650</v>
      </c>
      <c r="G1267" s="178">
        <v>45811.0</v>
      </c>
      <c r="H1267" s="179">
        <f t="shared" si="2"/>
        <v>0</v>
      </c>
      <c r="I1267" s="180" t="s">
        <v>4651</v>
      </c>
      <c r="J1267" s="178">
        <v>45811.0</v>
      </c>
      <c r="K1267" s="175" t="s">
        <v>2758</v>
      </c>
      <c r="L1267" s="282"/>
      <c r="M1267" s="282"/>
      <c r="N1267" s="282"/>
      <c r="O1267" s="282"/>
      <c r="P1267" s="282"/>
      <c r="Q1267" s="282"/>
      <c r="R1267" s="282"/>
      <c r="S1267" s="282"/>
      <c r="T1267" s="282"/>
      <c r="U1267" s="282"/>
      <c r="V1267" s="282"/>
      <c r="W1267" s="282"/>
      <c r="X1267" s="282"/>
      <c r="Y1267" s="282"/>
      <c r="Z1267" s="282"/>
      <c r="AA1267" s="282"/>
      <c r="AB1267" s="282"/>
      <c r="AC1267" s="282"/>
      <c r="AD1267" s="282"/>
    </row>
    <row r="1268">
      <c r="A1268" s="168" t="s">
        <v>4645</v>
      </c>
      <c r="B1268" s="169" t="s">
        <v>4547</v>
      </c>
      <c r="C1268" s="189"/>
      <c r="D1268" s="142" t="s">
        <v>197</v>
      </c>
      <c r="E1268" s="142" t="s">
        <v>15</v>
      </c>
      <c r="F1268" s="170" t="s">
        <v>4549</v>
      </c>
      <c r="G1268" s="171">
        <v>45811.0</v>
      </c>
      <c r="H1268" s="172">
        <f t="shared" si="2"/>
        <v>0</v>
      </c>
      <c r="I1268" s="173" t="s">
        <v>4638</v>
      </c>
      <c r="J1268" s="171">
        <v>45811.0</v>
      </c>
      <c r="K1268" s="169" t="s">
        <v>2758</v>
      </c>
      <c r="L1268" s="242"/>
      <c r="M1268" s="242"/>
      <c r="N1268" s="242"/>
      <c r="O1268" s="242"/>
      <c r="P1268" s="242"/>
      <c r="Q1268" s="242"/>
      <c r="R1268" s="242"/>
      <c r="S1268" s="242"/>
      <c r="T1268" s="242"/>
      <c r="U1268" s="242"/>
      <c r="V1268" s="242"/>
      <c r="W1268" s="242"/>
      <c r="X1268" s="242"/>
      <c r="Y1268" s="242"/>
      <c r="Z1268" s="242"/>
      <c r="AA1268" s="242"/>
      <c r="AB1268" s="242"/>
      <c r="AC1268" s="242"/>
      <c r="AD1268" s="242"/>
      <c r="AE1268" s="242"/>
      <c r="AF1268" s="242"/>
      <c r="AG1268" s="242"/>
      <c r="AH1268" s="242"/>
      <c r="AI1268" s="242"/>
      <c r="AJ1268" s="242"/>
      <c r="AK1268" s="242"/>
      <c r="AL1268" s="242"/>
      <c r="AM1268" s="242"/>
      <c r="AN1268" s="242"/>
      <c r="AO1268" s="242"/>
    </row>
    <row r="1269">
      <c r="A1269" s="174" t="s">
        <v>4645</v>
      </c>
      <c r="B1269" s="175" t="s">
        <v>4536</v>
      </c>
      <c r="C1269" s="174">
        <v>2019.0</v>
      </c>
      <c r="D1269" s="176" t="s">
        <v>14</v>
      </c>
      <c r="E1269" s="176" t="s">
        <v>2146</v>
      </c>
      <c r="F1269" s="177" t="s">
        <v>4537</v>
      </c>
      <c r="G1269" s="178">
        <v>45866.0</v>
      </c>
      <c r="H1269" s="179">
        <f t="shared" si="2"/>
        <v>0</v>
      </c>
      <c r="I1269" s="180" t="s">
        <v>4550</v>
      </c>
      <c r="J1269" s="178">
        <v>45866.0</v>
      </c>
      <c r="K1269" s="175" t="s">
        <v>2758</v>
      </c>
      <c r="L1269" s="282"/>
      <c r="M1269" s="282"/>
      <c r="N1269" s="282"/>
      <c r="O1269" s="282"/>
      <c r="P1269" s="282"/>
      <c r="Q1269" s="282"/>
      <c r="R1269" s="282"/>
      <c r="S1269" s="282"/>
      <c r="T1269" s="282"/>
      <c r="U1269" s="282"/>
      <c r="V1269" s="282"/>
      <c r="W1269" s="282"/>
      <c r="X1269" s="282"/>
      <c r="Y1269" s="282"/>
      <c r="Z1269" s="282"/>
      <c r="AA1269" s="282"/>
      <c r="AB1269" s="282"/>
      <c r="AC1269" s="282"/>
      <c r="AD1269" s="282"/>
    </row>
    <row r="1270">
      <c r="A1270" s="168" t="s">
        <v>4645</v>
      </c>
      <c r="B1270" s="169" t="s">
        <v>4539</v>
      </c>
      <c r="C1270" s="168">
        <v>2019.0</v>
      </c>
      <c r="D1270" s="142" t="s">
        <v>14</v>
      </c>
      <c r="E1270" s="142" t="s">
        <v>2146</v>
      </c>
      <c r="F1270" s="170" t="s">
        <v>4541</v>
      </c>
      <c r="G1270" s="171">
        <v>45866.0</v>
      </c>
      <c r="H1270" s="172">
        <f t="shared" si="2"/>
        <v>0</v>
      </c>
      <c r="I1270" s="173" t="s">
        <v>4550</v>
      </c>
      <c r="J1270" s="171">
        <v>45866.0</v>
      </c>
      <c r="K1270" s="169" t="s">
        <v>2758</v>
      </c>
      <c r="L1270" s="282"/>
      <c r="M1270" s="282"/>
      <c r="N1270" s="282"/>
      <c r="O1270" s="282"/>
      <c r="P1270" s="282"/>
      <c r="Q1270" s="282"/>
      <c r="R1270" s="282"/>
      <c r="S1270" s="282"/>
      <c r="T1270" s="282"/>
      <c r="U1270" s="282"/>
      <c r="V1270" s="282"/>
      <c r="W1270" s="282"/>
      <c r="X1270" s="282"/>
      <c r="Y1270" s="282"/>
      <c r="Z1270" s="282"/>
      <c r="AA1270" s="282"/>
      <c r="AB1270" s="282"/>
      <c r="AC1270" s="282"/>
      <c r="AD1270" s="282"/>
    </row>
    <row r="1271">
      <c r="A1271" s="174" t="s">
        <v>4652</v>
      </c>
      <c r="B1271" s="175" t="s">
        <v>915</v>
      </c>
      <c r="C1271" s="174">
        <v>2022.0</v>
      </c>
      <c r="D1271" s="176" t="s">
        <v>52</v>
      </c>
      <c r="E1271" s="176" t="s">
        <v>125</v>
      </c>
      <c r="F1271" s="177" t="s">
        <v>4653</v>
      </c>
      <c r="G1271" s="178">
        <v>45749.0</v>
      </c>
      <c r="H1271" s="179">
        <f t="shared" si="2"/>
        <v>0</v>
      </c>
      <c r="I1271" s="180" t="s">
        <v>4654</v>
      </c>
      <c r="J1271" s="178">
        <v>45749.0</v>
      </c>
      <c r="K1271" s="175" t="s">
        <v>17</v>
      </c>
      <c r="L1271" s="282"/>
      <c r="M1271" s="282"/>
      <c r="N1271" s="282"/>
      <c r="O1271" s="282"/>
      <c r="P1271" s="282"/>
      <c r="Q1271" s="282"/>
      <c r="R1271" s="282"/>
      <c r="S1271" s="282"/>
      <c r="T1271" s="282"/>
      <c r="U1271" s="282"/>
      <c r="V1271" s="282"/>
      <c r="W1271" s="282"/>
      <c r="X1271" s="282"/>
      <c r="Y1271" s="282"/>
      <c r="Z1271" s="282"/>
      <c r="AA1271" s="282"/>
      <c r="AB1271" s="282"/>
      <c r="AC1271" s="282"/>
      <c r="AD1271" s="282"/>
    </row>
    <row r="1272">
      <c r="A1272" s="168" t="s">
        <v>4652</v>
      </c>
      <c r="B1272" s="169" t="s">
        <v>281</v>
      </c>
      <c r="C1272" s="168">
        <v>2024.0</v>
      </c>
      <c r="D1272" s="142" t="s">
        <v>814</v>
      </c>
      <c r="E1272" s="142" t="s">
        <v>4655</v>
      </c>
      <c r="F1272" s="170" t="s">
        <v>4656</v>
      </c>
      <c r="G1272" s="171">
        <v>45755.0</v>
      </c>
      <c r="H1272" s="172">
        <f t="shared" si="2"/>
        <v>0</v>
      </c>
      <c r="I1272" s="173" t="s">
        <v>4657</v>
      </c>
      <c r="J1272" s="171">
        <v>45755.0</v>
      </c>
      <c r="K1272" s="169" t="s">
        <v>2758</v>
      </c>
      <c r="L1272" s="282"/>
      <c r="M1272" s="282"/>
      <c r="N1272" s="282"/>
      <c r="O1272" s="282"/>
      <c r="P1272" s="282"/>
      <c r="Q1272" s="282"/>
      <c r="R1272" s="282"/>
      <c r="S1272" s="282"/>
      <c r="T1272" s="282"/>
      <c r="U1272" s="282"/>
      <c r="V1272" s="282"/>
      <c r="W1272" s="282"/>
      <c r="X1272" s="282"/>
      <c r="Y1272" s="282"/>
      <c r="Z1272" s="282"/>
      <c r="AA1272" s="282"/>
      <c r="AB1272" s="282"/>
      <c r="AC1272" s="282"/>
      <c r="AD1272" s="282"/>
    </row>
    <row r="1273">
      <c r="A1273" s="174" t="s">
        <v>4652</v>
      </c>
      <c r="B1273" s="175" t="s">
        <v>4453</v>
      </c>
      <c r="C1273" s="174">
        <v>2024.0</v>
      </c>
      <c r="D1273" s="176" t="s">
        <v>814</v>
      </c>
      <c r="E1273" s="176" t="s">
        <v>4658</v>
      </c>
      <c r="F1273" s="177" t="s">
        <v>4659</v>
      </c>
      <c r="G1273" s="178">
        <v>45755.0</v>
      </c>
      <c r="H1273" s="179">
        <f t="shared" si="2"/>
        <v>0</v>
      </c>
      <c r="I1273" s="180" t="s">
        <v>4632</v>
      </c>
      <c r="J1273" s="178">
        <v>45755.0</v>
      </c>
      <c r="K1273" s="175" t="s">
        <v>2758</v>
      </c>
      <c r="L1273" s="282"/>
      <c r="M1273" s="282"/>
      <c r="N1273" s="282"/>
      <c r="O1273" s="282"/>
      <c r="P1273" s="282"/>
      <c r="Q1273" s="282"/>
      <c r="R1273" s="282"/>
      <c r="S1273" s="282"/>
      <c r="T1273" s="282"/>
      <c r="U1273" s="282"/>
      <c r="V1273" s="282"/>
      <c r="W1273" s="282"/>
      <c r="X1273" s="282"/>
      <c r="Y1273" s="282"/>
      <c r="Z1273" s="282"/>
      <c r="AA1273" s="282"/>
      <c r="AB1273" s="282"/>
      <c r="AC1273" s="282"/>
      <c r="AD1273" s="282"/>
    </row>
    <row r="1274">
      <c r="A1274" s="168" t="s">
        <v>4652</v>
      </c>
      <c r="B1274" s="169" t="s">
        <v>4453</v>
      </c>
      <c r="C1274" s="168">
        <v>2024.0</v>
      </c>
      <c r="D1274" s="142" t="s">
        <v>814</v>
      </c>
      <c r="E1274" s="142" t="s">
        <v>4658</v>
      </c>
      <c r="F1274" s="170" t="s">
        <v>4659</v>
      </c>
      <c r="G1274" s="171">
        <v>45755.0</v>
      </c>
      <c r="H1274" s="172">
        <f t="shared" si="2"/>
        <v>6</v>
      </c>
      <c r="I1274" s="173" t="s">
        <v>4660</v>
      </c>
      <c r="J1274" s="171">
        <v>45761.0</v>
      </c>
      <c r="K1274" s="169" t="s">
        <v>2758</v>
      </c>
      <c r="L1274" s="282"/>
      <c r="M1274" s="282"/>
      <c r="N1274" s="282"/>
      <c r="O1274" s="282"/>
      <c r="P1274" s="282"/>
      <c r="Q1274" s="282"/>
      <c r="R1274" s="282"/>
      <c r="S1274" s="282"/>
      <c r="T1274" s="282"/>
      <c r="U1274" s="282"/>
      <c r="V1274" s="282"/>
      <c r="W1274" s="282"/>
      <c r="X1274" s="282"/>
      <c r="Y1274" s="282"/>
      <c r="Z1274" s="282"/>
      <c r="AA1274" s="282"/>
      <c r="AB1274" s="282"/>
      <c r="AC1274" s="282"/>
      <c r="AD1274" s="282"/>
    </row>
    <row r="1275">
      <c r="A1275" s="193"/>
      <c r="B1275" s="194" t="s">
        <v>1470</v>
      </c>
      <c r="C1275" s="193">
        <v>1998.0</v>
      </c>
      <c r="D1275" s="194" t="s">
        <v>4661</v>
      </c>
      <c r="E1275" s="194" t="s">
        <v>4662</v>
      </c>
      <c r="F1275" s="195" t="s">
        <v>1472</v>
      </c>
      <c r="G1275" s="196">
        <v>45462.0</v>
      </c>
      <c r="H1275" s="179">
        <f t="shared" si="2"/>
        <v>0</v>
      </c>
      <c r="I1275" s="197" t="s">
        <v>4663</v>
      </c>
      <c r="J1275" s="196">
        <v>45462.0</v>
      </c>
      <c r="K1275" s="194" t="s">
        <v>2758</v>
      </c>
      <c r="L1275" s="242"/>
      <c r="M1275" s="242"/>
      <c r="N1275" s="242"/>
      <c r="O1275" s="242"/>
      <c r="P1275" s="242"/>
      <c r="Q1275" s="242"/>
      <c r="R1275" s="242"/>
      <c r="S1275" s="242"/>
      <c r="T1275" s="242"/>
      <c r="U1275" s="242"/>
      <c r="V1275" s="242"/>
      <c r="W1275" s="242"/>
      <c r="X1275" s="242"/>
      <c r="Y1275" s="242"/>
      <c r="Z1275" s="242"/>
      <c r="AA1275" s="242"/>
      <c r="AB1275" s="242"/>
      <c r="AC1275" s="242"/>
      <c r="AD1275" s="242"/>
      <c r="AE1275" s="242"/>
      <c r="AF1275" s="242"/>
      <c r="AG1275" s="242"/>
      <c r="AH1275" s="242"/>
      <c r="AI1275" s="242"/>
      <c r="AJ1275" s="242"/>
      <c r="AK1275" s="242"/>
      <c r="AL1275" s="242"/>
      <c r="AM1275" s="242"/>
      <c r="AN1275" s="242"/>
      <c r="AO1275" s="242"/>
    </row>
    <row r="1276">
      <c r="A1276" s="189"/>
      <c r="B1276" s="190" t="s">
        <v>4664</v>
      </c>
      <c r="C1276" s="189">
        <v>0.0</v>
      </c>
      <c r="D1276" s="190" t="s">
        <v>4665</v>
      </c>
      <c r="E1276" s="190" t="s">
        <v>4662</v>
      </c>
      <c r="F1276" s="191">
        <v>45292.0</v>
      </c>
      <c r="G1276" s="187">
        <v>45462.0</v>
      </c>
      <c r="H1276" s="172">
        <f t="shared" si="2"/>
        <v>0</v>
      </c>
      <c r="I1276" s="192" t="s">
        <v>4666</v>
      </c>
      <c r="J1276" s="187">
        <v>45462.0</v>
      </c>
      <c r="K1276" s="190" t="s">
        <v>2758</v>
      </c>
      <c r="L1276" s="282"/>
      <c r="M1276" s="282"/>
      <c r="N1276" s="282"/>
      <c r="O1276" s="282"/>
      <c r="P1276" s="282"/>
      <c r="Q1276" s="282"/>
      <c r="R1276" s="282"/>
      <c r="S1276" s="282"/>
      <c r="T1276" s="282"/>
      <c r="U1276" s="282"/>
      <c r="V1276" s="282"/>
      <c r="W1276" s="282"/>
      <c r="X1276" s="282"/>
      <c r="Y1276" s="282"/>
      <c r="Z1276" s="282"/>
      <c r="AA1276" s="282"/>
      <c r="AB1276" s="282"/>
      <c r="AC1276" s="282"/>
      <c r="AD1276" s="282"/>
    </row>
    <row r="1277">
      <c r="A1277" s="193"/>
      <c r="B1277" s="194" t="s">
        <v>4667</v>
      </c>
      <c r="C1277" s="193"/>
      <c r="D1277" s="194" t="s">
        <v>4668</v>
      </c>
      <c r="E1277" s="194" t="s">
        <v>4662</v>
      </c>
      <c r="F1277" s="195"/>
      <c r="G1277" s="196">
        <v>45462.0</v>
      </c>
      <c r="H1277" s="179">
        <f t="shared" si="2"/>
        <v>0</v>
      </c>
      <c r="I1277" s="197" t="s">
        <v>4666</v>
      </c>
      <c r="J1277" s="196">
        <v>45462.0</v>
      </c>
      <c r="K1277" s="194" t="s">
        <v>2758</v>
      </c>
      <c r="L1277" s="242"/>
      <c r="M1277" s="242"/>
      <c r="N1277" s="242"/>
      <c r="O1277" s="242"/>
      <c r="P1277" s="242"/>
      <c r="Q1277" s="242"/>
      <c r="R1277" s="242"/>
      <c r="S1277" s="242"/>
      <c r="T1277" s="242"/>
      <c r="U1277" s="242"/>
      <c r="V1277" s="242"/>
      <c r="W1277" s="242"/>
      <c r="X1277" s="242"/>
      <c r="Y1277" s="242"/>
      <c r="Z1277" s="242"/>
      <c r="AA1277" s="242"/>
      <c r="AB1277" s="242"/>
      <c r="AC1277" s="242"/>
      <c r="AD1277" s="242"/>
      <c r="AE1277" s="242"/>
      <c r="AF1277" s="242"/>
      <c r="AG1277" s="242"/>
      <c r="AH1277" s="242"/>
      <c r="AI1277" s="242"/>
      <c r="AJ1277" s="242"/>
      <c r="AK1277" s="242"/>
      <c r="AL1277" s="242"/>
      <c r="AM1277" s="242"/>
      <c r="AN1277" s="242"/>
      <c r="AO1277" s="242"/>
    </row>
    <row r="1278">
      <c r="A1278" s="189"/>
      <c r="B1278" s="169" t="s">
        <v>4669</v>
      </c>
      <c r="C1278" s="168">
        <v>2022.0</v>
      </c>
      <c r="D1278" s="142" t="s">
        <v>52</v>
      </c>
      <c r="E1278" s="142" t="s">
        <v>4670</v>
      </c>
      <c r="F1278" s="170" t="s">
        <v>4671</v>
      </c>
      <c r="G1278" s="171">
        <v>45671.0</v>
      </c>
      <c r="H1278" s="172">
        <f t="shared" si="2"/>
        <v>0</v>
      </c>
      <c r="I1278" s="173" t="s">
        <v>4672</v>
      </c>
      <c r="J1278" s="171">
        <v>45671.0</v>
      </c>
      <c r="K1278" s="169" t="s">
        <v>2758</v>
      </c>
      <c r="L1278" s="242"/>
      <c r="M1278" s="242"/>
      <c r="N1278" s="242"/>
      <c r="O1278" s="242"/>
      <c r="P1278" s="242"/>
      <c r="Q1278" s="242"/>
      <c r="R1278" s="242"/>
      <c r="S1278" s="242"/>
      <c r="T1278" s="242"/>
      <c r="U1278" s="242"/>
      <c r="V1278" s="242"/>
      <c r="W1278" s="242"/>
      <c r="X1278" s="242"/>
      <c r="Y1278" s="242"/>
      <c r="Z1278" s="242"/>
      <c r="AA1278" s="242"/>
      <c r="AB1278" s="242"/>
      <c r="AC1278" s="242"/>
      <c r="AD1278" s="242"/>
      <c r="AE1278" s="242"/>
      <c r="AF1278" s="242"/>
      <c r="AG1278" s="242"/>
      <c r="AH1278" s="242"/>
      <c r="AI1278" s="242"/>
      <c r="AJ1278" s="242"/>
      <c r="AK1278" s="242"/>
      <c r="AL1278" s="242"/>
      <c r="AM1278" s="242"/>
      <c r="AN1278" s="242"/>
      <c r="AO1278" s="242"/>
    </row>
    <row r="1279">
      <c r="A1279" s="193"/>
      <c r="B1279" s="175" t="s">
        <v>250</v>
      </c>
      <c r="C1279" s="174">
        <v>2014.0</v>
      </c>
      <c r="D1279" s="176" t="s">
        <v>130</v>
      </c>
      <c r="E1279" s="323"/>
      <c r="F1279" s="177" t="s">
        <v>3055</v>
      </c>
      <c r="G1279" s="178">
        <v>45671.0</v>
      </c>
      <c r="H1279" s="179">
        <f t="shared" si="2"/>
        <v>1</v>
      </c>
      <c r="I1279" s="180" t="s">
        <v>4673</v>
      </c>
      <c r="J1279" s="178">
        <v>45672.0</v>
      </c>
      <c r="K1279" s="175" t="s">
        <v>31</v>
      </c>
      <c r="L1279" s="282"/>
      <c r="M1279" s="282"/>
      <c r="N1279" s="282"/>
      <c r="O1279" s="282"/>
      <c r="P1279" s="282"/>
      <c r="Q1279" s="282"/>
      <c r="R1279" s="282"/>
      <c r="S1279" s="282"/>
      <c r="T1279" s="282"/>
      <c r="U1279" s="282"/>
      <c r="V1279" s="282"/>
      <c r="W1279" s="282"/>
      <c r="X1279" s="282"/>
      <c r="Y1279" s="282"/>
      <c r="Z1279" s="282"/>
      <c r="AA1279" s="282"/>
      <c r="AB1279" s="282"/>
      <c r="AC1279" s="282"/>
      <c r="AD1279" s="282"/>
    </row>
    <row r="1280">
      <c r="A1280" s="189"/>
      <c r="B1280" s="169" t="s">
        <v>3967</v>
      </c>
      <c r="C1280" s="168">
        <v>2022.0</v>
      </c>
      <c r="D1280" s="142" t="s">
        <v>14</v>
      </c>
      <c r="E1280" s="142" t="s">
        <v>2746</v>
      </c>
      <c r="F1280" s="170" t="s">
        <v>3969</v>
      </c>
      <c r="G1280" s="171">
        <v>45685.0</v>
      </c>
      <c r="H1280" s="172">
        <f t="shared" si="2"/>
        <v>0</v>
      </c>
      <c r="I1280" s="173" t="s">
        <v>4674</v>
      </c>
      <c r="J1280" s="171">
        <v>45685.0</v>
      </c>
      <c r="K1280" s="169" t="s">
        <v>2758</v>
      </c>
      <c r="L1280" s="282"/>
      <c r="M1280" s="282"/>
      <c r="N1280" s="282"/>
      <c r="O1280" s="282"/>
      <c r="P1280" s="282"/>
      <c r="Q1280" s="282"/>
      <c r="R1280" s="282"/>
      <c r="S1280" s="282"/>
      <c r="T1280" s="282"/>
      <c r="U1280" s="282"/>
      <c r="V1280" s="282"/>
      <c r="W1280" s="282"/>
      <c r="X1280" s="282"/>
      <c r="Y1280" s="282"/>
      <c r="Z1280" s="282"/>
      <c r="AA1280" s="282"/>
      <c r="AB1280" s="282"/>
      <c r="AC1280" s="282"/>
      <c r="AD1280" s="282"/>
    </row>
    <row r="1281">
      <c r="A1281" s="193"/>
      <c r="B1281" s="175" t="s">
        <v>1369</v>
      </c>
      <c r="C1281" s="174">
        <v>2014.0</v>
      </c>
      <c r="D1281" s="176" t="s">
        <v>105</v>
      </c>
      <c r="E1281" s="176" t="s">
        <v>764</v>
      </c>
      <c r="F1281" s="177" t="s">
        <v>4675</v>
      </c>
      <c r="G1281" s="178">
        <v>45798.0</v>
      </c>
      <c r="H1281" s="179">
        <f t="shared" si="2"/>
        <v>0</v>
      </c>
      <c r="I1281" s="180" t="s">
        <v>4660</v>
      </c>
      <c r="J1281" s="178">
        <v>45798.0</v>
      </c>
      <c r="K1281" s="175" t="s">
        <v>37</v>
      </c>
    </row>
    <row r="1282">
      <c r="A1282" s="189"/>
      <c r="B1282" s="169" t="s">
        <v>4676</v>
      </c>
      <c r="C1282" s="168">
        <v>2014.0</v>
      </c>
      <c r="D1282" s="142" t="s">
        <v>105</v>
      </c>
      <c r="E1282" s="142" t="s">
        <v>764</v>
      </c>
      <c r="F1282" s="170" t="s">
        <v>4677</v>
      </c>
      <c r="G1282" s="171">
        <v>45798.0</v>
      </c>
      <c r="H1282" s="172">
        <f t="shared" si="2"/>
        <v>0</v>
      </c>
      <c r="I1282" s="173" t="s">
        <v>4660</v>
      </c>
      <c r="J1282" s="171">
        <v>45798.0</v>
      </c>
      <c r="K1282" s="169" t="s">
        <v>2758</v>
      </c>
      <c r="L1282" s="242"/>
      <c r="M1282" s="242"/>
      <c r="N1282" s="242"/>
      <c r="O1282" s="242"/>
      <c r="P1282" s="242"/>
      <c r="Q1282" s="242"/>
      <c r="R1282" s="242"/>
      <c r="S1282" s="242"/>
      <c r="T1282" s="242"/>
      <c r="U1282" s="242"/>
      <c r="V1282" s="242"/>
      <c r="W1282" s="242"/>
      <c r="X1282" s="242"/>
      <c r="Y1282" s="242"/>
      <c r="Z1282" s="242"/>
      <c r="AA1282" s="242"/>
      <c r="AB1282" s="242"/>
      <c r="AC1282" s="242"/>
      <c r="AD1282" s="242"/>
      <c r="AE1282" s="242"/>
      <c r="AF1282" s="242"/>
      <c r="AG1282" s="242"/>
      <c r="AH1282" s="242"/>
      <c r="AI1282" s="242"/>
      <c r="AJ1282" s="242"/>
      <c r="AK1282" s="242"/>
      <c r="AL1282" s="242"/>
      <c r="AM1282" s="242"/>
      <c r="AN1282" s="242"/>
      <c r="AO1282" s="242"/>
    </row>
    <row r="1283">
      <c r="A1283" s="181"/>
      <c r="B1283" s="175" t="s">
        <v>1315</v>
      </c>
      <c r="C1283" s="174">
        <v>2013.0</v>
      </c>
      <c r="D1283" s="176" t="s">
        <v>105</v>
      </c>
      <c r="E1283" s="176" t="s">
        <v>764</v>
      </c>
      <c r="F1283" s="177" t="s">
        <v>4678</v>
      </c>
      <c r="G1283" s="178">
        <v>45798.0</v>
      </c>
      <c r="H1283" s="179">
        <f t="shared" si="2"/>
        <v>0</v>
      </c>
      <c r="I1283" s="180" t="s">
        <v>4660</v>
      </c>
      <c r="J1283" s="178">
        <v>45798.0</v>
      </c>
      <c r="K1283" s="175" t="s">
        <v>2758</v>
      </c>
    </row>
    <row r="1284">
      <c r="A1284" s="189"/>
      <c r="B1284" s="169" t="s">
        <v>4679</v>
      </c>
      <c r="C1284" s="168">
        <v>2013.0</v>
      </c>
      <c r="D1284" s="142" t="s">
        <v>105</v>
      </c>
      <c r="E1284" s="142" t="s">
        <v>764</v>
      </c>
      <c r="F1284" s="170" t="s">
        <v>4680</v>
      </c>
      <c r="G1284" s="171">
        <v>45798.0</v>
      </c>
      <c r="H1284" s="172">
        <f t="shared" si="2"/>
        <v>0</v>
      </c>
      <c r="I1284" s="173" t="s">
        <v>4617</v>
      </c>
      <c r="J1284" s="171">
        <v>45798.0</v>
      </c>
      <c r="K1284" s="169" t="s">
        <v>2758</v>
      </c>
    </row>
    <row r="1285">
      <c r="A1285" s="174">
        <v>16656.0</v>
      </c>
      <c r="B1285" s="175" t="s">
        <v>4681</v>
      </c>
      <c r="C1285" s="174">
        <v>2022.0</v>
      </c>
      <c r="D1285" s="176" t="s">
        <v>52</v>
      </c>
      <c r="E1285" s="176" t="s">
        <v>183</v>
      </c>
      <c r="F1285" s="177" t="s">
        <v>491</v>
      </c>
      <c r="G1285" s="178">
        <v>45923.0</v>
      </c>
      <c r="H1285" s="179">
        <f t="shared" si="2"/>
        <v>0</v>
      </c>
      <c r="I1285" s="180" t="s">
        <v>4682</v>
      </c>
      <c r="J1285" s="178">
        <v>45923.0</v>
      </c>
      <c r="K1285" s="175" t="s">
        <v>2758</v>
      </c>
    </row>
    <row r="1286">
      <c r="A1286" s="183">
        <v>16654.0</v>
      </c>
      <c r="B1286" s="142" t="s">
        <v>3574</v>
      </c>
      <c r="C1286" s="168">
        <v>2009.0</v>
      </c>
      <c r="D1286" s="142" t="s">
        <v>2629</v>
      </c>
      <c r="E1286" s="142" t="s">
        <v>125</v>
      </c>
      <c r="F1286" s="170" t="s">
        <v>3575</v>
      </c>
      <c r="G1286" s="171">
        <v>45923.0</v>
      </c>
      <c r="H1286" s="172">
        <f t="shared" si="2"/>
        <v>1</v>
      </c>
      <c r="I1286" s="169" t="s">
        <v>1727</v>
      </c>
      <c r="J1286" s="171">
        <v>45924.0</v>
      </c>
      <c r="K1286" s="169" t="s">
        <v>2627</v>
      </c>
    </row>
    <row r="1287">
      <c r="A1287" s="181">
        <v>16662.0</v>
      </c>
      <c r="B1287" s="175" t="s">
        <v>2414</v>
      </c>
      <c r="C1287" s="174">
        <v>2015.0</v>
      </c>
      <c r="D1287" s="176" t="s">
        <v>130</v>
      </c>
      <c r="E1287" s="176" t="s">
        <v>2415</v>
      </c>
      <c r="F1287" s="301">
        <v>15336.0</v>
      </c>
      <c r="G1287" s="178">
        <v>45924.0</v>
      </c>
      <c r="H1287" s="179">
        <f t="shared" si="2"/>
        <v>0</v>
      </c>
      <c r="I1287" s="180" t="s">
        <v>4683</v>
      </c>
      <c r="J1287" s="178">
        <v>45924.0</v>
      </c>
      <c r="K1287" s="175" t="s">
        <v>2758</v>
      </c>
    </row>
    <row r="1288">
      <c r="A1288" s="183">
        <v>16657.0</v>
      </c>
      <c r="B1288" s="169" t="s">
        <v>490</v>
      </c>
      <c r="C1288" s="168">
        <v>2022.0</v>
      </c>
      <c r="D1288" s="142" t="s">
        <v>52</v>
      </c>
      <c r="E1288" s="142" t="s">
        <v>183</v>
      </c>
      <c r="F1288" s="170" t="s">
        <v>491</v>
      </c>
      <c r="G1288" s="171">
        <v>45923.0</v>
      </c>
      <c r="H1288" s="172">
        <f t="shared" si="2"/>
        <v>1</v>
      </c>
      <c r="I1288" s="173" t="s">
        <v>4684</v>
      </c>
      <c r="J1288" s="171">
        <v>45924.0</v>
      </c>
      <c r="K1288" s="169" t="s">
        <v>31</v>
      </c>
    </row>
    <row r="1289">
      <c r="A1289" s="181">
        <v>16650.0</v>
      </c>
      <c r="B1289" s="175" t="s">
        <v>2096</v>
      </c>
      <c r="C1289" s="174">
        <v>2022.0</v>
      </c>
      <c r="D1289" s="176" t="s">
        <v>52</v>
      </c>
      <c r="E1289" s="176" t="s">
        <v>235</v>
      </c>
      <c r="F1289" s="177" t="s">
        <v>2097</v>
      </c>
      <c r="G1289" s="178">
        <v>45923.0</v>
      </c>
      <c r="H1289" s="179">
        <f t="shared" si="2"/>
        <v>1</v>
      </c>
      <c r="I1289" s="180" t="s">
        <v>4685</v>
      </c>
      <c r="J1289" s="178">
        <v>45924.0</v>
      </c>
      <c r="K1289" s="175" t="s">
        <v>2758</v>
      </c>
    </row>
    <row r="1290">
      <c r="A1290" s="183">
        <v>16674.0</v>
      </c>
      <c r="B1290" s="169" t="s">
        <v>4686</v>
      </c>
      <c r="C1290" s="168">
        <v>2018.0</v>
      </c>
      <c r="D1290" s="142" t="s">
        <v>14</v>
      </c>
      <c r="E1290" s="142" t="s">
        <v>4687</v>
      </c>
      <c r="F1290" s="170" t="s">
        <v>4688</v>
      </c>
      <c r="G1290" s="171">
        <v>45925.0</v>
      </c>
      <c r="H1290" s="172">
        <f t="shared" si="2"/>
        <v>0</v>
      </c>
      <c r="I1290" s="173" t="s">
        <v>4689</v>
      </c>
      <c r="J1290" s="171">
        <v>45925.0</v>
      </c>
      <c r="K1290" s="169" t="s">
        <v>2758</v>
      </c>
    </row>
    <row r="1291">
      <c r="A1291" s="181">
        <v>16679.0</v>
      </c>
      <c r="B1291" s="175" t="s">
        <v>498</v>
      </c>
      <c r="C1291" s="174">
        <v>2022.0</v>
      </c>
      <c r="D1291" s="176" t="s">
        <v>52</v>
      </c>
      <c r="E1291" s="176" t="s">
        <v>99</v>
      </c>
      <c r="F1291" s="177" t="s">
        <v>499</v>
      </c>
      <c r="G1291" s="178">
        <v>45926.0</v>
      </c>
      <c r="H1291" s="179">
        <f t="shared" si="2"/>
        <v>0</v>
      </c>
      <c r="I1291" s="180" t="s">
        <v>4690</v>
      </c>
      <c r="J1291" s="178">
        <v>45926.0</v>
      </c>
      <c r="K1291" s="175" t="s">
        <v>2758</v>
      </c>
    </row>
    <row r="1292">
      <c r="A1292" s="183">
        <v>16682.0</v>
      </c>
      <c r="B1292" s="169" t="s">
        <v>3232</v>
      </c>
      <c r="C1292" s="168">
        <v>2018.0</v>
      </c>
      <c r="D1292" s="142" t="s">
        <v>14</v>
      </c>
      <c r="E1292" s="142" t="s">
        <v>4687</v>
      </c>
      <c r="F1292" s="170" t="s">
        <v>3234</v>
      </c>
      <c r="G1292" s="171">
        <v>45926.0</v>
      </c>
      <c r="H1292" s="172">
        <f t="shared" si="2"/>
        <v>0</v>
      </c>
      <c r="I1292" s="173" t="s">
        <v>4691</v>
      </c>
      <c r="J1292" s="171">
        <v>45926.0</v>
      </c>
      <c r="K1292" s="169" t="s">
        <v>2758</v>
      </c>
    </row>
    <row r="1293">
      <c r="A1293" s="174">
        <v>16685.0</v>
      </c>
      <c r="B1293" s="175" t="s">
        <v>98</v>
      </c>
      <c r="C1293" s="174">
        <v>2022.0</v>
      </c>
      <c r="D1293" s="176" t="s">
        <v>52</v>
      </c>
      <c r="E1293" s="176" t="s">
        <v>99</v>
      </c>
      <c r="F1293" s="177" t="s">
        <v>1860</v>
      </c>
      <c r="G1293" s="178">
        <v>45926.0</v>
      </c>
      <c r="H1293" s="179">
        <f t="shared" si="2"/>
        <v>0</v>
      </c>
      <c r="I1293" s="324"/>
      <c r="J1293" s="178">
        <v>45926.0</v>
      </c>
      <c r="K1293" s="175" t="s">
        <v>2758</v>
      </c>
    </row>
    <row r="1294">
      <c r="A1294" s="183">
        <v>16627.0</v>
      </c>
      <c r="B1294" s="142" t="s">
        <v>2220</v>
      </c>
      <c r="C1294" s="168">
        <v>2020.0</v>
      </c>
      <c r="D1294" s="142" t="s">
        <v>451</v>
      </c>
      <c r="E1294" s="142" t="s">
        <v>319</v>
      </c>
      <c r="F1294" s="170" t="s">
        <v>2221</v>
      </c>
      <c r="G1294" s="171">
        <v>45917.0</v>
      </c>
      <c r="H1294" s="172">
        <f t="shared" si="2"/>
        <v>9</v>
      </c>
      <c r="I1294" s="169" t="s">
        <v>3252</v>
      </c>
      <c r="J1294" s="268">
        <v>45926.0</v>
      </c>
      <c r="K1294" s="169" t="s">
        <v>31</v>
      </c>
      <c r="L1294" s="242"/>
      <c r="M1294" s="242"/>
      <c r="N1294" s="242"/>
      <c r="O1294" s="242"/>
      <c r="P1294" s="242"/>
      <c r="Q1294" s="242"/>
      <c r="R1294" s="242"/>
      <c r="S1294" s="242"/>
      <c r="T1294" s="242"/>
      <c r="U1294" s="242"/>
      <c r="V1294" s="242"/>
      <c r="W1294" s="242"/>
      <c r="X1294" s="242"/>
      <c r="Y1294" s="242"/>
      <c r="Z1294" s="242"/>
      <c r="AA1294" s="242"/>
      <c r="AB1294" s="242"/>
      <c r="AC1294" s="242"/>
      <c r="AD1294" s="242"/>
      <c r="AE1294" s="242"/>
      <c r="AF1294" s="242"/>
      <c r="AG1294" s="242"/>
      <c r="AH1294" s="242"/>
      <c r="AI1294" s="242"/>
      <c r="AJ1294" s="242"/>
      <c r="AK1294" s="242"/>
      <c r="AL1294" s="242"/>
      <c r="AM1294" s="242"/>
      <c r="AN1294" s="242"/>
      <c r="AO1294" s="242"/>
    </row>
    <row r="1295">
      <c r="A1295" s="181">
        <v>16712.0</v>
      </c>
      <c r="B1295" s="175" t="s">
        <v>4692</v>
      </c>
      <c r="C1295" s="174">
        <v>2015.0</v>
      </c>
      <c r="D1295" s="176" t="s">
        <v>3130</v>
      </c>
      <c r="E1295" s="176" t="s">
        <v>4693</v>
      </c>
      <c r="F1295" s="177" t="s">
        <v>4694</v>
      </c>
      <c r="G1295" s="178">
        <v>45931.0</v>
      </c>
      <c r="H1295" s="179">
        <f t="shared" si="2"/>
        <v>0</v>
      </c>
      <c r="I1295" s="180" t="s">
        <v>4695</v>
      </c>
      <c r="J1295" s="178">
        <v>45931.0</v>
      </c>
      <c r="K1295" s="175" t="s">
        <v>2758</v>
      </c>
    </row>
    <row r="1296">
      <c r="A1296" s="183">
        <v>16711.0</v>
      </c>
      <c r="B1296" s="169" t="s">
        <v>820</v>
      </c>
      <c r="C1296" s="168">
        <v>2022.0</v>
      </c>
      <c r="D1296" s="142" t="s">
        <v>52</v>
      </c>
      <c r="E1296" s="142" t="s">
        <v>169</v>
      </c>
      <c r="F1296" s="170" t="s">
        <v>822</v>
      </c>
      <c r="G1296" s="171">
        <v>45931.0</v>
      </c>
      <c r="H1296" s="172">
        <f t="shared" si="2"/>
        <v>0</v>
      </c>
      <c r="I1296" s="173" t="s">
        <v>3094</v>
      </c>
      <c r="J1296" s="171">
        <v>45931.0</v>
      </c>
      <c r="K1296" s="169" t="s">
        <v>2758</v>
      </c>
    </row>
    <row r="1297">
      <c r="A1297" s="181">
        <v>16649.0</v>
      </c>
      <c r="B1297" s="176" t="s">
        <v>395</v>
      </c>
      <c r="C1297" s="174">
        <v>2014.0</v>
      </c>
      <c r="D1297" s="176" t="s">
        <v>136</v>
      </c>
      <c r="E1297" s="176" t="s">
        <v>47</v>
      </c>
      <c r="F1297" s="177" t="s">
        <v>396</v>
      </c>
      <c r="G1297" s="178">
        <v>45923.0</v>
      </c>
      <c r="H1297" s="179">
        <f t="shared" si="2"/>
        <v>8</v>
      </c>
      <c r="I1297" s="175" t="s">
        <v>1016</v>
      </c>
      <c r="J1297" s="178">
        <v>45931.0</v>
      </c>
      <c r="K1297" s="175" t="s">
        <v>31</v>
      </c>
    </row>
    <row r="1298">
      <c r="A1298" s="183">
        <v>16716.0</v>
      </c>
      <c r="B1298" s="169" t="s">
        <v>829</v>
      </c>
      <c r="C1298" s="168">
        <v>2022.0</v>
      </c>
      <c r="D1298" s="142" t="s">
        <v>52</v>
      </c>
      <c r="E1298" s="142" t="s">
        <v>2983</v>
      </c>
      <c r="F1298" s="170" t="s">
        <v>830</v>
      </c>
      <c r="G1298" s="171">
        <v>45932.0</v>
      </c>
      <c r="H1298" s="172">
        <f t="shared" si="2"/>
        <v>0</v>
      </c>
      <c r="I1298" s="173" t="s">
        <v>3784</v>
      </c>
      <c r="J1298" s="171">
        <v>45932.0</v>
      </c>
      <c r="K1298" s="169" t="s">
        <v>2758</v>
      </c>
    </row>
    <row r="1299">
      <c r="A1299" s="181">
        <v>16717.0</v>
      </c>
      <c r="B1299" s="175" t="s">
        <v>490</v>
      </c>
      <c r="C1299" s="174">
        <v>2022.0</v>
      </c>
      <c r="D1299" s="176" t="s">
        <v>52</v>
      </c>
      <c r="E1299" s="176" t="s">
        <v>183</v>
      </c>
      <c r="F1299" s="177" t="s">
        <v>491</v>
      </c>
      <c r="G1299" s="178">
        <v>45932.0</v>
      </c>
      <c r="H1299" s="179">
        <f t="shared" si="2"/>
        <v>0</v>
      </c>
      <c r="I1299" s="180" t="s">
        <v>4696</v>
      </c>
      <c r="J1299" s="178">
        <v>45932.0</v>
      </c>
      <c r="K1299" s="175" t="s">
        <v>2758</v>
      </c>
    </row>
    <row r="1300">
      <c r="A1300" s="183">
        <v>16710.0</v>
      </c>
      <c r="B1300" s="169" t="s">
        <v>1573</v>
      </c>
      <c r="C1300" s="168">
        <v>2015.0</v>
      </c>
      <c r="D1300" s="142" t="s">
        <v>2872</v>
      </c>
      <c r="E1300" s="142" t="s">
        <v>82</v>
      </c>
      <c r="F1300" s="170" t="s">
        <v>1575</v>
      </c>
      <c r="G1300" s="171">
        <v>45931.0</v>
      </c>
      <c r="H1300" s="172">
        <f t="shared" si="2"/>
        <v>1</v>
      </c>
      <c r="I1300" s="173" t="s">
        <v>4697</v>
      </c>
      <c r="J1300" s="171">
        <v>45932.0</v>
      </c>
      <c r="K1300" s="169" t="s">
        <v>84</v>
      </c>
    </row>
    <row r="1301">
      <c r="A1301" s="181">
        <v>16688.0</v>
      </c>
      <c r="B1301" s="175" t="s">
        <v>1137</v>
      </c>
      <c r="C1301" s="174">
        <v>2018.0</v>
      </c>
      <c r="D1301" s="176" t="s">
        <v>14</v>
      </c>
      <c r="E1301" s="176" t="s">
        <v>47</v>
      </c>
      <c r="F1301" s="177" t="s">
        <v>1138</v>
      </c>
      <c r="G1301" s="178">
        <v>45929.0</v>
      </c>
      <c r="H1301" s="179">
        <f t="shared" si="2"/>
        <v>3</v>
      </c>
      <c r="I1301" s="180" t="s">
        <v>3159</v>
      </c>
      <c r="J1301" s="178">
        <v>45932.0</v>
      </c>
      <c r="K1301" s="175" t="s">
        <v>2758</v>
      </c>
    </row>
    <row r="1302">
      <c r="A1302" s="183">
        <v>16634.0</v>
      </c>
      <c r="B1302" s="142" t="s">
        <v>366</v>
      </c>
      <c r="C1302" s="168">
        <v>2011.0</v>
      </c>
      <c r="D1302" s="142" t="s">
        <v>367</v>
      </c>
      <c r="E1302" s="142" t="s">
        <v>368</v>
      </c>
      <c r="F1302" s="170" t="s">
        <v>369</v>
      </c>
      <c r="G1302" s="171">
        <v>45918.0</v>
      </c>
      <c r="H1302" s="172">
        <f t="shared" si="2"/>
        <v>14</v>
      </c>
      <c r="I1302" s="169" t="s">
        <v>4698</v>
      </c>
      <c r="J1302" s="171">
        <v>45932.0</v>
      </c>
      <c r="K1302" s="169" t="s">
        <v>2758</v>
      </c>
    </row>
    <row r="1303">
      <c r="A1303" s="181">
        <v>16664.0</v>
      </c>
      <c r="B1303" s="176" t="s">
        <v>2455</v>
      </c>
      <c r="C1303" s="174">
        <v>2022.0</v>
      </c>
      <c r="D1303" s="176" t="s">
        <v>52</v>
      </c>
      <c r="E1303" s="176" t="s">
        <v>459</v>
      </c>
      <c r="F1303" s="177" t="s">
        <v>2456</v>
      </c>
      <c r="G1303" s="178">
        <v>45924.0</v>
      </c>
      <c r="H1303" s="179">
        <f t="shared" si="2"/>
        <v>8</v>
      </c>
      <c r="I1303" s="175" t="s">
        <v>4699</v>
      </c>
      <c r="J1303" s="178">
        <v>45932.0</v>
      </c>
      <c r="K1303" s="175" t="s">
        <v>2758</v>
      </c>
    </row>
    <row r="1304">
      <c r="A1304" s="183">
        <v>16667.0</v>
      </c>
      <c r="B1304" s="169" t="s">
        <v>1052</v>
      </c>
      <c r="C1304" s="168">
        <v>2022.0</v>
      </c>
      <c r="D1304" s="142" t="s">
        <v>52</v>
      </c>
      <c r="E1304" s="142" t="s">
        <v>912</v>
      </c>
      <c r="F1304" s="170" t="s">
        <v>1053</v>
      </c>
      <c r="G1304" s="171">
        <v>45925.0</v>
      </c>
      <c r="H1304" s="172">
        <f t="shared" si="2"/>
        <v>7</v>
      </c>
      <c r="I1304" s="173" t="s">
        <v>4700</v>
      </c>
      <c r="J1304" s="171">
        <v>45932.0</v>
      </c>
      <c r="K1304" s="169" t="s">
        <v>2758</v>
      </c>
    </row>
    <row r="1305">
      <c r="A1305" s="181">
        <v>16721.0</v>
      </c>
      <c r="B1305" s="175" t="s">
        <v>2940</v>
      </c>
      <c r="C1305" s="174">
        <v>2022.0</v>
      </c>
      <c r="D1305" s="176" t="s">
        <v>52</v>
      </c>
      <c r="E1305" s="176" t="s">
        <v>2941</v>
      </c>
      <c r="F1305" s="177" t="s">
        <v>2942</v>
      </c>
      <c r="G1305" s="178">
        <v>45933.0</v>
      </c>
      <c r="H1305" s="179">
        <f t="shared" si="2"/>
        <v>0</v>
      </c>
      <c r="I1305" s="180" t="s">
        <v>4701</v>
      </c>
      <c r="J1305" s="178">
        <v>45933.0</v>
      </c>
      <c r="K1305" s="175" t="s">
        <v>2758</v>
      </c>
    </row>
    <row r="1306">
      <c r="A1306" s="183">
        <v>16726.0</v>
      </c>
      <c r="B1306" s="169" t="s">
        <v>98</v>
      </c>
      <c r="C1306" s="168">
        <v>2022.0</v>
      </c>
      <c r="D1306" s="142" t="s">
        <v>52</v>
      </c>
      <c r="E1306" s="142" t="s">
        <v>99</v>
      </c>
      <c r="F1306" s="170" t="s">
        <v>100</v>
      </c>
      <c r="G1306" s="171">
        <v>45933.0</v>
      </c>
      <c r="H1306" s="172">
        <f t="shared" si="2"/>
        <v>0</v>
      </c>
      <c r="I1306" s="173" t="s">
        <v>3495</v>
      </c>
      <c r="J1306" s="171">
        <v>45933.0</v>
      </c>
      <c r="K1306" s="169" t="s">
        <v>2758</v>
      </c>
    </row>
    <row r="1307">
      <c r="A1307" s="174" t="s">
        <v>4702</v>
      </c>
      <c r="B1307" s="175" t="s">
        <v>3837</v>
      </c>
      <c r="C1307" s="174">
        <v>2018.0</v>
      </c>
      <c r="D1307" s="176" t="s">
        <v>14</v>
      </c>
      <c r="E1307" s="176" t="s">
        <v>1194</v>
      </c>
      <c r="F1307" s="177" t="s">
        <v>3838</v>
      </c>
      <c r="G1307" s="178">
        <v>45936.0</v>
      </c>
      <c r="H1307" s="179">
        <f t="shared" si="2"/>
        <v>0</v>
      </c>
      <c r="I1307" s="180" t="s">
        <v>4703</v>
      </c>
      <c r="J1307" s="178">
        <v>45936.0</v>
      </c>
      <c r="K1307" s="175" t="s">
        <v>2758</v>
      </c>
    </row>
    <row r="1308">
      <c r="A1308" s="183">
        <v>16738.0</v>
      </c>
      <c r="B1308" s="169" t="s">
        <v>2749</v>
      </c>
      <c r="C1308" s="168">
        <v>2010.0</v>
      </c>
      <c r="D1308" s="142" t="s">
        <v>367</v>
      </c>
      <c r="E1308" s="142" t="s">
        <v>225</v>
      </c>
      <c r="F1308" s="170" t="s">
        <v>2751</v>
      </c>
      <c r="G1308" s="171">
        <v>45937.0</v>
      </c>
      <c r="H1308" s="172">
        <f t="shared" si="2"/>
        <v>0</v>
      </c>
      <c r="I1308" s="173" t="s">
        <v>4704</v>
      </c>
      <c r="J1308" s="171">
        <v>45937.0</v>
      </c>
      <c r="K1308" s="169" t="s">
        <v>2758</v>
      </c>
    </row>
    <row r="1309">
      <c r="A1309" s="181">
        <v>16742.0</v>
      </c>
      <c r="B1309" s="175" t="s">
        <v>961</v>
      </c>
      <c r="C1309" s="174">
        <v>2018.0</v>
      </c>
      <c r="D1309" s="176" t="s">
        <v>14</v>
      </c>
      <c r="E1309" s="176" t="s">
        <v>70</v>
      </c>
      <c r="F1309" s="177" t="s">
        <v>963</v>
      </c>
      <c r="G1309" s="178">
        <v>45937.0</v>
      </c>
      <c r="H1309" s="179">
        <f t="shared" si="2"/>
        <v>0</v>
      </c>
      <c r="I1309" s="180" t="s">
        <v>1200</v>
      </c>
      <c r="J1309" s="178">
        <v>45937.0</v>
      </c>
      <c r="K1309" s="175" t="s">
        <v>1200</v>
      </c>
    </row>
    <row r="1310">
      <c r="A1310" s="168">
        <v>16744.0</v>
      </c>
      <c r="B1310" s="169" t="s">
        <v>4705</v>
      </c>
      <c r="C1310" s="168">
        <v>2022.0</v>
      </c>
      <c r="D1310" s="142" t="s">
        <v>136</v>
      </c>
      <c r="E1310" s="142" t="s">
        <v>82</v>
      </c>
      <c r="F1310" s="170" t="s">
        <v>2584</v>
      </c>
      <c r="G1310" s="171">
        <v>45937.0</v>
      </c>
      <c r="H1310" s="172">
        <f t="shared" si="2"/>
        <v>0</v>
      </c>
      <c r="I1310" s="173" t="s">
        <v>4706</v>
      </c>
      <c r="J1310" s="171">
        <v>45937.0</v>
      </c>
      <c r="K1310" s="169" t="s">
        <v>2758</v>
      </c>
    </row>
    <row r="1311">
      <c r="A1311" s="181">
        <v>16753.0</v>
      </c>
      <c r="B1311" s="175" t="s">
        <v>3106</v>
      </c>
      <c r="C1311" s="174">
        <v>2017.0</v>
      </c>
      <c r="D1311" s="176" t="s">
        <v>14</v>
      </c>
      <c r="E1311" s="176" t="s">
        <v>2788</v>
      </c>
      <c r="F1311" s="177" t="s">
        <v>3107</v>
      </c>
      <c r="G1311" s="178">
        <v>45937.0</v>
      </c>
      <c r="H1311" s="179">
        <f t="shared" si="2"/>
        <v>0</v>
      </c>
      <c r="I1311" s="180" t="s">
        <v>4707</v>
      </c>
      <c r="J1311" s="178">
        <v>45937.0</v>
      </c>
      <c r="K1311" s="175" t="s">
        <v>2758</v>
      </c>
    </row>
    <row r="1312">
      <c r="A1312" s="183">
        <v>16751.0</v>
      </c>
      <c r="B1312" s="169" t="s">
        <v>4708</v>
      </c>
      <c r="C1312" s="168">
        <v>2021.0</v>
      </c>
      <c r="D1312" s="142" t="s">
        <v>197</v>
      </c>
      <c r="E1312" s="142" t="s">
        <v>82</v>
      </c>
      <c r="F1312" s="170" t="s">
        <v>4366</v>
      </c>
      <c r="G1312" s="171">
        <v>45937.0</v>
      </c>
      <c r="H1312" s="172">
        <f t="shared" si="2"/>
        <v>0</v>
      </c>
      <c r="I1312" s="173" t="s">
        <v>4709</v>
      </c>
      <c r="J1312" s="171">
        <v>45937.0</v>
      </c>
      <c r="K1312" s="169" t="s">
        <v>2758</v>
      </c>
    </row>
    <row r="1313">
      <c r="A1313" s="181">
        <v>16661.0</v>
      </c>
      <c r="B1313" s="175" t="s">
        <v>4710</v>
      </c>
      <c r="C1313" s="174">
        <v>2008.0</v>
      </c>
      <c r="D1313" s="176" t="s">
        <v>4711</v>
      </c>
      <c r="E1313" s="176" t="s">
        <v>2700</v>
      </c>
      <c r="F1313" s="177" t="s">
        <v>4712</v>
      </c>
      <c r="G1313" s="178">
        <v>45924.0</v>
      </c>
      <c r="H1313" s="179">
        <f t="shared" si="2"/>
        <v>14</v>
      </c>
      <c r="I1313" s="180" t="s">
        <v>4713</v>
      </c>
      <c r="J1313" s="178">
        <v>45938.0</v>
      </c>
      <c r="K1313" s="175" t="s">
        <v>2627</v>
      </c>
    </row>
    <row r="1314">
      <c r="A1314" s="168" t="s">
        <v>4714</v>
      </c>
      <c r="B1314" s="169" t="s">
        <v>1049</v>
      </c>
      <c r="C1314" s="168">
        <v>2021.0</v>
      </c>
      <c r="D1314" s="142" t="s">
        <v>52</v>
      </c>
      <c r="E1314" s="142" t="s">
        <v>912</v>
      </c>
      <c r="F1314" s="170" t="s">
        <v>1050</v>
      </c>
      <c r="G1314" s="171">
        <v>45937.0</v>
      </c>
      <c r="H1314" s="172">
        <f t="shared" si="2"/>
        <v>1</v>
      </c>
      <c r="I1314" s="173" t="s">
        <v>4715</v>
      </c>
      <c r="J1314" s="171">
        <v>45938.0</v>
      </c>
      <c r="K1314" s="169" t="s">
        <v>2758</v>
      </c>
    </row>
    <row r="1315">
      <c r="A1315" s="181">
        <v>16658.0</v>
      </c>
      <c r="B1315" s="176" t="s">
        <v>3387</v>
      </c>
      <c r="C1315" s="174">
        <v>2015.0</v>
      </c>
      <c r="D1315" s="176" t="s">
        <v>130</v>
      </c>
      <c r="E1315" s="176" t="s">
        <v>125</v>
      </c>
      <c r="F1315" s="177" t="s">
        <v>3388</v>
      </c>
      <c r="G1315" s="178">
        <v>45923.0</v>
      </c>
      <c r="H1315" s="179">
        <f t="shared" si="2"/>
        <v>15</v>
      </c>
      <c r="I1315" s="175" t="s">
        <v>4716</v>
      </c>
      <c r="J1315" s="178">
        <v>45938.0</v>
      </c>
      <c r="K1315" s="175" t="s">
        <v>31</v>
      </c>
    </row>
    <row r="1316">
      <c r="A1316" s="183">
        <v>16747.0</v>
      </c>
      <c r="B1316" s="142" t="s">
        <v>2424</v>
      </c>
      <c r="C1316" s="168">
        <v>2022.0</v>
      </c>
      <c r="D1316" s="142" t="s">
        <v>52</v>
      </c>
      <c r="E1316" s="142" t="s">
        <v>459</v>
      </c>
      <c r="F1316" s="170" t="s">
        <v>3625</v>
      </c>
      <c r="G1316" s="171">
        <v>45937.0</v>
      </c>
      <c r="H1316" s="172">
        <f t="shared" si="2"/>
        <v>2</v>
      </c>
      <c r="I1316" s="169" t="s">
        <v>4717</v>
      </c>
      <c r="J1316" s="171">
        <v>45939.0</v>
      </c>
      <c r="K1316" s="169" t="s">
        <v>31</v>
      </c>
    </row>
    <row r="1317">
      <c r="A1317" s="181">
        <v>16765.0</v>
      </c>
      <c r="B1317" s="175" t="s">
        <v>4718</v>
      </c>
      <c r="C1317" s="174">
        <v>2022.0</v>
      </c>
      <c r="D1317" s="176" t="s">
        <v>52</v>
      </c>
      <c r="E1317" s="176" t="s">
        <v>4719</v>
      </c>
      <c r="F1317" s="177" t="s">
        <v>4720</v>
      </c>
      <c r="G1317" s="178">
        <v>45939.0</v>
      </c>
      <c r="H1317" s="179">
        <f t="shared" si="2"/>
        <v>0</v>
      </c>
      <c r="I1317" s="180" t="s">
        <v>4721</v>
      </c>
      <c r="J1317" s="178">
        <v>45939.0</v>
      </c>
      <c r="K1317" s="175" t="s">
        <v>2758</v>
      </c>
    </row>
    <row r="1318">
      <c r="A1318" s="168">
        <v>16770.0</v>
      </c>
      <c r="B1318" s="169" t="s">
        <v>4265</v>
      </c>
      <c r="C1318" s="168">
        <v>2014.0</v>
      </c>
      <c r="D1318" s="142" t="s">
        <v>130</v>
      </c>
      <c r="E1318" s="142" t="s">
        <v>4722</v>
      </c>
      <c r="F1318" s="170" t="s">
        <v>4095</v>
      </c>
      <c r="G1318" s="171">
        <v>45939.0</v>
      </c>
      <c r="H1318" s="172">
        <f t="shared" si="2"/>
        <v>0</v>
      </c>
      <c r="I1318" s="173" t="s">
        <v>4723</v>
      </c>
      <c r="J1318" s="171">
        <v>45939.0</v>
      </c>
      <c r="K1318" s="169" t="s">
        <v>2758</v>
      </c>
    </row>
    <row r="1319">
      <c r="A1319" s="181">
        <v>16775.0</v>
      </c>
      <c r="B1319" s="175" t="s">
        <v>1209</v>
      </c>
      <c r="C1319" s="174">
        <v>2014.0</v>
      </c>
      <c r="D1319" s="176" t="s">
        <v>130</v>
      </c>
      <c r="E1319" s="176" t="s">
        <v>582</v>
      </c>
      <c r="F1319" s="177" t="s">
        <v>1210</v>
      </c>
      <c r="G1319" s="178">
        <v>45939.0</v>
      </c>
      <c r="H1319" s="179">
        <f t="shared" si="2"/>
        <v>0</v>
      </c>
      <c r="I1319" s="180" t="s">
        <v>4724</v>
      </c>
      <c r="J1319" s="178">
        <v>45939.0</v>
      </c>
      <c r="K1319" s="175" t="s">
        <v>2758</v>
      </c>
    </row>
    <row r="1320">
      <c r="A1320" s="183">
        <v>16725.0</v>
      </c>
      <c r="B1320" s="142" t="s">
        <v>1303</v>
      </c>
      <c r="C1320" s="168">
        <v>2020.0</v>
      </c>
      <c r="D1320" s="142" t="s">
        <v>81</v>
      </c>
      <c r="E1320" s="142" t="s">
        <v>459</v>
      </c>
      <c r="F1320" s="170" t="s">
        <v>1304</v>
      </c>
      <c r="G1320" s="171">
        <v>45933.0</v>
      </c>
      <c r="H1320" s="172">
        <f t="shared" si="2"/>
        <v>6</v>
      </c>
      <c r="I1320" s="169" t="s">
        <v>4725</v>
      </c>
      <c r="J1320" s="171">
        <v>45939.0</v>
      </c>
      <c r="K1320" s="169" t="s">
        <v>31</v>
      </c>
    </row>
    <row r="1321">
      <c r="A1321" s="181">
        <v>16780.0</v>
      </c>
      <c r="B1321" s="175" t="s">
        <v>94</v>
      </c>
      <c r="C1321" s="174">
        <v>2022.0</v>
      </c>
      <c r="D1321" s="176" t="s">
        <v>52</v>
      </c>
      <c r="E1321" s="176" t="s">
        <v>531</v>
      </c>
      <c r="F1321" s="177" t="s">
        <v>96</v>
      </c>
      <c r="G1321" s="178">
        <v>45940.0</v>
      </c>
      <c r="H1321" s="179">
        <f t="shared" si="2"/>
        <v>0</v>
      </c>
      <c r="I1321" s="180" t="s">
        <v>4726</v>
      </c>
      <c r="J1321" s="178">
        <v>45940.0</v>
      </c>
      <c r="K1321" s="175" t="s">
        <v>2758</v>
      </c>
    </row>
    <row r="1322">
      <c r="A1322" s="183">
        <v>16742.0</v>
      </c>
      <c r="B1322" s="169" t="s">
        <v>961</v>
      </c>
      <c r="C1322" s="168">
        <v>2018.0</v>
      </c>
      <c r="D1322" s="142" t="s">
        <v>14</v>
      </c>
      <c r="E1322" s="142" t="s">
        <v>2672</v>
      </c>
      <c r="F1322" s="170" t="s">
        <v>963</v>
      </c>
      <c r="G1322" s="171">
        <v>45937.0</v>
      </c>
      <c r="H1322" s="172">
        <f t="shared" si="2"/>
        <v>3</v>
      </c>
      <c r="I1322" s="173" t="s">
        <v>4727</v>
      </c>
      <c r="J1322" s="171">
        <v>45940.0</v>
      </c>
      <c r="K1322" s="169" t="s">
        <v>2758</v>
      </c>
    </row>
    <row r="1323">
      <c r="A1323" s="181">
        <v>16781.0</v>
      </c>
      <c r="B1323" s="175" t="s">
        <v>98</v>
      </c>
      <c r="C1323" s="174">
        <v>2022.0</v>
      </c>
      <c r="D1323" s="176" t="s">
        <v>52</v>
      </c>
      <c r="E1323" s="176" t="s">
        <v>531</v>
      </c>
      <c r="F1323" s="177" t="s">
        <v>100</v>
      </c>
      <c r="G1323" s="178">
        <v>45940.0</v>
      </c>
      <c r="H1323" s="179">
        <f t="shared" si="2"/>
        <v>0</v>
      </c>
      <c r="I1323" s="180" t="s">
        <v>4728</v>
      </c>
      <c r="J1323" s="178">
        <v>45940.0</v>
      </c>
      <c r="K1323" s="175" t="s">
        <v>2758</v>
      </c>
    </row>
    <row r="1324">
      <c r="A1324" s="183">
        <v>15976.0</v>
      </c>
      <c r="B1324" s="169" t="s">
        <v>2274</v>
      </c>
      <c r="C1324" s="168">
        <v>2018.0</v>
      </c>
      <c r="D1324" s="142" t="s">
        <v>14</v>
      </c>
      <c r="E1324" s="142" t="s">
        <v>183</v>
      </c>
      <c r="F1324" s="170" t="s">
        <v>2275</v>
      </c>
      <c r="G1324" s="171">
        <v>45939.0</v>
      </c>
      <c r="H1324" s="172">
        <f t="shared" si="2"/>
        <v>1</v>
      </c>
      <c r="I1324" s="173" t="s">
        <v>3159</v>
      </c>
      <c r="J1324" s="171">
        <v>45940.0</v>
      </c>
      <c r="K1324" s="169" t="s">
        <v>2758</v>
      </c>
    </row>
    <row r="1325">
      <c r="A1325" s="181">
        <v>16794.0</v>
      </c>
      <c r="B1325" s="175" t="s">
        <v>417</v>
      </c>
      <c r="C1325" s="174">
        <v>2022.0</v>
      </c>
      <c r="D1325" s="176" t="s">
        <v>52</v>
      </c>
      <c r="E1325" s="176" t="s">
        <v>418</v>
      </c>
      <c r="F1325" s="177" t="s">
        <v>419</v>
      </c>
      <c r="G1325" s="178">
        <v>45937.0</v>
      </c>
      <c r="H1325" s="179">
        <f t="shared" si="2"/>
        <v>3</v>
      </c>
      <c r="I1325" s="180" t="s">
        <v>4729</v>
      </c>
      <c r="J1325" s="178">
        <v>45940.0</v>
      </c>
      <c r="K1325" s="175" t="s">
        <v>31</v>
      </c>
    </row>
    <row r="1326">
      <c r="A1326" s="183">
        <v>16743.0</v>
      </c>
      <c r="B1326" s="142" t="s">
        <v>80</v>
      </c>
      <c r="C1326" s="168">
        <v>2019.0</v>
      </c>
      <c r="D1326" s="142" t="s">
        <v>358</v>
      </c>
      <c r="E1326" s="142" t="s">
        <v>82</v>
      </c>
      <c r="F1326" s="170" t="s">
        <v>83</v>
      </c>
      <c r="G1326" s="171">
        <v>45937.0</v>
      </c>
      <c r="H1326" s="172">
        <f t="shared" si="2"/>
        <v>7</v>
      </c>
      <c r="I1326" s="169" t="s">
        <v>4730</v>
      </c>
      <c r="J1326" s="171">
        <v>45944.0</v>
      </c>
      <c r="K1326" s="169" t="s">
        <v>31</v>
      </c>
    </row>
    <row r="1327">
      <c r="A1327" s="181">
        <v>16809.0</v>
      </c>
      <c r="B1327" s="175" t="s">
        <v>250</v>
      </c>
      <c r="C1327" s="174">
        <v>2015.0</v>
      </c>
      <c r="D1327" s="176" t="s">
        <v>3130</v>
      </c>
      <c r="E1327" s="176" t="s">
        <v>2362</v>
      </c>
      <c r="F1327" s="177" t="s">
        <v>252</v>
      </c>
      <c r="G1327" s="178">
        <v>45945.0</v>
      </c>
      <c r="H1327" s="179">
        <f t="shared" si="2"/>
        <v>0</v>
      </c>
      <c r="I1327" s="180" t="s">
        <v>4731</v>
      </c>
      <c r="J1327" s="178">
        <v>45945.0</v>
      </c>
      <c r="K1327" s="175" t="s">
        <v>2758</v>
      </c>
    </row>
    <row r="1328">
      <c r="A1328" s="183">
        <v>16785.0</v>
      </c>
      <c r="B1328" s="142" t="s">
        <v>2079</v>
      </c>
      <c r="C1328" s="168">
        <v>2022.0</v>
      </c>
      <c r="D1328" s="142" t="s">
        <v>52</v>
      </c>
      <c r="E1328" s="142" t="s">
        <v>805</v>
      </c>
      <c r="F1328" s="170" t="s">
        <v>2081</v>
      </c>
      <c r="G1328" s="171">
        <v>45940.0</v>
      </c>
      <c r="H1328" s="172">
        <f t="shared" si="2"/>
        <v>6</v>
      </c>
      <c r="I1328" s="169" t="s">
        <v>668</v>
      </c>
      <c r="J1328" s="258">
        <v>45946.0</v>
      </c>
      <c r="K1328" s="169" t="s">
        <v>31</v>
      </c>
      <c r="L1328" s="242"/>
      <c r="M1328" s="242"/>
      <c r="N1328" s="242"/>
      <c r="O1328" s="242"/>
      <c r="P1328" s="242"/>
      <c r="Q1328" s="242"/>
      <c r="R1328" s="242"/>
      <c r="S1328" s="242"/>
      <c r="T1328" s="242"/>
      <c r="U1328" s="242"/>
      <c r="V1328" s="242"/>
      <c r="W1328" s="242"/>
      <c r="X1328" s="242"/>
      <c r="Y1328" s="242"/>
      <c r="Z1328" s="242"/>
      <c r="AA1328" s="242"/>
      <c r="AB1328" s="242"/>
      <c r="AC1328" s="242"/>
      <c r="AD1328" s="242"/>
      <c r="AE1328" s="242"/>
      <c r="AF1328" s="242"/>
      <c r="AG1328" s="242"/>
      <c r="AH1328" s="242"/>
      <c r="AI1328" s="242"/>
      <c r="AJ1328" s="242"/>
      <c r="AK1328" s="242"/>
      <c r="AL1328" s="242"/>
      <c r="AM1328" s="242"/>
      <c r="AN1328" s="242"/>
      <c r="AO1328" s="242"/>
    </row>
    <row r="1329">
      <c r="A1329" s="181">
        <v>16813.0</v>
      </c>
      <c r="B1329" s="175" t="s">
        <v>39</v>
      </c>
      <c r="C1329" s="174">
        <v>2022.0</v>
      </c>
      <c r="D1329" s="176" t="s">
        <v>52</v>
      </c>
      <c r="E1329" s="176" t="s">
        <v>41</v>
      </c>
      <c r="F1329" s="177" t="s">
        <v>42</v>
      </c>
      <c r="G1329" s="178">
        <v>45946.0</v>
      </c>
      <c r="H1329" s="179">
        <f t="shared" si="2"/>
        <v>0</v>
      </c>
      <c r="I1329" s="180" t="s">
        <v>4732</v>
      </c>
      <c r="J1329" s="178">
        <v>45946.0</v>
      </c>
      <c r="K1329" s="175" t="s">
        <v>2758</v>
      </c>
    </row>
    <row r="1330">
      <c r="A1330" s="183">
        <v>16704.0</v>
      </c>
      <c r="B1330" s="142" t="s">
        <v>413</v>
      </c>
      <c r="C1330" s="168">
        <v>2018.0</v>
      </c>
      <c r="D1330" s="142" t="s">
        <v>14</v>
      </c>
      <c r="E1330" s="142" t="s">
        <v>399</v>
      </c>
      <c r="F1330" s="170" t="s">
        <v>414</v>
      </c>
      <c r="G1330" s="171">
        <v>45930.0</v>
      </c>
      <c r="H1330" s="172">
        <f t="shared" si="2"/>
        <v>16</v>
      </c>
      <c r="I1330" s="169" t="s">
        <v>533</v>
      </c>
      <c r="J1330" s="258">
        <v>45946.0</v>
      </c>
      <c r="K1330" s="169" t="s">
        <v>2758</v>
      </c>
      <c r="L1330" s="242"/>
      <c r="M1330" s="242"/>
      <c r="N1330" s="242"/>
      <c r="O1330" s="242"/>
      <c r="P1330" s="242"/>
      <c r="Q1330" s="242"/>
      <c r="R1330" s="242"/>
      <c r="S1330" s="242"/>
      <c r="T1330" s="242"/>
      <c r="U1330" s="242"/>
      <c r="V1330" s="242"/>
      <c r="W1330" s="242"/>
      <c r="X1330" s="242"/>
      <c r="Y1330" s="242"/>
      <c r="Z1330" s="242"/>
      <c r="AA1330" s="242"/>
      <c r="AB1330" s="242"/>
      <c r="AC1330" s="242"/>
      <c r="AD1330" s="242"/>
      <c r="AE1330" s="242"/>
      <c r="AF1330" s="242"/>
      <c r="AG1330" s="242"/>
      <c r="AH1330" s="242"/>
      <c r="AI1330" s="242"/>
      <c r="AJ1330" s="242"/>
      <c r="AK1330" s="242"/>
      <c r="AL1330" s="242"/>
      <c r="AM1330" s="242"/>
      <c r="AN1330" s="242"/>
      <c r="AO1330" s="242"/>
    </row>
    <row r="1331">
      <c r="A1331" s="181">
        <v>16818.0</v>
      </c>
      <c r="B1331" s="175" t="s">
        <v>417</v>
      </c>
      <c r="C1331" s="174">
        <v>2022.0</v>
      </c>
      <c r="D1331" s="176" t="s">
        <v>52</v>
      </c>
      <c r="E1331" s="176" t="s">
        <v>418</v>
      </c>
      <c r="F1331" s="177" t="s">
        <v>419</v>
      </c>
      <c r="G1331" s="178">
        <v>45946.0</v>
      </c>
      <c r="H1331" s="179">
        <f t="shared" si="2"/>
        <v>0</v>
      </c>
      <c r="I1331" s="180" t="s">
        <v>3962</v>
      </c>
      <c r="J1331" s="178">
        <v>45946.0</v>
      </c>
      <c r="K1331" s="175" t="s">
        <v>2758</v>
      </c>
    </row>
    <row r="1332">
      <c r="A1332" s="183">
        <v>16808.0</v>
      </c>
      <c r="B1332" s="142" t="s">
        <v>1179</v>
      </c>
      <c r="C1332" s="168">
        <v>2013.0</v>
      </c>
      <c r="D1332" s="142" t="s">
        <v>105</v>
      </c>
      <c r="E1332" s="142" t="s">
        <v>183</v>
      </c>
      <c r="F1332" s="170" t="s">
        <v>1180</v>
      </c>
      <c r="G1332" s="171">
        <v>45945.0</v>
      </c>
      <c r="H1332" s="172">
        <f t="shared" si="2"/>
        <v>1</v>
      </c>
      <c r="I1332" s="169" t="s">
        <v>4733</v>
      </c>
      <c r="J1332" s="258">
        <v>45946.0</v>
      </c>
      <c r="K1332" s="169" t="s">
        <v>31</v>
      </c>
      <c r="L1332" s="242"/>
      <c r="M1332" s="242"/>
      <c r="N1332" s="242"/>
      <c r="O1332" s="242"/>
      <c r="P1332" s="242"/>
      <c r="Q1332" s="242"/>
      <c r="R1332" s="242"/>
      <c r="S1332" s="242"/>
      <c r="T1332" s="242"/>
      <c r="U1332" s="242"/>
      <c r="V1332" s="242"/>
      <c r="W1332" s="242"/>
      <c r="X1332" s="242"/>
      <c r="Y1332" s="242"/>
      <c r="Z1332" s="242"/>
      <c r="AA1332" s="242"/>
      <c r="AB1332" s="242"/>
      <c r="AC1332" s="242"/>
      <c r="AD1332" s="242"/>
      <c r="AE1332" s="242"/>
      <c r="AF1332" s="242"/>
      <c r="AG1332" s="242"/>
      <c r="AH1332" s="242"/>
      <c r="AI1332" s="242"/>
      <c r="AJ1332" s="242"/>
      <c r="AK1332" s="242"/>
      <c r="AL1332" s="242"/>
      <c r="AM1332" s="242"/>
      <c r="AN1332" s="242"/>
      <c r="AO1332" s="242"/>
    </row>
    <row r="1333">
      <c r="A1333" s="181">
        <v>16796.0</v>
      </c>
      <c r="B1333" s="175" t="s">
        <v>1540</v>
      </c>
      <c r="C1333" s="174">
        <v>2022.0</v>
      </c>
      <c r="D1333" s="176" t="s">
        <v>52</v>
      </c>
      <c r="E1333" s="176" t="s">
        <v>82</v>
      </c>
      <c r="F1333" s="271" t="s">
        <v>3381</v>
      </c>
      <c r="G1333" s="178">
        <v>45944.0</v>
      </c>
      <c r="H1333" s="179">
        <f t="shared" si="2"/>
        <v>2</v>
      </c>
      <c r="I1333" s="180" t="s">
        <v>3909</v>
      </c>
      <c r="J1333" s="178">
        <v>45946.0</v>
      </c>
      <c r="K1333" s="175" t="s">
        <v>2758</v>
      </c>
    </row>
    <row r="1334">
      <c r="A1334" s="203">
        <v>16777.0</v>
      </c>
      <c r="B1334" s="204" t="s">
        <v>820</v>
      </c>
      <c r="C1334" s="279">
        <v>2022.0</v>
      </c>
      <c r="D1334" s="204" t="s">
        <v>52</v>
      </c>
      <c r="E1334" s="204" t="s">
        <v>125</v>
      </c>
      <c r="F1334" s="280" t="s">
        <v>822</v>
      </c>
      <c r="G1334" s="207">
        <v>45939.0</v>
      </c>
      <c r="H1334" s="172">
        <f t="shared" si="2"/>
        <v>8</v>
      </c>
      <c r="I1334" s="238" t="s">
        <v>4734</v>
      </c>
      <c r="J1334" s="171">
        <v>45947.0</v>
      </c>
      <c r="K1334" s="169" t="s">
        <v>2758</v>
      </c>
    </row>
    <row r="1335">
      <c r="A1335" s="181">
        <v>16830.0</v>
      </c>
      <c r="B1335" s="175" t="s">
        <v>3332</v>
      </c>
      <c r="C1335" s="174">
        <v>2020.0</v>
      </c>
      <c r="D1335" s="176" t="s">
        <v>81</v>
      </c>
      <c r="E1335" s="176" t="s">
        <v>3333</v>
      </c>
      <c r="F1335" s="177" t="s">
        <v>3334</v>
      </c>
      <c r="G1335" s="178">
        <v>45950.0</v>
      </c>
      <c r="H1335" s="179">
        <f t="shared" si="2"/>
        <v>0</v>
      </c>
      <c r="I1335" s="180" t="s">
        <v>4735</v>
      </c>
      <c r="J1335" s="178">
        <v>45950.0</v>
      </c>
      <c r="K1335" s="175" t="s">
        <v>2758</v>
      </c>
    </row>
    <row r="1336">
      <c r="A1336" s="183">
        <v>16835.0</v>
      </c>
      <c r="B1336" s="169" t="s">
        <v>535</v>
      </c>
      <c r="C1336" s="168">
        <v>2020.0</v>
      </c>
      <c r="D1336" s="142" t="s">
        <v>81</v>
      </c>
      <c r="E1336" s="142" t="s">
        <v>95</v>
      </c>
      <c r="F1336" s="170" t="s">
        <v>537</v>
      </c>
      <c r="G1336" s="171">
        <v>45950.0</v>
      </c>
      <c r="H1336" s="172">
        <f t="shared" si="2"/>
        <v>0</v>
      </c>
      <c r="I1336" s="173" t="s">
        <v>4736</v>
      </c>
      <c r="J1336" s="171">
        <v>45950.0</v>
      </c>
      <c r="K1336" s="169" t="s">
        <v>2758</v>
      </c>
    </row>
    <row r="1337">
      <c r="A1337" s="181">
        <v>16838.0</v>
      </c>
      <c r="B1337" s="175" t="s">
        <v>628</v>
      </c>
      <c r="C1337" s="174">
        <v>2022.0</v>
      </c>
      <c r="D1337" s="176" t="s">
        <v>52</v>
      </c>
      <c r="E1337" s="176" t="s">
        <v>630</v>
      </c>
      <c r="F1337" s="177" t="s">
        <v>631</v>
      </c>
      <c r="G1337" s="178">
        <v>45950.0</v>
      </c>
      <c r="H1337" s="179">
        <f t="shared" si="2"/>
        <v>0</v>
      </c>
      <c r="I1337" s="180" t="s">
        <v>4737</v>
      </c>
      <c r="J1337" s="178">
        <v>45950.0</v>
      </c>
      <c r="K1337" s="175" t="s">
        <v>2758</v>
      </c>
    </row>
    <row r="1338">
      <c r="A1338" s="183">
        <v>16789.0</v>
      </c>
      <c r="B1338" s="169" t="s">
        <v>3419</v>
      </c>
      <c r="C1338" s="168">
        <v>2015.0</v>
      </c>
      <c r="D1338" s="142" t="s">
        <v>52</v>
      </c>
      <c r="E1338" s="142" t="s">
        <v>47</v>
      </c>
      <c r="F1338" s="170" t="s">
        <v>1616</v>
      </c>
      <c r="G1338" s="171">
        <v>45943.0</v>
      </c>
      <c r="H1338" s="172">
        <f t="shared" si="2"/>
        <v>8</v>
      </c>
      <c r="I1338" s="173" t="s">
        <v>4738</v>
      </c>
      <c r="J1338" s="171">
        <v>45951.0</v>
      </c>
      <c r="K1338" s="169" t="s">
        <v>31</v>
      </c>
    </row>
    <row r="1339">
      <c r="A1339" s="181">
        <v>16692.0</v>
      </c>
      <c r="B1339" s="175" t="s">
        <v>2043</v>
      </c>
      <c r="C1339" s="174">
        <v>2018.0</v>
      </c>
      <c r="D1339" s="176" t="s">
        <v>14</v>
      </c>
      <c r="E1339" s="176" t="s">
        <v>47</v>
      </c>
      <c r="F1339" s="177" t="s">
        <v>2044</v>
      </c>
      <c r="G1339" s="178">
        <v>45929.0</v>
      </c>
      <c r="H1339" s="179">
        <f t="shared" si="2"/>
        <v>22</v>
      </c>
      <c r="I1339" s="180" t="s">
        <v>4739</v>
      </c>
      <c r="J1339" s="178">
        <v>45951.0</v>
      </c>
      <c r="K1339" s="175" t="s">
        <v>31</v>
      </c>
    </row>
    <row r="1340">
      <c r="A1340" s="183">
        <v>16795.0</v>
      </c>
      <c r="B1340" s="142" t="s">
        <v>609</v>
      </c>
      <c r="C1340" s="168">
        <v>2022.0</v>
      </c>
      <c r="D1340" s="142" t="s">
        <v>52</v>
      </c>
      <c r="E1340" s="142" t="s">
        <v>610</v>
      </c>
      <c r="F1340" s="170" t="s">
        <v>611</v>
      </c>
      <c r="G1340" s="171">
        <v>45944.0</v>
      </c>
      <c r="H1340" s="172">
        <f t="shared" si="2"/>
        <v>7</v>
      </c>
      <c r="I1340" s="169" t="s">
        <v>4740</v>
      </c>
      <c r="J1340" s="258">
        <v>45951.0</v>
      </c>
      <c r="K1340" s="169" t="s">
        <v>31</v>
      </c>
      <c r="L1340" s="242"/>
      <c r="M1340" s="242"/>
      <c r="N1340" s="242"/>
      <c r="O1340" s="242"/>
      <c r="P1340" s="242"/>
      <c r="Q1340" s="242"/>
      <c r="R1340" s="242"/>
      <c r="S1340" s="242"/>
      <c r="T1340" s="242"/>
      <c r="U1340" s="242"/>
      <c r="V1340" s="242"/>
      <c r="W1340" s="242"/>
      <c r="X1340" s="242"/>
      <c r="Y1340" s="242"/>
      <c r="Z1340" s="242"/>
      <c r="AA1340" s="242"/>
      <c r="AB1340" s="242"/>
      <c r="AC1340" s="242"/>
      <c r="AD1340" s="242"/>
      <c r="AE1340" s="242"/>
      <c r="AF1340" s="242"/>
      <c r="AG1340" s="242"/>
      <c r="AH1340" s="242"/>
      <c r="AI1340" s="242"/>
      <c r="AJ1340" s="242"/>
      <c r="AK1340" s="242"/>
      <c r="AL1340" s="242"/>
      <c r="AM1340" s="242"/>
      <c r="AN1340" s="242"/>
      <c r="AO1340" s="242"/>
    </row>
    <row r="1341">
      <c r="A1341" s="181">
        <v>16855.0</v>
      </c>
      <c r="B1341" s="175" t="s">
        <v>4741</v>
      </c>
      <c r="C1341" s="174">
        <v>2022.0</v>
      </c>
      <c r="D1341" s="176" t="s">
        <v>14</v>
      </c>
      <c r="E1341" s="176" t="s">
        <v>4742</v>
      </c>
      <c r="F1341" s="177" t="s">
        <v>4743</v>
      </c>
      <c r="G1341" s="178">
        <v>45952.0</v>
      </c>
      <c r="H1341" s="179">
        <f t="shared" si="2"/>
        <v>0</v>
      </c>
      <c r="I1341" s="180" t="s">
        <v>4744</v>
      </c>
      <c r="J1341" s="178">
        <v>45952.0</v>
      </c>
      <c r="K1341" s="175" t="s">
        <v>2758</v>
      </c>
    </row>
    <row r="1342">
      <c r="A1342" s="183">
        <v>16760.0</v>
      </c>
      <c r="B1342" s="142" t="s">
        <v>4745</v>
      </c>
      <c r="C1342" s="168">
        <v>2022.0</v>
      </c>
      <c r="D1342" s="142" t="s">
        <v>52</v>
      </c>
      <c r="E1342" s="142" t="s">
        <v>805</v>
      </c>
      <c r="F1342" s="241">
        <v>45969.0</v>
      </c>
      <c r="G1342" s="171">
        <v>45938.0</v>
      </c>
      <c r="H1342" s="172">
        <f t="shared" si="2"/>
        <v>15</v>
      </c>
      <c r="I1342" s="169" t="s">
        <v>4746</v>
      </c>
      <c r="J1342" s="171">
        <v>45953.0</v>
      </c>
      <c r="K1342" s="169" t="s">
        <v>2758</v>
      </c>
    </row>
    <row r="1343">
      <c r="A1343" s="181">
        <v>16826.0</v>
      </c>
      <c r="B1343" s="176" t="s">
        <v>318</v>
      </c>
      <c r="C1343" s="174">
        <v>2021.0</v>
      </c>
      <c r="D1343" s="176" t="s">
        <v>52</v>
      </c>
      <c r="E1343" s="176" t="s">
        <v>319</v>
      </c>
      <c r="F1343" s="177" t="s">
        <v>320</v>
      </c>
      <c r="G1343" s="178">
        <v>45947.0</v>
      </c>
      <c r="H1343" s="179">
        <f t="shared" si="2"/>
        <v>6</v>
      </c>
      <c r="I1343" s="175" t="s">
        <v>4747</v>
      </c>
      <c r="J1343" s="270">
        <v>45953.0</v>
      </c>
      <c r="K1343" s="175" t="s">
        <v>2758</v>
      </c>
      <c r="L1343" s="242"/>
      <c r="M1343" s="242"/>
      <c r="N1343" s="242"/>
      <c r="O1343" s="242"/>
      <c r="P1343" s="242"/>
      <c r="Q1343" s="242"/>
      <c r="R1343" s="242"/>
      <c r="S1343" s="242"/>
      <c r="T1343" s="242"/>
      <c r="U1343" s="242"/>
      <c r="V1343" s="242"/>
      <c r="W1343" s="242"/>
      <c r="X1343" s="242"/>
      <c r="Y1343" s="242"/>
      <c r="Z1343" s="242"/>
      <c r="AA1343" s="242"/>
      <c r="AB1343" s="242"/>
      <c r="AC1343" s="242"/>
      <c r="AD1343" s="242"/>
      <c r="AE1343" s="242"/>
      <c r="AF1343" s="242"/>
      <c r="AG1343" s="242"/>
      <c r="AH1343" s="242"/>
      <c r="AI1343" s="242"/>
      <c r="AJ1343" s="242"/>
      <c r="AK1343" s="242"/>
      <c r="AL1343" s="242"/>
      <c r="AM1343" s="242"/>
      <c r="AN1343" s="242"/>
      <c r="AO1343" s="242"/>
    </row>
    <row r="1344">
      <c r="A1344" s="183">
        <v>16865.0</v>
      </c>
      <c r="B1344" s="169" t="s">
        <v>1732</v>
      </c>
      <c r="C1344" s="168">
        <v>2022.0</v>
      </c>
      <c r="D1344" s="142" t="s">
        <v>52</v>
      </c>
      <c r="E1344" s="142" t="s">
        <v>368</v>
      </c>
      <c r="F1344" s="170">
        <v>1.0</v>
      </c>
      <c r="G1344" s="171">
        <v>45953.0</v>
      </c>
      <c r="H1344" s="172">
        <f t="shared" si="2"/>
        <v>0</v>
      </c>
      <c r="I1344" s="173" t="s">
        <v>4748</v>
      </c>
      <c r="J1344" s="171">
        <v>45953.0</v>
      </c>
      <c r="K1344" s="169" t="s">
        <v>2758</v>
      </c>
    </row>
    <row r="1345">
      <c r="A1345" s="181">
        <v>16873.0</v>
      </c>
      <c r="B1345" s="175" t="s">
        <v>2048</v>
      </c>
      <c r="C1345" s="174">
        <v>2022.0</v>
      </c>
      <c r="D1345" s="176" t="s">
        <v>52</v>
      </c>
      <c r="E1345" s="176" t="s">
        <v>240</v>
      </c>
      <c r="F1345" s="177" t="s">
        <v>2049</v>
      </c>
      <c r="G1345" s="178">
        <v>45954.0</v>
      </c>
      <c r="H1345" s="179">
        <f t="shared" si="2"/>
        <v>0</v>
      </c>
      <c r="I1345" s="180" t="s">
        <v>4749</v>
      </c>
      <c r="J1345" s="178">
        <v>45954.0</v>
      </c>
      <c r="K1345" s="175" t="s">
        <v>2758</v>
      </c>
    </row>
    <row r="1346">
      <c r="A1346" s="183">
        <v>16847.0</v>
      </c>
      <c r="B1346" s="169" t="s">
        <v>4750</v>
      </c>
      <c r="C1346" s="168">
        <v>2020.0</v>
      </c>
      <c r="D1346" s="142" t="s">
        <v>4751</v>
      </c>
      <c r="E1346" s="142" t="s">
        <v>405</v>
      </c>
      <c r="F1346" s="170" t="s">
        <v>4752</v>
      </c>
      <c r="G1346" s="171">
        <v>45951.0</v>
      </c>
      <c r="H1346" s="172">
        <f t="shared" si="2"/>
        <v>3</v>
      </c>
      <c r="I1346" s="173" t="s">
        <v>4753</v>
      </c>
      <c r="J1346" s="171">
        <v>45954.0</v>
      </c>
      <c r="K1346" s="169" t="s">
        <v>31</v>
      </c>
    </row>
    <row r="1347">
      <c r="A1347" s="181">
        <v>16829.0</v>
      </c>
      <c r="B1347" s="176" t="s">
        <v>3937</v>
      </c>
      <c r="C1347" s="174">
        <v>2022.0</v>
      </c>
      <c r="D1347" s="176" t="s">
        <v>14</v>
      </c>
      <c r="E1347" s="176" t="s">
        <v>207</v>
      </c>
      <c r="F1347" s="177" t="s">
        <v>208</v>
      </c>
      <c r="G1347" s="178">
        <v>45947.0</v>
      </c>
      <c r="H1347" s="179">
        <f t="shared" si="2"/>
        <v>7</v>
      </c>
      <c r="I1347" s="175" t="s">
        <v>4754</v>
      </c>
      <c r="J1347" s="178">
        <v>45954.0</v>
      </c>
      <c r="K1347" s="175" t="s">
        <v>2758</v>
      </c>
    </row>
    <row r="1348">
      <c r="A1348" s="183">
        <v>16831.0</v>
      </c>
      <c r="B1348" s="142" t="s">
        <v>3911</v>
      </c>
      <c r="C1348" s="168">
        <v>2022.0</v>
      </c>
      <c r="D1348" s="142" t="s">
        <v>136</v>
      </c>
      <c r="E1348" s="142" t="s">
        <v>240</v>
      </c>
      <c r="F1348" s="170" t="s">
        <v>3912</v>
      </c>
      <c r="G1348" s="171">
        <v>45950.0</v>
      </c>
      <c r="H1348" s="172">
        <f t="shared" si="2"/>
        <v>7</v>
      </c>
      <c r="I1348" s="169" t="s">
        <v>4755</v>
      </c>
      <c r="J1348" s="171">
        <v>45957.0</v>
      </c>
      <c r="K1348" s="169" t="s">
        <v>31</v>
      </c>
    </row>
    <row r="1349">
      <c r="A1349" s="181">
        <v>16731.0</v>
      </c>
      <c r="B1349" s="176" t="s">
        <v>713</v>
      </c>
      <c r="C1349" s="174">
        <v>2019.0</v>
      </c>
      <c r="D1349" s="176" t="s">
        <v>52</v>
      </c>
      <c r="E1349" s="176" t="s">
        <v>53</v>
      </c>
      <c r="F1349" s="325">
        <v>45764.0</v>
      </c>
      <c r="G1349" s="178">
        <v>45936.0</v>
      </c>
      <c r="H1349" s="179">
        <f t="shared" si="2"/>
        <v>21</v>
      </c>
      <c r="I1349" s="175" t="s">
        <v>4756</v>
      </c>
      <c r="J1349" s="178">
        <v>45957.0</v>
      </c>
      <c r="K1349" s="175" t="s">
        <v>31</v>
      </c>
    </row>
    <row r="1350">
      <c r="A1350" s="183">
        <v>16787.0</v>
      </c>
      <c r="B1350" s="142" t="s">
        <v>2734</v>
      </c>
      <c r="C1350" s="168">
        <v>2014.0</v>
      </c>
      <c r="D1350" s="142" t="s">
        <v>130</v>
      </c>
      <c r="E1350" s="142" t="s">
        <v>805</v>
      </c>
      <c r="F1350" s="170" t="s">
        <v>2735</v>
      </c>
      <c r="G1350" s="171">
        <v>45943.0</v>
      </c>
      <c r="H1350" s="172">
        <f t="shared" si="2"/>
        <v>14</v>
      </c>
      <c r="I1350" s="169" t="s">
        <v>668</v>
      </c>
      <c r="J1350" s="171">
        <v>45957.0</v>
      </c>
      <c r="K1350" s="169" t="s">
        <v>2627</v>
      </c>
    </row>
    <row r="1351">
      <c r="A1351" s="181">
        <v>16875.0</v>
      </c>
      <c r="B1351" s="175" t="s">
        <v>4757</v>
      </c>
      <c r="C1351" s="174">
        <v>2022.0</v>
      </c>
      <c r="D1351" s="176" t="s">
        <v>136</v>
      </c>
      <c r="E1351" s="176" t="s">
        <v>82</v>
      </c>
      <c r="F1351" s="177" t="s">
        <v>4758</v>
      </c>
      <c r="G1351" s="178">
        <v>45957.0</v>
      </c>
      <c r="H1351" s="179">
        <f t="shared" si="2"/>
        <v>0</v>
      </c>
      <c r="I1351" s="180" t="s">
        <v>4759</v>
      </c>
      <c r="J1351" s="178">
        <v>45957.0</v>
      </c>
      <c r="K1351" s="175" t="s">
        <v>2758</v>
      </c>
    </row>
    <row r="1352">
      <c r="A1352" s="183">
        <v>16884.0</v>
      </c>
      <c r="B1352" s="169" t="s">
        <v>1056</v>
      </c>
      <c r="C1352" s="168">
        <v>2022.0</v>
      </c>
      <c r="D1352" s="142" t="s">
        <v>136</v>
      </c>
      <c r="E1352" s="142" t="s">
        <v>4180</v>
      </c>
      <c r="F1352" s="170" t="s">
        <v>1058</v>
      </c>
      <c r="G1352" s="171">
        <v>45958.0</v>
      </c>
      <c r="H1352" s="172">
        <f t="shared" si="2"/>
        <v>0</v>
      </c>
      <c r="I1352" s="173" t="s">
        <v>4760</v>
      </c>
      <c r="J1352" s="171">
        <v>45958.0</v>
      </c>
      <c r="K1352" s="169" t="s">
        <v>2758</v>
      </c>
    </row>
    <row r="1353">
      <c r="A1353" s="181">
        <v>16750.0</v>
      </c>
      <c r="B1353" s="176" t="s">
        <v>2332</v>
      </c>
      <c r="C1353" s="174">
        <v>2015.0</v>
      </c>
      <c r="D1353" s="176" t="s">
        <v>75</v>
      </c>
      <c r="E1353" s="176" t="s">
        <v>2333</v>
      </c>
      <c r="F1353" s="177" t="s">
        <v>2334</v>
      </c>
      <c r="G1353" s="178">
        <v>45937.0</v>
      </c>
      <c r="H1353" s="179">
        <f t="shared" si="2"/>
        <v>21</v>
      </c>
      <c r="I1353" s="175" t="s">
        <v>4761</v>
      </c>
      <c r="J1353" s="178">
        <v>45958.0</v>
      </c>
      <c r="K1353" s="175" t="s">
        <v>2758</v>
      </c>
    </row>
    <row r="1354">
      <c r="A1354" s="183">
        <v>16887.0</v>
      </c>
      <c r="B1354" s="142" t="s">
        <v>879</v>
      </c>
      <c r="C1354" s="168">
        <v>2018.0</v>
      </c>
      <c r="D1354" s="142" t="s">
        <v>14</v>
      </c>
      <c r="E1354" s="142" t="s">
        <v>225</v>
      </c>
      <c r="F1354" s="170" t="s">
        <v>880</v>
      </c>
      <c r="G1354" s="171">
        <v>45958.0</v>
      </c>
      <c r="H1354" s="172">
        <f t="shared" si="2"/>
        <v>0</v>
      </c>
      <c r="I1354" s="169" t="s">
        <v>4762</v>
      </c>
      <c r="J1354" s="171">
        <v>45958.0</v>
      </c>
      <c r="K1354" s="169" t="s">
        <v>2758</v>
      </c>
    </row>
    <row r="1355">
      <c r="A1355" s="181" t="s">
        <v>4763</v>
      </c>
      <c r="B1355" s="176" t="s">
        <v>1856</v>
      </c>
      <c r="C1355" s="174">
        <v>2022.0</v>
      </c>
      <c r="D1355" s="176" t="s">
        <v>52</v>
      </c>
      <c r="E1355" s="176" t="s">
        <v>459</v>
      </c>
      <c r="F1355" s="177" t="s">
        <v>587</v>
      </c>
      <c r="G1355" s="178">
        <v>45943.0</v>
      </c>
      <c r="H1355" s="179">
        <f t="shared" si="2"/>
        <v>15</v>
      </c>
      <c r="I1355" s="175" t="s">
        <v>4764</v>
      </c>
      <c r="J1355" s="178">
        <v>45958.0</v>
      </c>
      <c r="K1355" s="175" t="s">
        <v>31</v>
      </c>
    </row>
    <row r="1356">
      <c r="A1356" s="183">
        <v>16886.0</v>
      </c>
      <c r="B1356" s="169" t="s">
        <v>441</v>
      </c>
      <c r="C1356" s="168">
        <v>2022.0</v>
      </c>
      <c r="D1356" s="142" t="s">
        <v>52</v>
      </c>
      <c r="E1356" s="142" t="s">
        <v>442</v>
      </c>
      <c r="F1356" s="170" t="s">
        <v>443</v>
      </c>
      <c r="G1356" s="171">
        <v>45958.0</v>
      </c>
      <c r="H1356" s="172">
        <f t="shared" si="2"/>
        <v>1</v>
      </c>
      <c r="I1356" s="173" t="s">
        <v>4765</v>
      </c>
      <c r="J1356" s="171">
        <v>45959.0</v>
      </c>
      <c r="K1356" s="169" t="s">
        <v>31</v>
      </c>
    </row>
    <row r="1357">
      <c r="A1357" s="181">
        <v>16899.0</v>
      </c>
      <c r="B1357" s="175" t="s">
        <v>1009</v>
      </c>
      <c r="C1357" s="174">
        <v>2022.0</v>
      </c>
      <c r="D1357" s="176" t="s">
        <v>136</v>
      </c>
      <c r="E1357" s="176" t="s">
        <v>82</v>
      </c>
      <c r="F1357" s="177" t="s">
        <v>1010</v>
      </c>
      <c r="G1357" s="178">
        <v>45959.0</v>
      </c>
      <c r="H1357" s="179">
        <f t="shared" si="2"/>
        <v>0</v>
      </c>
      <c r="I1357" s="180" t="s">
        <v>4766</v>
      </c>
      <c r="J1357" s="178">
        <v>45959.0</v>
      </c>
      <c r="K1357" s="175" t="s">
        <v>2758</v>
      </c>
    </row>
    <row r="1358">
      <c r="A1358" s="183">
        <v>16902.0</v>
      </c>
      <c r="B1358" s="169" t="s">
        <v>705</v>
      </c>
      <c r="C1358" s="168">
        <v>2022.0</v>
      </c>
      <c r="D1358" s="142" t="s">
        <v>52</v>
      </c>
      <c r="E1358" s="142" t="s">
        <v>169</v>
      </c>
      <c r="F1358" s="170" t="s">
        <v>706</v>
      </c>
      <c r="G1358" s="171">
        <v>45959.0</v>
      </c>
      <c r="H1358" s="172">
        <f t="shared" si="2"/>
        <v>0</v>
      </c>
      <c r="I1358" s="173" t="s">
        <v>4767</v>
      </c>
      <c r="J1358" s="171">
        <v>45959.0</v>
      </c>
      <c r="K1358" s="169" t="s">
        <v>2758</v>
      </c>
    </row>
    <row r="1359">
      <c r="A1359" s="181">
        <v>16895.0</v>
      </c>
      <c r="B1359" s="176" t="s">
        <v>490</v>
      </c>
      <c r="C1359" s="174">
        <v>2022.0</v>
      </c>
      <c r="D1359" s="176" t="s">
        <v>52</v>
      </c>
      <c r="E1359" s="176" t="s">
        <v>183</v>
      </c>
      <c r="F1359" s="177" t="s">
        <v>208</v>
      </c>
      <c r="G1359" s="178">
        <v>45959.0</v>
      </c>
      <c r="H1359" s="179">
        <f t="shared" si="2"/>
        <v>0</v>
      </c>
      <c r="I1359" s="175" t="s">
        <v>4768</v>
      </c>
      <c r="J1359" s="178">
        <v>45959.0</v>
      </c>
      <c r="K1359" s="175" t="s">
        <v>2758</v>
      </c>
    </row>
    <row r="1360">
      <c r="A1360" s="183">
        <v>16906.0</v>
      </c>
      <c r="B1360" s="169" t="s">
        <v>39</v>
      </c>
      <c r="C1360" s="168">
        <v>2022.0</v>
      </c>
      <c r="D1360" s="142" t="s">
        <v>52</v>
      </c>
      <c r="E1360" s="142" t="s">
        <v>41</v>
      </c>
      <c r="F1360" s="170" t="s">
        <v>42</v>
      </c>
      <c r="G1360" s="171">
        <v>45960.0</v>
      </c>
      <c r="H1360" s="172">
        <f t="shared" si="2"/>
        <v>0</v>
      </c>
      <c r="I1360" s="173" t="s">
        <v>3094</v>
      </c>
      <c r="J1360" s="171">
        <v>45960.0</v>
      </c>
      <c r="K1360" s="169" t="s">
        <v>2758</v>
      </c>
    </row>
    <row r="1361">
      <c r="A1361" s="181">
        <v>16821.0</v>
      </c>
      <c r="B1361" s="176" t="s">
        <v>2923</v>
      </c>
      <c r="C1361" s="174">
        <v>2022.0</v>
      </c>
      <c r="D1361" s="176" t="s">
        <v>52</v>
      </c>
      <c r="E1361" s="176" t="s">
        <v>125</v>
      </c>
      <c r="F1361" s="177" t="s">
        <v>2924</v>
      </c>
      <c r="G1361" s="178">
        <v>45947.0</v>
      </c>
      <c r="H1361" s="179">
        <f t="shared" si="2"/>
        <v>13</v>
      </c>
      <c r="I1361" s="175" t="s">
        <v>668</v>
      </c>
      <c r="J1361" s="178">
        <v>45960.0</v>
      </c>
      <c r="K1361" s="175" t="s">
        <v>2758</v>
      </c>
    </row>
    <row r="1362">
      <c r="A1362" s="183">
        <v>16913.0</v>
      </c>
      <c r="B1362" s="142" t="s">
        <v>670</v>
      </c>
      <c r="C1362" s="168">
        <v>2015.0</v>
      </c>
      <c r="D1362" s="142" t="s">
        <v>148</v>
      </c>
      <c r="E1362" s="142" t="s">
        <v>183</v>
      </c>
      <c r="F1362" s="241">
        <v>45964.0</v>
      </c>
      <c r="G1362" s="171">
        <v>45960.0</v>
      </c>
      <c r="H1362" s="172">
        <f t="shared" si="2"/>
        <v>0</v>
      </c>
      <c r="I1362" s="169" t="s">
        <v>2265</v>
      </c>
      <c r="J1362" s="171">
        <v>45960.0</v>
      </c>
      <c r="K1362" s="169" t="s">
        <v>2758</v>
      </c>
    </row>
    <row r="1363">
      <c r="A1363" s="181">
        <v>16907.0</v>
      </c>
      <c r="B1363" s="175" t="s">
        <v>3220</v>
      </c>
      <c r="C1363" s="174">
        <v>2020.0</v>
      </c>
      <c r="D1363" s="176" t="s">
        <v>14</v>
      </c>
      <c r="E1363" s="176" t="s">
        <v>2788</v>
      </c>
      <c r="F1363" s="177">
        <v>21.0</v>
      </c>
      <c r="G1363" s="178">
        <v>45960.0</v>
      </c>
      <c r="H1363" s="179">
        <f t="shared" si="2"/>
        <v>1</v>
      </c>
      <c r="I1363" s="180" t="s">
        <v>4769</v>
      </c>
      <c r="J1363" s="178">
        <v>45961.0</v>
      </c>
      <c r="K1363" s="175" t="s">
        <v>2758</v>
      </c>
    </row>
    <row r="1364">
      <c r="A1364" s="183">
        <v>16802.0</v>
      </c>
      <c r="B1364" s="142" t="s">
        <v>3971</v>
      </c>
      <c r="C1364" s="168">
        <v>2010.0</v>
      </c>
      <c r="D1364" s="142" t="s">
        <v>367</v>
      </c>
      <c r="E1364" s="142" t="s">
        <v>125</v>
      </c>
      <c r="F1364" s="170" t="s">
        <v>2803</v>
      </c>
      <c r="G1364" s="171">
        <v>45944.0</v>
      </c>
      <c r="H1364" s="172">
        <f t="shared" si="2"/>
        <v>17</v>
      </c>
      <c r="I1364" s="169" t="s">
        <v>4770</v>
      </c>
      <c r="J1364" s="171">
        <v>45961.0</v>
      </c>
      <c r="K1364" s="169" t="s">
        <v>2758</v>
      </c>
      <c r="L1364" s="242"/>
      <c r="M1364" s="242"/>
      <c r="N1364" s="242"/>
      <c r="O1364" s="242"/>
      <c r="P1364" s="242"/>
      <c r="Q1364" s="242"/>
      <c r="R1364" s="242"/>
      <c r="S1364" s="242"/>
      <c r="T1364" s="242"/>
      <c r="U1364" s="242"/>
      <c r="V1364" s="242"/>
      <c r="W1364" s="242"/>
      <c r="X1364" s="242"/>
      <c r="Y1364" s="242"/>
      <c r="Z1364" s="242"/>
      <c r="AA1364" s="242"/>
      <c r="AB1364" s="242"/>
      <c r="AC1364" s="242"/>
      <c r="AD1364" s="242"/>
      <c r="AE1364" s="242"/>
      <c r="AF1364" s="242"/>
      <c r="AG1364" s="242"/>
      <c r="AH1364" s="242"/>
      <c r="AI1364" s="242"/>
      <c r="AJ1364" s="242"/>
      <c r="AK1364" s="242"/>
      <c r="AL1364" s="242"/>
      <c r="AM1364" s="242"/>
      <c r="AN1364" s="242"/>
      <c r="AO1364" s="242"/>
    </row>
    <row r="1365">
      <c r="A1365" s="181">
        <v>16932.0</v>
      </c>
      <c r="B1365" s="175" t="s">
        <v>98</v>
      </c>
      <c r="C1365" s="174">
        <v>2022.0</v>
      </c>
      <c r="D1365" s="176" t="s">
        <v>52</v>
      </c>
      <c r="E1365" s="176" t="s">
        <v>531</v>
      </c>
      <c r="F1365" s="177" t="s">
        <v>100</v>
      </c>
      <c r="G1365" s="178">
        <v>45964.0</v>
      </c>
      <c r="H1365" s="179">
        <f t="shared" si="2"/>
        <v>1</v>
      </c>
      <c r="I1365" s="180" t="s">
        <v>4771</v>
      </c>
      <c r="J1365" s="178">
        <v>45965.0</v>
      </c>
      <c r="K1365" s="175" t="s">
        <v>2758</v>
      </c>
    </row>
    <row r="1366">
      <c r="A1366" s="183">
        <v>16903.0</v>
      </c>
      <c r="B1366" s="142" t="s">
        <v>3937</v>
      </c>
      <c r="C1366" s="168">
        <v>2022.0</v>
      </c>
      <c r="D1366" s="142" t="s">
        <v>14</v>
      </c>
      <c r="E1366" s="142" t="s">
        <v>207</v>
      </c>
      <c r="F1366" s="170" t="s">
        <v>3938</v>
      </c>
      <c r="G1366" s="171">
        <v>45959.0</v>
      </c>
      <c r="H1366" s="172">
        <f t="shared" si="2"/>
        <v>6</v>
      </c>
      <c r="I1366" s="169" t="s">
        <v>4772</v>
      </c>
      <c r="J1366" s="268">
        <v>45965.0</v>
      </c>
      <c r="K1366" s="169" t="s">
        <v>2758</v>
      </c>
      <c r="L1366" s="242"/>
      <c r="M1366" s="242"/>
      <c r="N1366" s="242"/>
      <c r="O1366" s="242"/>
      <c r="P1366" s="242"/>
      <c r="Q1366" s="242"/>
      <c r="R1366" s="242"/>
      <c r="S1366" s="242"/>
      <c r="T1366" s="242"/>
      <c r="U1366" s="242"/>
      <c r="V1366" s="242"/>
      <c r="W1366" s="242"/>
      <c r="X1366" s="242"/>
      <c r="Y1366" s="242"/>
      <c r="Z1366" s="242"/>
      <c r="AA1366" s="242"/>
      <c r="AB1366" s="242"/>
      <c r="AC1366" s="242"/>
      <c r="AD1366" s="242"/>
      <c r="AE1366" s="242"/>
      <c r="AF1366" s="242"/>
      <c r="AG1366" s="242"/>
      <c r="AH1366" s="242"/>
      <c r="AI1366" s="242"/>
      <c r="AJ1366" s="242"/>
      <c r="AK1366" s="242"/>
      <c r="AL1366" s="242"/>
      <c r="AM1366" s="242"/>
      <c r="AN1366" s="242"/>
      <c r="AO1366" s="242"/>
    </row>
    <row r="1367">
      <c r="A1367" s="174">
        <v>16931.0</v>
      </c>
      <c r="B1367" s="176" t="s">
        <v>1292</v>
      </c>
      <c r="C1367" s="174">
        <v>2019.0</v>
      </c>
      <c r="D1367" s="176" t="s">
        <v>197</v>
      </c>
      <c r="E1367" s="176" t="s">
        <v>47</v>
      </c>
      <c r="F1367" s="177" t="s">
        <v>1293</v>
      </c>
      <c r="G1367" s="178">
        <v>45964.0</v>
      </c>
      <c r="H1367" s="179">
        <f t="shared" si="2"/>
        <v>1</v>
      </c>
      <c r="I1367" s="175" t="s">
        <v>4773</v>
      </c>
      <c r="J1367" s="178">
        <v>45965.0</v>
      </c>
      <c r="K1367" s="175" t="s">
        <v>31</v>
      </c>
    </row>
    <row r="1368">
      <c r="A1368" s="168">
        <v>16924.0</v>
      </c>
      <c r="B1368" s="142" t="s">
        <v>4774</v>
      </c>
      <c r="C1368" s="168">
        <v>2015.0</v>
      </c>
      <c r="D1368" s="142" t="s">
        <v>206</v>
      </c>
      <c r="E1368" s="142" t="s">
        <v>82</v>
      </c>
      <c r="F1368" s="170" t="s">
        <v>4775</v>
      </c>
      <c r="G1368" s="171">
        <v>45964.0</v>
      </c>
      <c r="H1368" s="172">
        <f t="shared" si="2"/>
        <v>1</v>
      </c>
      <c r="I1368" s="169" t="s">
        <v>4776</v>
      </c>
      <c r="J1368" s="171">
        <v>45965.0</v>
      </c>
      <c r="K1368" s="169" t="s">
        <v>31</v>
      </c>
    </row>
    <row r="1369">
      <c r="A1369" s="181">
        <v>16919.0</v>
      </c>
      <c r="B1369" s="176" t="s">
        <v>1732</v>
      </c>
      <c r="C1369" s="174">
        <v>2022.0</v>
      </c>
      <c r="D1369" s="176" t="s">
        <v>52</v>
      </c>
      <c r="E1369" s="176" t="s">
        <v>2802</v>
      </c>
      <c r="F1369" s="177">
        <v>1.0</v>
      </c>
      <c r="G1369" s="178">
        <v>45964.0</v>
      </c>
      <c r="H1369" s="179">
        <f t="shared" si="2"/>
        <v>1</v>
      </c>
      <c r="I1369" s="175" t="s">
        <v>4777</v>
      </c>
      <c r="J1369" s="178">
        <v>45965.0</v>
      </c>
      <c r="K1369" s="175" t="s">
        <v>2758</v>
      </c>
    </row>
    <row r="1370">
      <c r="A1370" s="183">
        <v>16939.0</v>
      </c>
      <c r="B1370" s="169" t="s">
        <v>417</v>
      </c>
      <c r="C1370" s="168">
        <v>2022.0</v>
      </c>
      <c r="D1370" s="142" t="s">
        <v>52</v>
      </c>
      <c r="E1370" s="142" t="s">
        <v>418</v>
      </c>
      <c r="F1370" s="170" t="s">
        <v>419</v>
      </c>
      <c r="G1370" s="171">
        <v>45965.0</v>
      </c>
      <c r="H1370" s="172">
        <f t="shared" si="2"/>
        <v>0</v>
      </c>
      <c r="I1370" s="173" t="s">
        <v>4778</v>
      </c>
      <c r="J1370" s="171">
        <v>45965.0</v>
      </c>
      <c r="K1370" s="169" t="s">
        <v>31</v>
      </c>
    </row>
    <row r="1371">
      <c r="A1371" s="181">
        <v>16940.0</v>
      </c>
      <c r="B1371" s="175" t="s">
        <v>1186</v>
      </c>
      <c r="C1371" s="174">
        <v>2011.0</v>
      </c>
      <c r="D1371" s="176" t="s">
        <v>2647</v>
      </c>
      <c r="E1371" s="176" t="s">
        <v>70</v>
      </c>
      <c r="F1371" s="177" t="s">
        <v>1188</v>
      </c>
      <c r="G1371" s="178">
        <v>45965.0</v>
      </c>
      <c r="H1371" s="179">
        <f t="shared" si="2"/>
        <v>0</v>
      </c>
      <c r="I1371" s="180" t="s">
        <v>4779</v>
      </c>
      <c r="J1371" s="178">
        <v>45965.0</v>
      </c>
      <c r="K1371" s="175" t="s">
        <v>2758</v>
      </c>
    </row>
    <row r="1372">
      <c r="A1372" s="183">
        <v>16938.0</v>
      </c>
      <c r="B1372" s="169" t="s">
        <v>2071</v>
      </c>
      <c r="C1372" s="168">
        <v>2022.0</v>
      </c>
      <c r="D1372" s="142" t="s">
        <v>256</v>
      </c>
      <c r="E1372" s="142" t="s">
        <v>47</v>
      </c>
      <c r="F1372" s="170" t="s">
        <v>2073</v>
      </c>
      <c r="G1372" s="171">
        <v>45965.0</v>
      </c>
      <c r="H1372" s="172">
        <f t="shared" si="2"/>
        <v>0</v>
      </c>
      <c r="I1372" s="173" t="s">
        <v>4780</v>
      </c>
      <c r="J1372" s="171">
        <v>45965.0</v>
      </c>
      <c r="K1372" s="169" t="s">
        <v>31</v>
      </c>
    </row>
    <row r="1373">
      <c r="A1373" s="181">
        <v>16828.0</v>
      </c>
      <c r="B1373" s="176" t="s">
        <v>3550</v>
      </c>
      <c r="C1373" s="174">
        <v>2015.0</v>
      </c>
      <c r="D1373" s="176" t="s">
        <v>14</v>
      </c>
      <c r="E1373" s="176" t="s">
        <v>160</v>
      </c>
      <c r="F1373" s="177" t="s">
        <v>3551</v>
      </c>
      <c r="G1373" s="178">
        <v>45947.0</v>
      </c>
      <c r="H1373" s="179">
        <f t="shared" si="2"/>
        <v>19</v>
      </c>
      <c r="I1373" s="175" t="s">
        <v>533</v>
      </c>
      <c r="J1373" s="269">
        <v>45966.0</v>
      </c>
      <c r="K1373" s="175" t="s">
        <v>2758</v>
      </c>
      <c r="L1373" s="242"/>
      <c r="M1373" s="242"/>
      <c r="N1373" s="242"/>
      <c r="O1373" s="242"/>
      <c r="P1373" s="242"/>
      <c r="Q1373" s="242"/>
      <c r="R1373" s="242"/>
      <c r="S1373" s="242"/>
      <c r="T1373" s="242"/>
      <c r="U1373" s="242"/>
      <c r="V1373" s="242"/>
      <c r="W1373" s="242"/>
      <c r="X1373" s="242"/>
      <c r="Y1373" s="242"/>
      <c r="Z1373" s="242"/>
      <c r="AA1373" s="242"/>
      <c r="AB1373" s="242"/>
      <c r="AC1373" s="242"/>
      <c r="AD1373" s="242"/>
      <c r="AE1373" s="242"/>
      <c r="AF1373" s="242"/>
      <c r="AG1373" s="242"/>
      <c r="AH1373" s="242"/>
      <c r="AI1373" s="242"/>
      <c r="AJ1373" s="242"/>
      <c r="AK1373" s="242"/>
      <c r="AL1373" s="242"/>
      <c r="AM1373" s="242"/>
      <c r="AN1373" s="242"/>
      <c r="AO1373" s="242"/>
    </row>
    <row r="1374">
      <c r="A1374" s="183">
        <v>16798.0</v>
      </c>
      <c r="B1374" s="142" t="s">
        <v>4781</v>
      </c>
      <c r="C1374" s="168">
        <v>2018.0</v>
      </c>
      <c r="D1374" s="142" t="s">
        <v>3854</v>
      </c>
      <c r="E1374" s="142" t="s">
        <v>866</v>
      </c>
      <c r="F1374" s="170" t="s">
        <v>4344</v>
      </c>
      <c r="G1374" s="171">
        <v>45944.0</v>
      </c>
      <c r="H1374" s="172">
        <f t="shared" si="2"/>
        <v>22</v>
      </c>
      <c r="I1374" s="211" t="s">
        <v>4782</v>
      </c>
      <c r="J1374" s="268">
        <v>45966.0</v>
      </c>
      <c r="K1374" s="169" t="s">
        <v>31</v>
      </c>
      <c r="L1374" s="242"/>
      <c r="M1374" s="242"/>
      <c r="N1374" s="242"/>
      <c r="O1374" s="242"/>
      <c r="P1374" s="242"/>
      <c r="Q1374" s="242"/>
      <c r="R1374" s="242"/>
      <c r="S1374" s="242"/>
      <c r="T1374" s="242"/>
      <c r="U1374" s="242"/>
      <c r="V1374" s="242"/>
      <c r="W1374" s="242"/>
      <c r="X1374" s="242"/>
      <c r="Y1374" s="242"/>
      <c r="Z1374" s="242"/>
      <c r="AA1374" s="242"/>
      <c r="AB1374" s="242"/>
      <c r="AC1374" s="242"/>
      <c r="AD1374" s="242"/>
      <c r="AE1374" s="242"/>
      <c r="AF1374" s="242"/>
      <c r="AG1374" s="242"/>
      <c r="AH1374" s="242"/>
      <c r="AI1374" s="242"/>
      <c r="AJ1374" s="242"/>
      <c r="AK1374" s="242"/>
      <c r="AL1374" s="242"/>
      <c r="AM1374" s="242"/>
      <c r="AN1374" s="242"/>
      <c r="AO1374" s="242"/>
    </row>
    <row r="1375">
      <c r="A1375" s="181">
        <v>16909.0</v>
      </c>
      <c r="B1375" s="176" t="s">
        <v>3082</v>
      </c>
      <c r="C1375" s="174">
        <v>2022.0</v>
      </c>
      <c r="D1375" s="176" t="s">
        <v>52</v>
      </c>
      <c r="E1375" s="176" t="s">
        <v>125</v>
      </c>
      <c r="F1375" s="177" t="s">
        <v>3083</v>
      </c>
      <c r="G1375" s="178">
        <v>45960.0</v>
      </c>
      <c r="H1375" s="179">
        <f t="shared" si="2"/>
        <v>6</v>
      </c>
      <c r="I1375" s="175" t="s">
        <v>603</v>
      </c>
      <c r="J1375" s="178">
        <v>45966.0</v>
      </c>
      <c r="K1375" s="175" t="s">
        <v>2758</v>
      </c>
    </row>
    <row r="1376">
      <c r="A1376" s="168">
        <v>16928.0</v>
      </c>
      <c r="B1376" s="142" t="s">
        <v>1782</v>
      </c>
      <c r="C1376" s="168">
        <v>2019.0</v>
      </c>
      <c r="D1376" s="142" t="s">
        <v>52</v>
      </c>
      <c r="E1376" s="142" t="s">
        <v>53</v>
      </c>
      <c r="F1376" s="241">
        <v>45978.0</v>
      </c>
      <c r="G1376" s="171">
        <v>45964.0</v>
      </c>
      <c r="H1376" s="172">
        <f t="shared" si="2"/>
        <v>2</v>
      </c>
      <c r="I1376" s="169" t="s">
        <v>4783</v>
      </c>
      <c r="J1376" s="268">
        <v>45966.0</v>
      </c>
      <c r="K1376" s="169" t="s">
        <v>31</v>
      </c>
      <c r="L1376" s="242"/>
      <c r="M1376" s="242"/>
      <c r="N1376" s="242"/>
      <c r="O1376" s="242"/>
      <c r="P1376" s="242"/>
      <c r="Q1376" s="242"/>
      <c r="R1376" s="242"/>
      <c r="S1376" s="242"/>
      <c r="T1376" s="242"/>
      <c r="U1376" s="242"/>
      <c r="V1376" s="242"/>
      <c r="W1376" s="242"/>
      <c r="X1376" s="242"/>
      <c r="Y1376" s="242"/>
      <c r="Z1376" s="242"/>
      <c r="AA1376" s="242"/>
      <c r="AB1376" s="242"/>
      <c r="AC1376" s="242"/>
      <c r="AD1376" s="242"/>
      <c r="AE1376" s="242"/>
      <c r="AF1376" s="242"/>
      <c r="AG1376" s="242"/>
      <c r="AH1376" s="242"/>
      <c r="AI1376" s="242"/>
      <c r="AJ1376" s="242"/>
      <c r="AK1376" s="242"/>
      <c r="AL1376" s="242"/>
      <c r="AM1376" s="242"/>
      <c r="AN1376" s="242"/>
      <c r="AO1376" s="242"/>
    </row>
    <row r="1377">
      <c r="A1377" s="174">
        <v>16946.0</v>
      </c>
      <c r="B1377" s="175" t="s">
        <v>4784</v>
      </c>
      <c r="C1377" s="174">
        <v>2022.0</v>
      </c>
      <c r="D1377" s="176" t="s">
        <v>52</v>
      </c>
      <c r="E1377" s="176" t="s">
        <v>4785</v>
      </c>
      <c r="F1377" s="177" t="s">
        <v>4786</v>
      </c>
      <c r="G1377" s="178">
        <v>45966.0</v>
      </c>
      <c r="H1377" s="179">
        <f t="shared" si="2"/>
        <v>0</v>
      </c>
      <c r="I1377" s="180" t="s">
        <v>4787</v>
      </c>
      <c r="J1377" s="178">
        <v>45966.0</v>
      </c>
      <c r="K1377" s="175" t="s">
        <v>84</v>
      </c>
    </row>
    <row r="1378">
      <c r="A1378" s="183">
        <v>16857.0</v>
      </c>
      <c r="B1378" s="142" t="s">
        <v>1588</v>
      </c>
      <c r="C1378" s="168">
        <v>2016.0</v>
      </c>
      <c r="D1378" s="142" t="s">
        <v>52</v>
      </c>
      <c r="E1378" s="142" t="s">
        <v>235</v>
      </c>
      <c r="F1378" s="170" t="s">
        <v>1589</v>
      </c>
      <c r="G1378" s="171">
        <v>45952.0</v>
      </c>
      <c r="H1378" s="172">
        <f t="shared" si="2"/>
        <v>14</v>
      </c>
      <c r="I1378" s="169" t="s">
        <v>4788</v>
      </c>
      <c r="J1378" s="171">
        <v>45966.0</v>
      </c>
      <c r="K1378" s="169" t="s">
        <v>31</v>
      </c>
    </row>
    <row r="1379">
      <c r="A1379" s="181">
        <v>16876.0</v>
      </c>
      <c r="B1379" s="176" t="s">
        <v>1716</v>
      </c>
      <c r="C1379" s="174">
        <v>2019.0</v>
      </c>
      <c r="D1379" s="176" t="s">
        <v>130</v>
      </c>
      <c r="E1379" s="176" t="s">
        <v>95</v>
      </c>
      <c r="F1379" s="177" t="s">
        <v>1717</v>
      </c>
      <c r="G1379" s="178">
        <v>45957.0</v>
      </c>
      <c r="H1379" s="179">
        <f t="shared" si="2"/>
        <v>9</v>
      </c>
      <c r="I1379" s="175" t="s">
        <v>4789</v>
      </c>
      <c r="J1379" s="269">
        <v>45966.0</v>
      </c>
      <c r="K1379" s="175" t="s">
        <v>31</v>
      </c>
      <c r="L1379" s="242"/>
      <c r="M1379" s="242"/>
      <c r="N1379" s="242"/>
      <c r="O1379" s="242"/>
      <c r="P1379" s="242"/>
      <c r="Q1379" s="242"/>
      <c r="R1379" s="242"/>
      <c r="S1379" s="242"/>
      <c r="T1379" s="242"/>
      <c r="U1379" s="242"/>
      <c r="V1379" s="242"/>
      <c r="W1379" s="242"/>
      <c r="X1379" s="242"/>
      <c r="Y1379" s="242"/>
      <c r="Z1379" s="242"/>
      <c r="AA1379" s="242"/>
      <c r="AB1379" s="242"/>
      <c r="AC1379" s="242"/>
      <c r="AD1379" s="242"/>
      <c r="AE1379" s="242"/>
      <c r="AF1379" s="242"/>
      <c r="AG1379" s="242"/>
      <c r="AH1379" s="242"/>
      <c r="AI1379" s="242"/>
      <c r="AJ1379" s="242"/>
      <c r="AK1379" s="242"/>
      <c r="AL1379" s="242"/>
      <c r="AM1379" s="242"/>
      <c r="AN1379" s="242"/>
      <c r="AO1379" s="242"/>
    </row>
    <row r="1380">
      <c r="A1380" s="183">
        <v>16951.0</v>
      </c>
      <c r="B1380" s="142" t="s">
        <v>1500</v>
      </c>
      <c r="C1380" s="168">
        <v>2014.0</v>
      </c>
      <c r="D1380" s="142" t="s">
        <v>136</v>
      </c>
      <c r="E1380" s="142" t="s">
        <v>207</v>
      </c>
      <c r="F1380" s="170" t="s">
        <v>1501</v>
      </c>
      <c r="G1380" s="171">
        <v>45966.0</v>
      </c>
      <c r="H1380" s="172">
        <f t="shared" si="2"/>
        <v>0</v>
      </c>
      <c r="I1380" s="169" t="s">
        <v>3180</v>
      </c>
      <c r="J1380" s="268">
        <v>45966.0</v>
      </c>
      <c r="K1380" s="169" t="s">
        <v>31</v>
      </c>
      <c r="L1380" s="242"/>
      <c r="M1380" s="242"/>
      <c r="N1380" s="242"/>
      <c r="O1380" s="242"/>
      <c r="P1380" s="242"/>
      <c r="Q1380" s="242"/>
      <c r="R1380" s="242"/>
      <c r="S1380" s="242"/>
      <c r="T1380" s="242"/>
      <c r="U1380" s="242"/>
      <c r="V1380" s="242"/>
      <c r="W1380" s="242"/>
      <c r="X1380" s="242"/>
      <c r="Y1380" s="242"/>
      <c r="Z1380" s="242"/>
      <c r="AA1380" s="242"/>
      <c r="AB1380" s="242"/>
      <c r="AC1380" s="242"/>
      <c r="AD1380" s="242"/>
      <c r="AE1380" s="242"/>
      <c r="AF1380" s="242"/>
      <c r="AG1380" s="242"/>
      <c r="AH1380" s="242"/>
      <c r="AI1380" s="242"/>
      <c r="AJ1380" s="242"/>
      <c r="AK1380" s="242"/>
      <c r="AL1380" s="242"/>
      <c r="AM1380" s="242"/>
      <c r="AN1380" s="242"/>
      <c r="AO1380" s="242"/>
    </row>
    <row r="1381">
      <c r="A1381" s="181">
        <v>16954.0</v>
      </c>
      <c r="B1381" s="176" t="s">
        <v>3133</v>
      </c>
      <c r="C1381" s="174">
        <v>2014.0</v>
      </c>
      <c r="D1381" s="176" t="s">
        <v>130</v>
      </c>
      <c r="E1381" s="176" t="s">
        <v>2746</v>
      </c>
      <c r="F1381" s="177" t="s">
        <v>4095</v>
      </c>
      <c r="G1381" s="178">
        <v>45966.0</v>
      </c>
      <c r="H1381" s="179">
        <f t="shared" si="2"/>
        <v>1</v>
      </c>
      <c r="I1381" s="175" t="s">
        <v>4790</v>
      </c>
      <c r="J1381" s="178">
        <v>45967.0</v>
      </c>
      <c r="K1381" s="175" t="s">
        <v>2758</v>
      </c>
    </row>
    <row r="1382">
      <c r="A1382" s="183">
        <v>16953.0</v>
      </c>
      <c r="B1382" s="142" t="s">
        <v>3967</v>
      </c>
      <c r="C1382" s="168">
        <v>2022.0</v>
      </c>
      <c r="D1382" s="142" t="s">
        <v>14</v>
      </c>
      <c r="E1382" s="142" t="s">
        <v>2746</v>
      </c>
      <c r="F1382" s="170" t="s">
        <v>3969</v>
      </c>
      <c r="G1382" s="171">
        <v>45966.0</v>
      </c>
      <c r="H1382" s="172">
        <f t="shared" si="2"/>
        <v>1</v>
      </c>
      <c r="I1382" s="169" t="s">
        <v>4790</v>
      </c>
      <c r="J1382" s="171">
        <v>45967.0</v>
      </c>
      <c r="K1382" s="169" t="s">
        <v>2758</v>
      </c>
    </row>
    <row r="1383">
      <c r="A1383" s="181">
        <v>16893.0</v>
      </c>
      <c r="B1383" s="176" t="s">
        <v>4791</v>
      </c>
      <c r="C1383" s="174">
        <v>2015.0</v>
      </c>
      <c r="D1383" s="176" t="s">
        <v>197</v>
      </c>
      <c r="E1383" s="176" t="s">
        <v>1092</v>
      </c>
      <c r="F1383" s="177" t="s">
        <v>4792</v>
      </c>
      <c r="G1383" s="178">
        <v>45958.0</v>
      </c>
      <c r="H1383" s="179">
        <f t="shared" si="2"/>
        <v>9</v>
      </c>
      <c r="I1383" s="175" t="s">
        <v>4793</v>
      </c>
      <c r="J1383" s="178">
        <v>45967.0</v>
      </c>
      <c r="K1383" s="175" t="s">
        <v>31</v>
      </c>
    </row>
    <row r="1384">
      <c r="A1384" s="183">
        <v>16948.0</v>
      </c>
      <c r="B1384" s="142" t="s">
        <v>1206</v>
      </c>
      <c r="C1384" s="168">
        <v>2020.0</v>
      </c>
      <c r="D1384" s="142" t="s">
        <v>358</v>
      </c>
      <c r="E1384" s="142" t="s">
        <v>235</v>
      </c>
      <c r="F1384" s="170" t="s">
        <v>1207</v>
      </c>
      <c r="G1384" s="171">
        <v>45966.0</v>
      </c>
      <c r="H1384" s="172">
        <f t="shared" si="2"/>
        <v>1</v>
      </c>
      <c r="I1384" s="169" t="s">
        <v>3418</v>
      </c>
      <c r="J1384" s="171">
        <v>45967.0</v>
      </c>
      <c r="K1384" s="169" t="s">
        <v>31</v>
      </c>
    </row>
    <row r="1385">
      <c r="A1385" s="174" t="s">
        <v>4794</v>
      </c>
      <c r="B1385" s="175" t="s">
        <v>4795</v>
      </c>
      <c r="C1385" s="174">
        <v>2025.0</v>
      </c>
      <c r="D1385" s="176" t="s">
        <v>4796</v>
      </c>
      <c r="E1385" s="176" t="s">
        <v>47</v>
      </c>
      <c r="F1385" s="177" t="s">
        <v>4797</v>
      </c>
      <c r="G1385" s="178">
        <v>45954.0</v>
      </c>
      <c r="H1385" s="179">
        <f t="shared" si="2"/>
        <v>13</v>
      </c>
      <c r="I1385" s="180" t="s">
        <v>4798</v>
      </c>
      <c r="J1385" s="178">
        <v>45967.0</v>
      </c>
      <c r="K1385" s="175" t="s">
        <v>2758</v>
      </c>
    </row>
    <row r="1386">
      <c r="A1386" s="183">
        <v>16896.0</v>
      </c>
      <c r="B1386" s="142" t="s">
        <v>205</v>
      </c>
      <c r="C1386" s="168">
        <v>2015.0</v>
      </c>
      <c r="D1386" s="142" t="s">
        <v>206</v>
      </c>
      <c r="E1386" s="142" t="s">
        <v>207</v>
      </c>
      <c r="F1386" s="170" t="s">
        <v>208</v>
      </c>
      <c r="G1386" s="171">
        <v>45959.0</v>
      </c>
      <c r="H1386" s="172">
        <f t="shared" si="2"/>
        <v>9</v>
      </c>
      <c r="I1386" s="169" t="s">
        <v>4799</v>
      </c>
      <c r="J1386" s="171">
        <v>45968.0</v>
      </c>
      <c r="K1386" s="169" t="s">
        <v>2758</v>
      </c>
    </row>
    <row r="1387">
      <c r="A1387" s="181">
        <v>16728.0</v>
      </c>
      <c r="B1387" s="176" t="s">
        <v>3982</v>
      </c>
      <c r="C1387" s="174">
        <v>2011.0</v>
      </c>
      <c r="D1387" s="176" t="s">
        <v>367</v>
      </c>
      <c r="E1387" s="176" t="s">
        <v>725</v>
      </c>
      <c r="F1387" s="177" t="s">
        <v>3983</v>
      </c>
      <c r="G1387" s="178">
        <v>45933.0</v>
      </c>
      <c r="H1387" s="179">
        <f t="shared" si="2"/>
        <v>35</v>
      </c>
      <c r="I1387" s="174" t="s">
        <v>4800</v>
      </c>
      <c r="J1387" s="217">
        <v>45968.0</v>
      </c>
      <c r="K1387" s="174" t="s">
        <v>2627</v>
      </c>
      <c r="L1387" s="242"/>
      <c r="M1387" s="242"/>
      <c r="N1387" s="242"/>
      <c r="O1387" s="242"/>
      <c r="P1387" s="242"/>
      <c r="Q1387" s="242"/>
      <c r="R1387" s="242"/>
      <c r="S1387" s="242"/>
      <c r="T1387" s="242"/>
      <c r="U1387" s="242"/>
      <c r="V1387" s="242"/>
      <c r="W1387" s="242"/>
      <c r="X1387" s="242"/>
      <c r="Y1387" s="242"/>
      <c r="Z1387" s="242"/>
      <c r="AA1387" s="242"/>
      <c r="AB1387" s="242"/>
      <c r="AC1387" s="242"/>
      <c r="AD1387" s="242"/>
      <c r="AE1387" s="242"/>
      <c r="AF1387" s="242"/>
      <c r="AG1387" s="242"/>
      <c r="AH1387" s="242"/>
      <c r="AI1387" s="242"/>
      <c r="AJ1387" s="242"/>
      <c r="AK1387" s="242"/>
      <c r="AL1387" s="242"/>
      <c r="AM1387" s="242"/>
      <c r="AN1387" s="242"/>
      <c r="AO1387" s="242"/>
    </row>
    <row r="1388">
      <c r="A1388" s="183">
        <v>16952.0</v>
      </c>
      <c r="B1388" s="142" t="s">
        <v>3466</v>
      </c>
      <c r="C1388" s="168">
        <v>2020.0</v>
      </c>
      <c r="D1388" s="142" t="s">
        <v>358</v>
      </c>
      <c r="E1388" s="142" t="s">
        <v>792</v>
      </c>
      <c r="F1388" s="241">
        <v>46006.0</v>
      </c>
      <c r="G1388" s="171">
        <v>45966.0</v>
      </c>
      <c r="H1388" s="172">
        <f t="shared" si="2"/>
        <v>2</v>
      </c>
      <c r="I1388" s="169" t="s">
        <v>4801</v>
      </c>
      <c r="J1388" s="171">
        <v>45968.0</v>
      </c>
      <c r="K1388" s="169" t="s">
        <v>37</v>
      </c>
    </row>
    <row r="1389">
      <c r="A1389" s="181">
        <v>16869.0</v>
      </c>
      <c r="B1389" s="176" t="s">
        <v>1834</v>
      </c>
      <c r="C1389" s="174">
        <v>2019.0</v>
      </c>
      <c r="D1389" s="176" t="s">
        <v>14</v>
      </c>
      <c r="E1389" s="176" t="s">
        <v>28</v>
      </c>
      <c r="F1389" s="234">
        <v>45886.0</v>
      </c>
      <c r="G1389" s="178">
        <v>45953.0</v>
      </c>
      <c r="H1389" s="179">
        <f t="shared" si="2"/>
        <v>18</v>
      </c>
      <c r="I1389" s="175" t="s">
        <v>3252</v>
      </c>
      <c r="J1389" s="178">
        <v>45971.0</v>
      </c>
      <c r="K1389" s="175" t="s">
        <v>31</v>
      </c>
    </row>
    <row r="1390">
      <c r="A1390" s="183">
        <v>16905.0</v>
      </c>
      <c r="B1390" s="142" t="s">
        <v>1970</v>
      </c>
      <c r="C1390" s="168">
        <v>2017.0</v>
      </c>
      <c r="D1390" s="142" t="s">
        <v>14</v>
      </c>
      <c r="E1390" s="142" t="s">
        <v>277</v>
      </c>
      <c r="F1390" s="170" t="s">
        <v>1971</v>
      </c>
      <c r="G1390" s="171">
        <v>45959.0</v>
      </c>
      <c r="H1390" s="172">
        <f t="shared" si="2"/>
        <v>12</v>
      </c>
      <c r="I1390" s="169" t="s">
        <v>4802</v>
      </c>
      <c r="J1390" s="258">
        <v>45971.0</v>
      </c>
      <c r="K1390" s="169" t="s">
        <v>31</v>
      </c>
      <c r="L1390" s="242"/>
      <c r="M1390" s="242"/>
      <c r="N1390" s="242"/>
      <c r="O1390" s="242"/>
      <c r="P1390" s="242"/>
      <c r="Q1390" s="242"/>
      <c r="R1390" s="242"/>
      <c r="S1390" s="242"/>
      <c r="T1390" s="242"/>
      <c r="U1390" s="242"/>
      <c r="V1390" s="242"/>
      <c r="W1390" s="242"/>
      <c r="X1390" s="242"/>
      <c r="Y1390" s="242"/>
      <c r="Z1390" s="242"/>
      <c r="AA1390" s="242"/>
      <c r="AB1390" s="242"/>
      <c r="AC1390" s="242"/>
      <c r="AD1390" s="242"/>
      <c r="AE1390" s="242"/>
      <c r="AF1390" s="242"/>
      <c r="AG1390" s="242"/>
      <c r="AH1390" s="242"/>
      <c r="AI1390" s="242"/>
      <c r="AJ1390" s="242"/>
      <c r="AK1390" s="242"/>
      <c r="AL1390" s="242"/>
      <c r="AM1390" s="242"/>
      <c r="AN1390" s="242"/>
      <c r="AO1390" s="242"/>
    </row>
    <row r="1391">
      <c r="A1391" s="310">
        <v>16023.0</v>
      </c>
      <c r="B1391" s="174" t="s">
        <v>4219</v>
      </c>
      <c r="C1391" s="174">
        <v>2010.0</v>
      </c>
      <c r="D1391" s="176" t="s">
        <v>75</v>
      </c>
      <c r="E1391" s="176" t="s">
        <v>169</v>
      </c>
      <c r="F1391" s="177" t="s">
        <v>4220</v>
      </c>
      <c r="G1391" s="178">
        <v>45971.0</v>
      </c>
      <c r="H1391" s="179">
        <f t="shared" si="2"/>
        <v>0</v>
      </c>
      <c r="I1391" s="180" t="s">
        <v>4803</v>
      </c>
      <c r="J1391" s="178">
        <v>45971.0</v>
      </c>
      <c r="K1391" s="175" t="s">
        <v>2758</v>
      </c>
    </row>
    <row r="1392">
      <c r="A1392" s="183">
        <v>16900.0</v>
      </c>
      <c r="B1392" s="142" t="s">
        <v>3172</v>
      </c>
      <c r="C1392" s="168">
        <v>2017.0</v>
      </c>
      <c r="D1392" s="142" t="s">
        <v>14</v>
      </c>
      <c r="E1392" s="142" t="s">
        <v>2029</v>
      </c>
      <c r="F1392" s="170" t="s">
        <v>3173</v>
      </c>
      <c r="G1392" s="171">
        <v>45959.0</v>
      </c>
      <c r="H1392" s="172">
        <f t="shared" si="2"/>
        <v>12</v>
      </c>
      <c r="I1392" s="211" t="s">
        <v>4804</v>
      </c>
      <c r="J1392" s="171">
        <v>45971.0</v>
      </c>
      <c r="K1392" s="169" t="s">
        <v>31</v>
      </c>
    </row>
    <row r="1393">
      <c r="A1393" s="181">
        <v>16958.0</v>
      </c>
      <c r="B1393" s="176" t="s">
        <v>2458</v>
      </c>
      <c r="C1393" s="174">
        <v>2021.0</v>
      </c>
      <c r="D1393" s="176" t="s">
        <v>197</v>
      </c>
      <c r="E1393" s="176" t="s">
        <v>792</v>
      </c>
      <c r="F1393" s="177" t="s">
        <v>2459</v>
      </c>
      <c r="G1393" s="178">
        <v>45967.0</v>
      </c>
      <c r="H1393" s="179">
        <f t="shared" si="2"/>
        <v>4</v>
      </c>
      <c r="I1393" s="175" t="s">
        <v>4805</v>
      </c>
      <c r="J1393" s="270">
        <v>45971.0</v>
      </c>
      <c r="K1393" s="175" t="s">
        <v>1200</v>
      </c>
      <c r="L1393" s="242"/>
      <c r="M1393" s="242"/>
      <c r="N1393" s="242"/>
      <c r="O1393" s="242"/>
      <c r="P1393" s="242"/>
      <c r="Q1393" s="242"/>
      <c r="R1393" s="242"/>
      <c r="S1393" s="242"/>
      <c r="T1393" s="242"/>
      <c r="U1393" s="242"/>
      <c r="V1393" s="242"/>
      <c r="W1393" s="242"/>
      <c r="X1393" s="242"/>
      <c r="Y1393" s="242"/>
      <c r="Z1393" s="242"/>
      <c r="AA1393" s="242"/>
      <c r="AB1393" s="242"/>
      <c r="AC1393" s="242"/>
      <c r="AD1393" s="242"/>
      <c r="AE1393" s="242"/>
      <c r="AF1393" s="242"/>
      <c r="AG1393" s="242"/>
      <c r="AH1393" s="242"/>
      <c r="AI1393" s="242"/>
      <c r="AJ1393" s="242"/>
      <c r="AK1393" s="242"/>
      <c r="AL1393" s="242"/>
      <c r="AM1393" s="242"/>
      <c r="AN1393" s="242"/>
      <c r="AO1393" s="242"/>
    </row>
    <row r="1394">
      <c r="A1394" s="183">
        <v>16962.0</v>
      </c>
      <c r="B1394" s="142" t="s">
        <v>2923</v>
      </c>
      <c r="C1394" s="168">
        <v>2022.0</v>
      </c>
      <c r="D1394" s="142" t="s">
        <v>52</v>
      </c>
      <c r="E1394" s="142" t="s">
        <v>2362</v>
      </c>
      <c r="F1394" s="170" t="s">
        <v>2924</v>
      </c>
      <c r="G1394" s="171">
        <v>45968.0</v>
      </c>
      <c r="H1394" s="172">
        <f t="shared" si="2"/>
        <v>4</v>
      </c>
      <c r="I1394" s="169" t="s">
        <v>4806</v>
      </c>
      <c r="J1394" s="258">
        <v>45972.0</v>
      </c>
      <c r="K1394" s="169" t="s">
        <v>31</v>
      </c>
      <c r="L1394" s="242"/>
      <c r="M1394" s="242"/>
      <c r="N1394" s="242"/>
      <c r="O1394" s="242"/>
      <c r="P1394" s="242"/>
      <c r="Q1394" s="242"/>
      <c r="R1394" s="242"/>
      <c r="S1394" s="242"/>
      <c r="T1394" s="242"/>
      <c r="U1394" s="242"/>
      <c r="V1394" s="242"/>
      <c r="W1394" s="242"/>
      <c r="X1394" s="242"/>
      <c r="Y1394" s="242"/>
      <c r="Z1394" s="242"/>
      <c r="AA1394" s="242"/>
      <c r="AB1394" s="242"/>
      <c r="AC1394" s="242"/>
      <c r="AD1394" s="242"/>
      <c r="AE1394" s="242"/>
      <c r="AF1394" s="242"/>
      <c r="AG1394" s="242"/>
      <c r="AH1394" s="242"/>
      <c r="AI1394" s="242"/>
      <c r="AJ1394" s="242"/>
      <c r="AK1394" s="242"/>
      <c r="AL1394" s="242"/>
      <c r="AM1394" s="242"/>
      <c r="AN1394" s="242"/>
      <c r="AO1394" s="242"/>
    </row>
    <row r="1395">
      <c r="A1395" s="181" t="s">
        <v>4807</v>
      </c>
      <c r="B1395" s="176" t="s">
        <v>1186</v>
      </c>
      <c r="C1395" s="174">
        <v>2011.0</v>
      </c>
      <c r="D1395" s="176" t="s">
        <v>2647</v>
      </c>
      <c r="E1395" s="176" t="s">
        <v>70</v>
      </c>
      <c r="F1395" s="177" t="s">
        <v>1188</v>
      </c>
      <c r="G1395" s="178">
        <v>45972.0</v>
      </c>
      <c r="H1395" s="179">
        <f t="shared" si="2"/>
        <v>0</v>
      </c>
      <c r="I1395" s="175" t="s">
        <v>4808</v>
      </c>
      <c r="J1395" s="270">
        <v>45972.0</v>
      </c>
      <c r="K1395" s="175" t="s">
        <v>31</v>
      </c>
      <c r="L1395" s="242"/>
      <c r="M1395" s="242"/>
      <c r="N1395" s="242"/>
      <c r="O1395" s="242"/>
      <c r="P1395" s="242"/>
      <c r="Q1395" s="242"/>
      <c r="R1395" s="242"/>
      <c r="S1395" s="242"/>
      <c r="T1395" s="242"/>
      <c r="U1395" s="242"/>
      <c r="V1395" s="242"/>
      <c r="W1395" s="242"/>
      <c r="X1395" s="242"/>
      <c r="Y1395" s="242"/>
      <c r="Z1395" s="242"/>
      <c r="AA1395" s="242"/>
      <c r="AB1395" s="242"/>
      <c r="AC1395" s="242"/>
      <c r="AD1395" s="242"/>
      <c r="AE1395" s="242"/>
      <c r="AF1395" s="242"/>
      <c r="AG1395" s="242"/>
      <c r="AH1395" s="242"/>
      <c r="AI1395" s="242"/>
      <c r="AJ1395" s="242"/>
      <c r="AK1395" s="242"/>
      <c r="AL1395" s="242"/>
      <c r="AM1395" s="242"/>
      <c r="AN1395" s="242"/>
      <c r="AO1395" s="242"/>
    </row>
    <row r="1396">
      <c r="A1396" s="183">
        <v>16923.0</v>
      </c>
      <c r="B1396" s="142" t="s">
        <v>954</v>
      </c>
      <c r="C1396" s="168">
        <v>2015.0</v>
      </c>
      <c r="D1396" s="142" t="s">
        <v>52</v>
      </c>
      <c r="E1396" s="142" t="s">
        <v>4809</v>
      </c>
      <c r="F1396" s="170">
        <v>2.0</v>
      </c>
      <c r="G1396" s="171">
        <v>45964.0</v>
      </c>
      <c r="H1396" s="172">
        <f t="shared" si="2"/>
        <v>8</v>
      </c>
      <c r="I1396" s="169" t="s">
        <v>4810</v>
      </c>
      <c r="J1396" s="171">
        <v>45972.0</v>
      </c>
      <c r="K1396" s="169" t="s">
        <v>2758</v>
      </c>
    </row>
    <row r="1397">
      <c r="A1397" s="174" t="s">
        <v>4811</v>
      </c>
      <c r="B1397" s="176" t="s">
        <v>535</v>
      </c>
      <c r="C1397" s="174">
        <v>2019.0</v>
      </c>
      <c r="D1397" s="176" t="s">
        <v>105</v>
      </c>
      <c r="E1397" s="176" t="s">
        <v>99</v>
      </c>
      <c r="F1397" s="177" t="s">
        <v>537</v>
      </c>
      <c r="G1397" s="178">
        <v>45972.0</v>
      </c>
      <c r="H1397" s="179">
        <f t="shared" si="2"/>
        <v>1</v>
      </c>
      <c r="I1397" s="175" t="s">
        <v>4812</v>
      </c>
      <c r="J1397" s="178">
        <v>45973.0</v>
      </c>
      <c r="K1397" s="175" t="s">
        <v>2758</v>
      </c>
    </row>
    <row r="1398">
      <c r="A1398" s="168">
        <v>16972.0</v>
      </c>
      <c r="B1398" s="169" t="s">
        <v>829</v>
      </c>
      <c r="C1398" s="168">
        <v>2022.0</v>
      </c>
      <c r="D1398" s="142" t="s">
        <v>52</v>
      </c>
      <c r="E1398" s="142" t="s">
        <v>99</v>
      </c>
      <c r="F1398" s="170" t="s">
        <v>830</v>
      </c>
      <c r="G1398" s="171">
        <v>45974.0</v>
      </c>
      <c r="H1398" s="172">
        <f t="shared" si="2"/>
        <v>0</v>
      </c>
      <c r="I1398" s="173" t="s">
        <v>4813</v>
      </c>
      <c r="J1398" s="243">
        <v>45974.0</v>
      </c>
      <c r="K1398" s="169" t="s">
        <v>2758</v>
      </c>
    </row>
    <row r="1399">
      <c r="A1399" s="181">
        <v>16973.0</v>
      </c>
      <c r="B1399" s="175" t="s">
        <v>2583</v>
      </c>
      <c r="C1399" s="174">
        <v>2022.0</v>
      </c>
      <c r="D1399" s="176" t="s">
        <v>4814</v>
      </c>
      <c r="E1399" s="176" t="s">
        <v>82</v>
      </c>
      <c r="F1399" s="177" t="s">
        <v>2584</v>
      </c>
      <c r="G1399" s="178">
        <v>45974.0</v>
      </c>
      <c r="H1399" s="179">
        <f t="shared" si="2"/>
        <v>1</v>
      </c>
      <c r="I1399" s="180" t="s">
        <v>4815</v>
      </c>
      <c r="J1399" s="178">
        <v>45975.0</v>
      </c>
      <c r="K1399" s="175" t="s">
        <v>2758</v>
      </c>
    </row>
    <row r="1400">
      <c r="A1400" s="183">
        <v>16950.0</v>
      </c>
      <c r="B1400" s="142" t="s">
        <v>3445</v>
      </c>
      <c r="C1400" s="168">
        <v>2015.0</v>
      </c>
      <c r="D1400" s="142" t="s">
        <v>2872</v>
      </c>
      <c r="E1400" s="142" t="s">
        <v>82</v>
      </c>
      <c r="F1400" s="170" t="s">
        <v>3446</v>
      </c>
      <c r="G1400" s="171">
        <v>45966.0</v>
      </c>
      <c r="H1400" s="172">
        <f t="shared" si="2"/>
        <v>9</v>
      </c>
      <c r="I1400" s="169" t="s">
        <v>4816</v>
      </c>
      <c r="J1400" s="258">
        <v>45975.0</v>
      </c>
      <c r="K1400" s="169" t="s">
        <v>2758</v>
      </c>
      <c r="L1400" s="242"/>
      <c r="M1400" s="242"/>
      <c r="N1400" s="242"/>
      <c r="O1400" s="242"/>
      <c r="P1400" s="242"/>
      <c r="Q1400" s="242"/>
      <c r="R1400" s="242"/>
      <c r="S1400" s="242"/>
      <c r="T1400" s="242"/>
      <c r="U1400" s="242"/>
      <c r="V1400" s="242"/>
      <c r="W1400" s="242"/>
      <c r="X1400" s="242"/>
      <c r="Y1400" s="242"/>
      <c r="Z1400" s="242"/>
      <c r="AA1400" s="242"/>
      <c r="AB1400" s="242"/>
      <c r="AC1400" s="242"/>
      <c r="AD1400" s="242"/>
      <c r="AE1400" s="242"/>
      <c r="AF1400" s="242"/>
      <c r="AG1400" s="242"/>
      <c r="AH1400" s="242"/>
      <c r="AI1400" s="242"/>
      <c r="AJ1400" s="242"/>
      <c r="AK1400" s="242"/>
      <c r="AL1400" s="242"/>
      <c r="AM1400" s="242"/>
      <c r="AN1400" s="242"/>
      <c r="AO1400" s="242"/>
    </row>
    <row r="1401">
      <c r="A1401" s="181">
        <v>16824.0</v>
      </c>
      <c r="B1401" s="176" t="s">
        <v>2920</v>
      </c>
      <c r="C1401" s="174">
        <v>2015.0</v>
      </c>
      <c r="D1401" s="176" t="s">
        <v>14</v>
      </c>
      <c r="E1401" s="176" t="s">
        <v>169</v>
      </c>
      <c r="F1401" s="177" t="s">
        <v>2921</v>
      </c>
      <c r="G1401" s="178">
        <v>45947.0</v>
      </c>
      <c r="H1401" s="179">
        <f t="shared" si="2"/>
        <v>31</v>
      </c>
      <c r="I1401" s="175" t="s">
        <v>4817</v>
      </c>
      <c r="J1401" s="178">
        <v>45978.0</v>
      </c>
      <c r="K1401" s="175" t="s">
        <v>2758</v>
      </c>
    </row>
    <row r="1402">
      <c r="A1402" s="183">
        <v>16502.0</v>
      </c>
      <c r="B1402" s="142" t="s">
        <v>388</v>
      </c>
      <c r="C1402" s="168">
        <v>2010.0</v>
      </c>
      <c r="D1402" s="142" t="s">
        <v>367</v>
      </c>
      <c r="E1402" s="142" t="s">
        <v>805</v>
      </c>
      <c r="F1402" s="170" t="s">
        <v>389</v>
      </c>
      <c r="G1402" s="171">
        <v>45966.0</v>
      </c>
      <c r="H1402" s="172">
        <f t="shared" si="2"/>
        <v>12</v>
      </c>
      <c r="I1402" s="169" t="s">
        <v>4818</v>
      </c>
      <c r="J1402" s="171">
        <v>45978.0</v>
      </c>
      <c r="K1402" s="169" t="s">
        <v>2758</v>
      </c>
    </row>
    <row r="1403">
      <c r="A1403" s="174" t="s">
        <v>4819</v>
      </c>
      <c r="B1403" s="176" t="s">
        <v>3609</v>
      </c>
      <c r="C1403" s="174">
        <v>2018.0</v>
      </c>
      <c r="D1403" s="176" t="s">
        <v>14</v>
      </c>
      <c r="E1403" s="176" t="s">
        <v>173</v>
      </c>
      <c r="F1403" s="177" t="s">
        <v>3610</v>
      </c>
      <c r="G1403" s="178">
        <v>45972.0</v>
      </c>
      <c r="H1403" s="179">
        <f t="shared" si="2"/>
        <v>7</v>
      </c>
      <c r="I1403" s="175" t="s">
        <v>284</v>
      </c>
      <c r="J1403" s="178">
        <v>45979.0</v>
      </c>
      <c r="K1403" s="175" t="s">
        <v>2758</v>
      </c>
    </row>
    <row r="1404">
      <c r="A1404" s="168">
        <v>16988.0</v>
      </c>
      <c r="B1404" s="169" t="s">
        <v>4820</v>
      </c>
      <c r="C1404" s="168">
        <v>2022.0</v>
      </c>
      <c r="D1404" s="142" t="s">
        <v>52</v>
      </c>
      <c r="E1404" s="142" t="s">
        <v>82</v>
      </c>
      <c r="F1404" s="235" t="s">
        <v>3381</v>
      </c>
      <c r="G1404" s="171">
        <v>45979.0</v>
      </c>
      <c r="H1404" s="172">
        <f t="shared" si="2"/>
        <v>-7305</v>
      </c>
      <c r="I1404" s="173" t="s">
        <v>3811</v>
      </c>
      <c r="J1404" s="171">
        <v>38674.0</v>
      </c>
      <c r="K1404" s="169" t="s">
        <v>2758</v>
      </c>
    </row>
    <row r="1405">
      <c r="A1405" s="181">
        <v>16989.0</v>
      </c>
      <c r="B1405" s="175" t="s">
        <v>4821</v>
      </c>
      <c r="C1405" s="174">
        <v>2014.0</v>
      </c>
      <c r="D1405" s="176" t="s">
        <v>130</v>
      </c>
      <c r="E1405" s="176" t="s">
        <v>240</v>
      </c>
      <c r="F1405" s="177" t="s">
        <v>4822</v>
      </c>
      <c r="G1405" s="178">
        <v>45979.0</v>
      </c>
      <c r="H1405" s="179">
        <f t="shared" si="2"/>
        <v>0</v>
      </c>
      <c r="I1405" s="180" t="s">
        <v>4823</v>
      </c>
      <c r="J1405" s="178">
        <v>45979.0</v>
      </c>
      <c r="K1405" s="175" t="s">
        <v>2758</v>
      </c>
    </row>
    <row r="1406">
      <c r="A1406" s="183">
        <v>16967.0</v>
      </c>
      <c r="B1406" s="142" t="s">
        <v>759</v>
      </c>
      <c r="C1406" s="168">
        <v>2022.0</v>
      </c>
      <c r="D1406" s="142" t="s">
        <v>52</v>
      </c>
      <c r="E1406" s="142" t="s">
        <v>805</v>
      </c>
      <c r="F1406" s="170" t="s">
        <v>760</v>
      </c>
      <c r="G1406" s="171">
        <v>45971.0</v>
      </c>
      <c r="H1406" s="172">
        <f t="shared" si="2"/>
        <v>9</v>
      </c>
      <c r="I1406" s="169" t="s">
        <v>603</v>
      </c>
      <c r="J1406" s="258">
        <v>45980.0</v>
      </c>
      <c r="K1406" s="169" t="s">
        <v>2758</v>
      </c>
      <c r="L1406" s="242"/>
      <c r="M1406" s="242"/>
      <c r="N1406" s="242"/>
      <c r="O1406" s="242"/>
      <c r="P1406" s="242"/>
      <c r="Q1406" s="242"/>
      <c r="R1406" s="242"/>
      <c r="S1406" s="242"/>
      <c r="T1406" s="242"/>
      <c r="U1406" s="242"/>
      <c r="V1406" s="242"/>
      <c r="W1406" s="242"/>
      <c r="X1406" s="242"/>
      <c r="Y1406" s="242"/>
      <c r="Z1406" s="242"/>
      <c r="AA1406" s="242"/>
      <c r="AB1406" s="242"/>
      <c r="AC1406" s="242"/>
      <c r="AD1406" s="242"/>
      <c r="AE1406" s="242"/>
      <c r="AF1406" s="242"/>
      <c r="AG1406" s="242"/>
      <c r="AH1406" s="242"/>
      <c r="AI1406" s="242"/>
      <c r="AJ1406" s="242"/>
      <c r="AK1406" s="242"/>
      <c r="AL1406" s="242"/>
      <c r="AM1406" s="242"/>
      <c r="AN1406" s="242"/>
      <c r="AO1406" s="242"/>
    </row>
    <row r="1407">
      <c r="A1407" s="181">
        <v>16997.0</v>
      </c>
      <c r="B1407" s="175" t="s">
        <v>705</v>
      </c>
      <c r="C1407" s="174">
        <v>2022.0</v>
      </c>
      <c r="D1407" s="176" t="s">
        <v>52</v>
      </c>
      <c r="E1407" s="176" t="s">
        <v>169</v>
      </c>
      <c r="F1407" s="177" t="s">
        <v>706</v>
      </c>
      <c r="G1407" s="178">
        <v>45979.0</v>
      </c>
      <c r="H1407" s="179">
        <f t="shared" si="2"/>
        <v>1</v>
      </c>
      <c r="I1407" s="180" t="s">
        <v>133</v>
      </c>
      <c r="J1407" s="178">
        <v>45980.0</v>
      </c>
      <c r="K1407" s="175" t="s">
        <v>2758</v>
      </c>
    </row>
    <row r="1408">
      <c r="A1408" s="183">
        <v>17004.0</v>
      </c>
      <c r="B1408" s="169" t="s">
        <v>1622</v>
      </c>
      <c r="C1408" s="168">
        <v>2022.0</v>
      </c>
      <c r="D1408" s="142" t="s">
        <v>52</v>
      </c>
      <c r="E1408" s="142" t="s">
        <v>866</v>
      </c>
      <c r="F1408" s="170" t="s">
        <v>1623</v>
      </c>
      <c r="G1408" s="171">
        <v>45980.0</v>
      </c>
      <c r="H1408" s="172">
        <f t="shared" si="2"/>
        <v>0</v>
      </c>
      <c r="I1408" s="173" t="s">
        <v>707</v>
      </c>
      <c r="J1408" s="171">
        <v>45980.0</v>
      </c>
      <c r="K1408" s="169" t="s">
        <v>2758</v>
      </c>
    </row>
    <row r="1409">
      <c r="A1409" s="181">
        <v>16925.0</v>
      </c>
      <c r="B1409" s="176" t="s">
        <v>2807</v>
      </c>
      <c r="C1409" s="174">
        <v>2018.0</v>
      </c>
      <c r="D1409" s="176" t="s">
        <v>14</v>
      </c>
      <c r="E1409" s="176" t="s">
        <v>459</v>
      </c>
      <c r="F1409" s="177" t="s">
        <v>2808</v>
      </c>
      <c r="G1409" s="178">
        <v>45964.0</v>
      </c>
      <c r="H1409" s="179">
        <f t="shared" si="2"/>
        <v>16</v>
      </c>
      <c r="I1409" s="211" t="s">
        <v>4824</v>
      </c>
      <c r="J1409" s="178">
        <v>45980.0</v>
      </c>
      <c r="K1409" s="175" t="s">
        <v>2758</v>
      </c>
    </row>
    <row r="1410">
      <c r="A1410" s="183">
        <v>16653.0</v>
      </c>
      <c r="B1410" s="169" t="s">
        <v>2719</v>
      </c>
      <c r="C1410" s="168">
        <v>2018.0</v>
      </c>
      <c r="D1410" s="142" t="s">
        <v>2720</v>
      </c>
      <c r="E1410" s="142" t="s">
        <v>125</v>
      </c>
      <c r="F1410" s="170" t="s">
        <v>2721</v>
      </c>
      <c r="G1410" s="171">
        <v>45923.0</v>
      </c>
      <c r="H1410" s="172">
        <f t="shared" si="2"/>
        <v>57</v>
      </c>
      <c r="I1410" s="173" t="s">
        <v>1727</v>
      </c>
      <c r="J1410" s="171">
        <v>45980.0</v>
      </c>
      <c r="K1410" s="169" t="s">
        <v>2627</v>
      </c>
    </row>
    <row r="1411">
      <c r="A1411" s="181">
        <v>17001.0</v>
      </c>
      <c r="B1411" s="176" t="s">
        <v>2790</v>
      </c>
      <c r="C1411" s="174">
        <v>2014.0</v>
      </c>
      <c r="D1411" s="176" t="s">
        <v>136</v>
      </c>
      <c r="E1411" s="176" t="s">
        <v>169</v>
      </c>
      <c r="F1411" s="177" t="s">
        <v>2791</v>
      </c>
      <c r="G1411" s="178">
        <v>45980.0</v>
      </c>
      <c r="H1411" s="179">
        <f t="shared" si="2"/>
        <v>5</v>
      </c>
      <c r="I1411" s="175" t="s">
        <v>4825</v>
      </c>
      <c r="J1411" s="178">
        <v>45985.0</v>
      </c>
      <c r="K1411" s="175" t="s">
        <v>1200</v>
      </c>
    </row>
    <row r="1412">
      <c r="A1412" s="168">
        <v>17017.0</v>
      </c>
      <c r="B1412" s="169" t="s">
        <v>4023</v>
      </c>
      <c r="C1412" s="168">
        <v>2022.0</v>
      </c>
      <c r="D1412" s="169" t="s">
        <v>52</v>
      </c>
      <c r="E1412" s="169" t="s">
        <v>4826</v>
      </c>
      <c r="F1412" s="170" t="s">
        <v>1910</v>
      </c>
      <c r="G1412" s="326">
        <v>45985.0</v>
      </c>
      <c r="H1412" s="172">
        <f t="shared" si="2"/>
        <v>0</v>
      </c>
      <c r="I1412" s="169" t="s">
        <v>133</v>
      </c>
      <c r="J1412" s="258">
        <v>45985.0</v>
      </c>
      <c r="K1412" s="169" t="s">
        <v>2758</v>
      </c>
    </row>
    <row r="1413">
      <c r="A1413" s="174" t="s">
        <v>4827</v>
      </c>
      <c r="B1413" s="175" t="s">
        <v>111</v>
      </c>
      <c r="C1413" s="174">
        <v>2022.0</v>
      </c>
      <c r="D1413" s="176" t="s">
        <v>52</v>
      </c>
      <c r="E1413" s="176" t="s">
        <v>28</v>
      </c>
      <c r="F1413" s="177" t="s">
        <v>112</v>
      </c>
      <c r="G1413" s="178">
        <v>45986.0</v>
      </c>
      <c r="H1413" s="179">
        <f t="shared" si="2"/>
        <v>0</v>
      </c>
      <c r="I1413" s="180" t="s">
        <v>4828</v>
      </c>
      <c r="J1413" s="178">
        <v>45986.0</v>
      </c>
      <c r="K1413" s="175" t="s">
        <v>2758</v>
      </c>
    </row>
    <row r="1414">
      <c r="A1414" s="183">
        <v>17025.0</v>
      </c>
      <c r="B1414" s="169" t="s">
        <v>250</v>
      </c>
      <c r="C1414" s="168">
        <v>2015.0</v>
      </c>
      <c r="D1414" s="142" t="s">
        <v>130</v>
      </c>
      <c r="E1414" s="142" t="s">
        <v>319</v>
      </c>
      <c r="F1414" s="170" t="s">
        <v>252</v>
      </c>
      <c r="G1414" s="171">
        <v>45987.0</v>
      </c>
      <c r="H1414" s="172">
        <f t="shared" si="2"/>
        <v>0</v>
      </c>
      <c r="I1414" s="173" t="s">
        <v>4829</v>
      </c>
      <c r="J1414" s="171">
        <v>45987.0</v>
      </c>
      <c r="K1414" s="169" t="s">
        <v>2758</v>
      </c>
    </row>
    <row r="1415">
      <c r="A1415" s="181">
        <v>17033.0</v>
      </c>
      <c r="B1415" s="175" t="s">
        <v>3383</v>
      </c>
      <c r="C1415" s="174">
        <v>2022.0</v>
      </c>
      <c r="D1415" s="176" t="s">
        <v>52</v>
      </c>
      <c r="E1415" s="176" t="s">
        <v>82</v>
      </c>
      <c r="F1415" s="271" t="s">
        <v>3384</v>
      </c>
      <c r="G1415" s="178">
        <v>45988.0</v>
      </c>
      <c r="H1415" s="179">
        <f t="shared" si="2"/>
        <v>0</v>
      </c>
      <c r="I1415" s="180" t="s">
        <v>857</v>
      </c>
      <c r="J1415" s="178">
        <v>45988.0</v>
      </c>
      <c r="K1415" s="175" t="s">
        <v>2758</v>
      </c>
    </row>
    <row r="1416">
      <c r="A1416" s="183">
        <v>17035.0</v>
      </c>
      <c r="B1416" s="169" t="s">
        <v>1622</v>
      </c>
      <c r="C1416" s="168">
        <v>2022.0</v>
      </c>
      <c r="D1416" s="142" t="s">
        <v>52</v>
      </c>
      <c r="E1416" s="142" t="s">
        <v>866</v>
      </c>
      <c r="F1416" s="170" t="s">
        <v>1623</v>
      </c>
      <c r="G1416" s="171">
        <v>45988.0</v>
      </c>
      <c r="H1416" s="172">
        <f t="shared" si="2"/>
        <v>0</v>
      </c>
      <c r="I1416" s="173" t="s">
        <v>857</v>
      </c>
      <c r="J1416" s="171">
        <v>45988.0</v>
      </c>
      <c r="K1416" s="169" t="s">
        <v>2758</v>
      </c>
    </row>
    <row r="1417">
      <c r="A1417" s="181">
        <v>17032.0</v>
      </c>
      <c r="B1417" s="175" t="s">
        <v>4830</v>
      </c>
      <c r="C1417" s="174">
        <v>2022.0</v>
      </c>
      <c r="D1417" s="176" t="s">
        <v>52</v>
      </c>
      <c r="E1417" s="176" t="s">
        <v>855</v>
      </c>
      <c r="F1417" s="177" t="s">
        <v>856</v>
      </c>
      <c r="G1417" s="178">
        <v>45988.0</v>
      </c>
      <c r="H1417" s="179">
        <f t="shared" si="2"/>
        <v>0</v>
      </c>
      <c r="I1417" s="180" t="s">
        <v>857</v>
      </c>
      <c r="J1417" s="178">
        <v>45988.0</v>
      </c>
      <c r="K1417" s="175" t="s">
        <v>2758</v>
      </c>
    </row>
    <row r="1418">
      <c r="A1418" s="183">
        <v>17036.0</v>
      </c>
      <c r="B1418" s="169" t="s">
        <v>4831</v>
      </c>
      <c r="C1418" s="168">
        <v>2014.0</v>
      </c>
      <c r="D1418" s="142" t="s">
        <v>130</v>
      </c>
      <c r="E1418" s="142" t="s">
        <v>183</v>
      </c>
      <c r="F1418" s="170" t="s">
        <v>4832</v>
      </c>
      <c r="G1418" s="171">
        <v>45988.0</v>
      </c>
      <c r="H1418" s="172">
        <f t="shared" si="2"/>
        <v>0</v>
      </c>
      <c r="I1418" s="173" t="s">
        <v>4833</v>
      </c>
      <c r="J1418" s="171">
        <v>45988.0</v>
      </c>
      <c r="K1418" s="169" t="s">
        <v>2758</v>
      </c>
    </row>
    <row r="1419">
      <c r="A1419" s="181">
        <v>16898.0</v>
      </c>
      <c r="B1419" s="176" t="s">
        <v>2553</v>
      </c>
      <c r="C1419" s="174">
        <v>2018.0</v>
      </c>
      <c r="D1419" s="176" t="s">
        <v>14</v>
      </c>
      <c r="E1419" s="176" t="s">
        <v>277</v>
      </c>
      <c r="F1419" s="177" t="s">
        <v>2554</v>
      </c>
      <c r="G1419" s="178">
        <v>45972.0</v>
      </c>
      <c r="H1419" s="179">
        <f t="shared" si="2"/>
        <v>17</v>
      </c>
      <c r="I1419" s="182" t="s">
        <v>4834</v>
      </c>
      <c r="J1419" s="270">
        <v>45989.0</v>
      </c>
      <c r="K1419" s="175" t="s">
        <v>2758</v>
      </c>
      <c r="L1419" s="242"/>
      <c r="M1419" s="242"/>
      <c r="N1419" s="242"/>
      <c r="O1419" s="242"/>
      <c r="P1419" s="242"/>
      <c r="Q1419" s="242"/>
      <c r="R1419" s="242"/>
      <c r="S1419" s="242"/>
      <c r="T1419" s="242"/>
      <c r="U1419" s="242"/>
      <c r="V1419" s="242"/>
      <c r="W1419" s="242"/>
      <c r="X1419" s="242"/>
      <c r="Y1419" s="242"/>
      <c r="Z1419" s="242"/>
      <c r="AA1419" s="242"/>
      <c r="AB1419" s="242"/>
      <c r="AC1419" s="242"/>
      <c r="AD1419" s="242"/>
      <c r="AE1419" s="242"/>
      <c r="AF1419" s="242"/>
      <c r="AG1419" s="242"/>
      <c r="AH1419" s="242"/>
      <c r="AI1419" s="242"/>
      <c r="AJ1419" s="242"/>
      <c r="AK1419" s="242"/>
      <c r="AL1419" s="242"/>
      <c r="AM1419" s="242"/>
      <c r="AN1419" s="242"/>
      <c r="AO1419" s="242"/>
    </row>
    <row r="1420">
      <c r="A1420" s="183">
        <v>17005.0</v>
      </c>
      <c r="B1420" s="169" t="s">
        <v>3485</v>
      </c>
      <c r="C1420" s="168">
        <v>2018.0</v>
      </c>
      <c r="D1420" s="142" t="s">
        <v>14</v>
      </c>
      <c r="E1420" s="142" t="s">
        <v>3607</v>
      </c>
      <c r="F1420" s="170" t="s">
        <v>221</v>
      </c>
      <c r="G1420" s="171">
        <v>45980.0</v>
      </c>
      <c r="H1420" s="172">
        <f t="shared" si="2"/>
        <v>12</v>
      </c>
      <c r="I1420" s="173" t="s">
        <v>4835</v>
      </c>
      <c r="J1420" s="171">
        <v>45992.0</v>
      </c>
      <c r="K1420" s="169" t="s">
        <v>37</v>
      </c>
    </row>
    <row r="1421">
      <c r="A1421" s="181">
        <v>17047.0</v>
      </c>
      <c r="B1421" s="175" t="s">
        <v>2048</v>
      </c>
      <c r="C1421" s="174">
        <v>2022.0</v>
      </c>
      <c r="D1421" s="176" t="s">
        <v>52</v>
      </c>
      <c r="E1421" s="176" t="s">
        <v>125</v>
      </c>
      <c r="F1421" s="177" t="s">
        <v>2049</v>
      </c>
      <c r="G1421" s="178">
        <v>45992.0</v>
      </c>
      <c r="H1421" s="179">
        <f t="shared" si="2"/>
        <v>0</v>
      </c>
      <c r="I1421" s="180" t="s">
        <v>4003</v>
      </c>
      <c r="J1421" s="217">
        <v>45992.0</v>
      </c>
      <c r="K1421" s="175" t="s">
        <v>2758</v>
      </c>
    </row>
    <row r="1422">
      <c r="A1422" s="183">
        <v>17052.0</v>
      </c>
      <c r="B1422" s="169" t="s">
        <v>1079</v>
      </c>
      <c r="C1422" s="168">
        <v>2012.0</v>
      </c>
      <c r="D1422" s="142" t="s">
        <v>324</v>
      </c>
      <c r="E1422" s="142" t="s">
        <v>277</v>
      </c>
      <c r="F1422" s="170" t="s">
        <v>1081</v>
      </c>
      <c r="G1422" s="171">
        <v>45993.0</v>
      </c>
      <c r="H1422" s="172">
        <f t="shared" si="2"/>
        <v>0</v>
      </c>
      <c r="I1422" s="173" t="s">
        <v>4836</v>
      </c>
      <c r="J1422" s="171">
        <v>45993.0</v>
      </c>
      <c r="K1422" s="169" t="s">
        <v>2758</v>
      </c>
    </row>
    <row r="1423">
      <c r="A1423" s="181">
        <v>17057.0</v>
      </c>
      <c r="B1423" s="175" t="s">
        <v>4837</v>
      </c>
      <c r="C1423" s="174">
        <v>2022.0</v>
      </c>
      <c r="D1423" s="176" t="s">
        <v>590</v>
      </c>
      <c r="E1423" s="176" t="s">
        <v>82</v>
      </c>
      <c r="F1423" s="271" t="s">
        <v>4838</v>
      </c>
      <c r="G1423" s="178">
        <v>45994.0</v>
      </c>
      <c r="H1423" s="179">
        <f t="shared" si="2"/>
        <v>0</v>
      </c>
      <c r="I1423" s="180" t="s">
        <v>4839</v>
      </c>
      <c r="J1423" s="178">
        <v>45994.0</v>
      </c>
      <c r="K1423" s="175" t="s">
        <v>2758</v>
      </c>
    </row>
    <row r="1424">
      <c r="A1424" s="183">
        <v>17059.0</v>
      </c>
      <c r="B1424" s="169" t="s">
        <v>609</v>
      </c>
      <c r="C1424" s="168">
        <v>2022.0</v>
      </c>
      <c r="D1424" s="142" t="s">
        <v>52</v>
      </c>
      <c r="E1424" s="142" t="s">
        <v>610</v>
      </c>
      <c r="F1424" s="170" t="s">
        <v>611</v>
      </c>
      <c r="G1424" s="171">
        <v>45994.0</v>
      </c>
      <c r="H1424" s="172">
        <f t="shared" si="2"/>
        <v>0</v>
      </c>
      <c r="I1424" s="173" t="s">
        <v>857</v>
      </c>
      <c r="J1424" s="171">
        <v>45994.0</v>
      </c>
      <c r="K1424" s="169" t="s">
        <v>2758</v>
      </c>
    </row>
    <row r="1425">
      <c r="A1425" s="174">
        <v>17055.0</v>
      </c>
      <c r="B1425" s="175" t="s">
        <v>4417</v>
      </c>
      <c r="C1425" s="174">
        <v>2022.0</v>
      </c>
      <c r="D1425" s="176" t="s">
        <v>4840</v>
      </c>
      <c r="E1425" s="176" t="s">
        <v>82</v>
      </c>
      <c r="F1425" s="177" t="s">
        <v>342</v>
      </c>
      <c r="G1425" s="178">
        <v>45994.0</v>
      </c>
      <c r="H1425" s="179">
        <f t="shared" si="2"/>
        <v>0</v>
      </c>
      <c r="I1425" s="180" t="s">
        <v>4841</v>
      </c>
      <c r="J1425" s="178">
        <v>45994.0</v>
      </c>
      <c r="K1425" s="175" t="s">
        <v>84</v>
      </c>
    </row>
    <row r="1426">
      <c r="A1426" s="183">
        <v>17063.0</v>
      </c>
      <c r="B1426" s="169" t="s">
        <v>2620</v>
      </c>
      <c r="C1426" s="168">
        <v>2022.0</v>
      </c>
      <c r="D1426" s="142" t="s">
        <v>52</v>
      </c>
      <c r="E1426" s="142" t="s">
        <v>235</v>
      </c>
      <c r="F1426" s="170" t="s">
        <v>2621</v>
      </c>
      <c r="G1426" s="171">
        <v>45994.0</v>
      </c>
      <c r="H1426" s="172">
        <f t="shared" si="2"/>
        <v>0</v>
      </c>
      <c r="I1426" s="173" t="s">
        <v>4842</v>
      </c>
      <c r="J1426" s="171">
        <v>45994.0</v>
      </c>
      <c r="K1426" s="169" t="s">
        <v>2758</v>
      </c>
    </row>
    <row r="1427">
      <c r="A1427" s="174" t="s">
        <v>4843</v>
      </c>
      <c r="B1427" s="176" t="s">
        <v>129</v>
      </c>
      <c r="C1427" s="174">
        <v>2014.0</v>
      </c>
      <c r="D1427" s="176" t="s">
        <v>130</v>
      </c>
      <c r="E1427" s="176" t="s">
        <v>350</v>
      </c>
      <c r="F1427" s="177" t="s">
        <v>1481</v>
      </c>
      <c r="G1427" s="178">
        <v>45972.0</v>
      </c>
      <c r="H1427" s="179">
        <f t="shared" si="2"/>
        <v>23</v>
      </c>
      <c r="I1427" s="175" t="s">
        <v>4844</v>
      </c>
      <c r="J1427" s="178">
        <v>45995.0</v>
      </c>
      <c r="K1427" s="175" t="s">
        <v>2758</v>
      </c>
    </row>
    <row r="1428">
      <c r="A1428" s="183">
        <v>17046.0</v>
      </c>
      <c r="B1428" s="142" t="s">
        <v>883</v>
      </c>
      <c r="C1428" s="168">
        <v>2014.0</v>
      </c>
      <c r="D1428" s="142" t="s">
        <v>130</v>
      </c>
      <c r="E1428" s="142" t="s">
        <v>805</v>
      </c>
      <c r="F1428" s="170" t="s">
        <v>885</v>
      </c>
      <c r="G1428" s="171">
        <v>45989.0</v>
      </c>
      <c r="H1428" s="172">
        <f t="shared" si="2"/>
        <v>6</v>
      </c>
      <c r="I1428" s="169" t="s">
        <v>4845</v>
      </c>
      <c r="J1428" s="171">
        <v>45995.0</v>
      </c>
      <c r="K1428" s="169" t="s">
        <v>2758</v>
      </c>
    </row>
    <row r="1429">
      <c r="A1429" s="181">
        <v>16785.0</v>
      </c>
      <c r="B1429" s="175" t="s">
        <v>2079</v>
      </c>
      <c r="C1429" s="174">
        <v>2022.0</v>
      </c>
      <c r="D1429" s="176" t="s">
        <v>52</v>
      </c>
      <c r="E1429" s="176" t="s">
        <v>805</v>
      </c>
      <c r="F1429" s="177" t="s">
        <v>2081</v>
      </c>
      <c r="G1429" s="178">
        <v>45995.0</v>
      </c>
      <c r="H1429" s="179">
        <f t="shared" si="2"/>
        <v>0</v>
      </c>
      <c r="I1429" s="180" t="s">
        <v>4846</v>
      </c>
      <c r="J1429" s="178">
        <v>45995.0</v>
      </c>
      <c r="K1429" s="175" t="s">
        <v>2758</v>
      </c>
    </row>
    <row r="1430">
      <c r="A1430" s="183">
        <v>17056.0</v>
      </c>
      <c r="B1430" s="142" t="s">
        <v>4847</v>
      </c>
      <c r="C1430" s="168">
        <v>2014.0</v>
      </c>
      <c r="D1430" s="142" t="s">
        <v>130</v>
      </c>
      <c r="E1430" s="142" t="s">
        <v>4848</v>
      </c>
      <c r="F1430" s="170" t="s">
        <v>4849</v>
      </c>
      <c r="G1430" s="171">
        <v>45994.0</v>
      </c>
      <c r="H1430" s="172">
        <f t="shared" si="2"/>
        <v>1</v>
      </c>
      <c r="I1430" s="169" t="s">
        <v>4850</v>
      </c>
      <c r="J1430" s="171">
        <v>45995.0</v>
      </c>
      <c r="K1430" s="169" t="s">
        <v>2758</v>
      </c>
    </row>
    <row r="1431">
      <c r="A1431" s="181">
        <v>17054.0</v>
      </c>
      <c r="B1431" s="175" t="s">
        <v>1005</v>
      </c>
      <c r="C1431" s="174">
        <v>2022.0</v>
      </c>
      <c r="D1431" s="176" t="s">
        <v>52</v>
      </c>
      <c r="E1431" s="176" t="s">
        <v>207</v>
      </c>
      <c r="F1431" s="177" t="s">
        <v>1006</v>
      </c>
      <c r="G1431" s="178">
        <v>45993.0</v>
      </c>
      <c r="H1431" s="179">
        <f t="shared" si="2"/>
        <v>2</v>
      </c>
      <c r="I1431" s="180" t="s">
        <v>4851</v>
      </c>
      <c r="J1431" s="178">
        <v>45995.0</v>
      </c>
      <c r="K1431" s="175" t="s">
        <v>2758</v>
      </c>
    </row>
    <row r="1432">
      <c r="A1432" s="183">
        <v>17079.0</v>
      </c>
      <c r="B1432" s="169" t="s">
        <v>341</v>
      </c>
      <c r="C1432" s="168">
        <v>2022.0</v>
      </c>
      <c r="D1432" s="142" t="s">
        <v>52</v>
      </c>
      <c r="E1432" s="142" t="s">
        <v>82</v>
      </c>
      <c r="F1432" s="170" t="s">
        <v>342</v>
      </c>
      <c r="G1432" s="171">
        <v>45996.0</v>
      </c>
      <c r="H1432" s="172">
        <f t="shared" si="2"/>
        <v>0</v>
      </c>
      <c r="I1432" s="173" t="s">
        <v>4852</v>
      </c>
      <c r="J1432" s="171">
        <v>45996.0</v>
      </c>
      <c r="K1432" s="169" t="s">
        <v>2758</v>
      </c>
    </row>
    <row r="1433">
      <c r="A1433" s="181">
        <v>17083.0</v>
      </c>
      <c r="B1433" s="175" t="s">
        <v>192</v>
      </c>
      <c r="C1433" s="174">
        <v>2015.0</v>
      </c>
      <c r="D1433" s="176" t="s">
        <v>130</v>
      </c>
      <c r="E1433" s="176" t="s">
        <v>240</v>
      </c>
      <c r="F1433" s="177" t="s">
        <v>193</v>
      </c>
      <c r="G1433" s="178">
        <v>45996.0</v>
      </c>
      <c r="H1433" s="179">
        <f t="shared" si="2"/>
        <v>0</v>
      </c>
      <c r="I1433" s="180" t="s">
        <v>4853</v>
      </c>
      <c r="J1433" s="178">
        <v>45996.0</v>
      </c>
      <c r="K1433" s="175" t="s">
        <v>2758</v>
      </c>
    </row>
    <row r="1434">
      <c r="A1434" s="183">
        <v>17081.0</v>
      </c>
      <c r="B1434" s="169" t="s">
        <v>3133</v>
      </c>
      <c r="C1434" s="168">
        <v>2015.0</v>
      </c>
      <c r="D1434" s="142" t="s">
        <v>130</v>
      </c>
      <c r="E1434" s="142" t="s">
        <v>2746</v>
      </c>
      <c r="F1434" s="170" t="s">
        <v>4095</v>
      </c>
      <c r="G1434" s="171">
        <v>45996.0</v>
      </c>
      <c r="H1434" s="172">
        <f t="shared" si="2"/>
        <v>0</v>
      </c>
      <c r="I1434" s="173" t="s">
        <v>4854</v>
      </c>
      <c r="J1434" s="171">
        <v>45996.0</v>
      </c>
      <c r="K1434" s="169" t="s">
        <v>2758</v>
      </c>
    </row>
    <row r="1435">
      <c r="A1435" s="181">
        <v>17054.0</v>
      </c>
      <c r="B1435" s="175" t="s">
        <v>1005</v>
      </c>
      <c r="C1435" s="174">
        <v>2022.0</v>
      </c>
      <c r="D1435" s="176" t="s">
        <v>52</v>
      </c>
      <c r="E1435" s="176" t="s">
        <v>207</v>
      </c>
      <c r="F1435" s="177" t="s">
        <v>1006</v>
      </c>
      <c r="G1435" s="178">
        <v>45993.0</v>
      </c>
      <c r="H1435" s="179">
        <f t="shared" si="2"/>
        <v>6</v>
      </c>
      <c r="I1435" s="180" t="s">
        <v>4851</v>
      </c>
      <c r="J1435" s="178">
        <v>45999.0</v>
      </c>
      <c r="K1435" s="175" t="s">
        <v>2758</v>
      </c>
    </row>
    <row r="1436">
      <c r="A1436" s="183">
        <v>17078.0</v>
      </c>
      <c r="B1436" s="142" t="s">
        <v>759</v>
      </c>
      <c r="C1436" s="168">
        <v>2022.0</v>
      </c>
      <c r="D1436" s="142" t="s">
        <v>52</v>
      </c>
      <c r="E1436" s="142" t="s">
        <v>2672</v>
      </c>
      <c r="F1436" s="170" t="s">
        <v>760</v>
      </c>
      <c r="G1436" s="171">
        <v>45996.0</v>
      </c>
      <c r="H1436" s="172">
        <f t="shared" si="2"/>
        <v>3</v>
      </c>
      <c r="I1436" s="169" t="s">
        <v>668</v>
      </c>
      <c r="J1436" s="171">
        <v>45999.0</v>
      </c>
      <c r="K1436" s="169" t="s">
        <v>2758</v>
      </c>
    </row>
    <row r="1437">
      <c r="A1437" s="181">
        <v>17070.0</v>
      </c>
      <c r="B1437" s="176" t="s">
        <v>1049</v>
      </c>
      <c r="C1437" s="174">
        <v>2022.0</v>
      </c>
      <c r="D1437" s="176" t="s">
        <v>52</v>
      </c>
      <c r="E1437" s="176" t="s">
        <v>912</v>
      </c>
      <c r="F1437" s="177" t="s">
        <v>1050</v>
      </c>
      <c r="G1437" s="178">
        <v>45995.0</v>
      </c>
      <c r="H1437" s="179">
        <f t="shared" si="2"/>
        <v>4</v>
      </c>
      <c r="I1437" s="175" t="s">
        <v>4855</v>
      </c>
      <c r="J1437" s="178">
        <v>45999.0</v>
      </c>
      <c r="K1437" s="175" t="s">
        <v>2758</v>
      </c>
    </row>
    <row r="1438">
      <c r="A1438" s="183">
        <v>17038.0</v>
      </c>
      <c r="B1438" s="142" t="s">
        <v>244</v>
      </c>
      <c r="C1438" s="168">
        <v>2022.0</v>
      </c>
      <c r="D1438" s="142" t="s">
        <v>14</v>
      </c>
      <c r="E1438" s="142" t="s">
        <v>28</v>
      </c>
      <c r="F1438" s="170" t="s">
        <v>246</v>
      </c>
      <c r="G1438" s="171">
        <v>45988.0</v>
      </c>
      <c r="H1438" s="172">
        <f t="shared" si="2"/>
        <v>12</v>
      </c>
      <c r="I1438" s="169" t="s">
        <v>4856</v>
      </c>
      <c r="J1438" s="171">
        <v>46000.0</v>
      </c>
      <c r="K1438" s="169" t="s">
        <v>2758</v>
      </c>
    </row>
    <row r="1439">
      <c r="A1439" s="181">
        <v>17092.0</v>
      </c>
      <c r="B1439" s="175" t="s">
        <v>494</v>
      </c>
      <c r="C1439" s="174">
        <v>2022.0</v>
      </c>
      <c r="D1439" s="176" t="s">
        <v>52</v>
      </c>
      <c r="E1439" s="176" t="s">
        <v>582</v>
      </c>
      <c r="F1439" s="234">
        <v>45931.0</v>
      </c>
      <c r="G1439" s="178">
        <v>46000.0</v>
      </c>
      <c r="H1439" s="179">
        <f t="shared" si="2"/>
        <v>0</v>
      </c>
      <c r="I1439" s="180" t="s">
        <v>4857</v>
      </c>
      <c r="J1439" s="178">
        <v>46000.0</v>
      </c>
      <c r="K1439" s="175" t="s">
        <v>2758</v>
      </c>
    </row>
    <row r="1440">
      <c r="A1440" s="183">
        <v>17101.0</v>
      </c>
      <c r="B1440" s="169" t="s">
        <v>4858</v>
      </c>
      <c r="C1440" s="168">
        <v>2018.0</v>
      </c>
      <c r="D1440" s="142" t="s">
        <v>52</v>
      </c>
      <c r="E1440" s="142" t="s">
        <v>3353</v>
      </c>
      <c r="F1440" s="170" t="s">
        <v>4859</v>
      </c>
      <c r="G1440" s="171">
        <v>46000.0</v>
      </c>
      <c r="H1440" s="172">
        <f t="shared" si="2"/>
        <v>0</v>
      </c>
      <c r="I1440" s="173" t="s">
        <v>4860</v>
      </c>
      <c r="J1440" s="171">
        <v>46000.0</v>
      </c>
      <c r="K1440" s="169" t="s">
        <v>2758</v>
      </c>
    </row>
    <row r="1441">
      <c r="A1441" s="181">
        <v>17098.0</v>
      </c>
      <c r="B1441" s="175" t="s">
        <v>1017</v>
      </c>
      <c r="C1441" s="174">
        <v>2015.0</v>
      </c>
      <c r="D1441" s="176" t="s">
        <v>52</v>
      </c>
      <c r="E1441" s="176" t="s">
        <v>160</v>
      </c>
      <c r="F1441" s="177" t="s">
        <v>1033</v>
      </c>
      <c r="G1441" s="178">
        <v>46000.0</v>
      </c>
      <c r="H1441" s="179">
        <f t="shared" si="2"/>
        <v>0</v>
      </c>
      <c r="I1441" s="180" t="s">
        <v>4861</v>
      </c>
      <c r="J1441" s="178">
        <v>46000.0</v>
      </c>
      <c r="K1441" s="175" t="s">
        <v>2758</v>
      </c>
    </row>
    <row r="1442">
      <c r="A1442" s="183">
        <v>17112.0</v>
      </c>
      <c r="B1442" s="169" t="s">
        <v>3616</v>
      </c>
      <c r="C1442" s="168">
        <v>2022.0</v>
      </c>
      <c r="D1442" s="142" t="s">
        <v>52</v>
      </c>
      <c r="E1442" s="142" t="s">
        <v>28</v>
      </c>
      <c r="F1442" s="170" t="s">
        <v>112</v>
      </c>
      <c r="G1442" s="171">
        <v>46002.0</v>
      </c>
      <c r="H1442" s="172">
        <f t="shared" si="2"/>
        <v>0</v>
      </c>
      <c r="I1442" s="173" t="s">
        <v>4862</v>
      </c>
      <c r="J1442" s="171">
        <v>46002.0</v>
      </c>
      <c r="K1442" s="169" t="s">
        <v>84</v>
      </c>
    </row>
    <row r="1443">
      <c r="A1443" s="181">
        <v>17104.0</v>
      </c>
      <c r="B1443" s="176" t="s">
        <v>3082</v>
      </c>
      <c r="C1443" s="174">
        <v>2022.0</v>
      </c>
      <c r="D1443" s="176" t="s">
        <v>52</v>
      </c>
      <c r="E1443" s="176" t="s">
        <v>125</v>
      </c>
      <c r="F1443" s="177" t="s">
        <v>3083</v>
      </c>
      <c r="G1443" s="178">
        <v>46000.0</v>
      </c>
      <c r="H1443" s="179">
        <f t="shared" si="2"/>
        <v>2</v>
      </c>
      <c r="I1443" s="175" t="s">
        <v>4863</v>
      </c>
      <c r="J1443" s="270">
        <v>46002.0</v>
      </c>
      <c r="K1443" s="175" t="s">
        <v>37</v>
      </c>
      <c r="L1443" s="242"/>
      <c r="M1443" s="242"/>
      <c r="N1443" s="242"/>
      <c r="O1443" s="242"/>
      <c r="P1443" s="242"/>
      <c r="Q1443" s="242"/>
      <c r="R1443" s="242"/>
      <c r="S1443" s="242"/>
      <c r="T1443" s="242"/>
      <c r="U1443" s="242"/>
      <c r="V1443" s="242"/>
      <c r="W1443" s="242"/>
      <c r="X1443" s="242"/>
      <c r="Y1443" s="242"/>
      <c r="Z1443" s="242"/>
      <c r="AA1443" s="242"/>
      <c r="AB1443" s="242"/>
      <c r="AC1443" s="242"/>
      <c r="AD1443" s="242"/>
      <c r="AE1443" s="242"/>
      <c r="AF1443" s="242"/>
      <c r="AG1443" s="242"/>
      <c r="AH1443" s="309"/>
      <c r="AI1443" s="242"/>
      <c r="AJ1443" s="242"/>
      <c r="AK1443" s="242"/>
      <c r="AL1443" s="242"/>
      <c r="AM1443" s="242"/>
      <c r="AN1443" s="242"/>
      <c r="AO1443" s="242"/>
    </row>
    <row r="1444">
      <c r="A1444" s="183">
        <v>17116.0</v>
      </c>
      <c r="B1444" s="169" t="s">
        <v>2424</v>
      </c>
      <c r="C1444" s="168">
        <v>2022.0</v>
      </c>
      <c r="D1444" s="142" t="s">
        <v>52</v>
      </c>
      <c r="E1444" s="142" t="s">
        <v>459</v>
      </c>
      <c r="F1444" s="170" t="s">
        <v>3625</v>
      </c>
      <c r="G1444" s="171">
        <v>46003.0</v>
      </c>
      <c r="H1444" s="172">
        <f t="shared" si="2"/>
        <v>0</v>
      </c>
      <c r="I1444" s="173" t="s">
        <v>1200</v>
      </c>
      <c r="J1444" s="171">
        <v>46003.0</v>
      </c>
      <c r="K1444" s="169" t="s">
        <v>1200</v>
      </c>
    </row>
    <row r="1445">
      <c r="A1445" s="181">
        <v>17114.0</v>
      </c>
      <c r="B1445" s="175" t="s">
        <v>4864</v>
      </c>
      <c r="C1445" s="174">
        <v>2022.0</v>
      </c>
      <c r="D1445" s="176" t="s">
        <v>52</v>
      </c>
      <c r="E1445" s="176" t="s">
        <v>4865</v>
      </c>
      <c r="F1445" s="177" t="s">
        <v>4866</v>
      </c>
      <c r="G1445" s="178">
        <v>46002.0</v>
      </c>
      <c r="H1445" s="179">
        <f t="shared" si="2"/>
        <v>1</v>
      </c>
      <c r="I1445" s="180" t="s">
        <v>4867</v>
      </c>
      <c r="J1445" s="178">
        <v>46003.0</v>
      </c>
      <c r="K1445" s="175" t="s">
        <v>2758</v>
      </c>
    </row>
    <row r="1446">
      <c r="A1446" s="183">
        <v>17120.0</v>
      </c>
      <c r="B1446" s="169" t="s">
        <v>4868</v>
      </c>
      <c r="C1446" s="168">
        <v>2022.0</v>
      </c>
      <c r="D1446" s="142" t="s">
        <v>136</v>
      </c>
      <c r="E1446" s="142" t="s">
        <v>160</v>
      </c>
      <c r="F1446" s="170" t="s">
        <v>4869</v>
      </c>
      <c r="G1446" s="171">
        <v>46003.0</v>
      </c>
      <c r="H1446" s="172">
        <f t="shared" si="2"/>
        <v>0</v>
      </c>
      <c r="I1446" s="173" t="s">
        <v>3501</v>
      </c>
      <c r="J1446" s="171">
        <v>46003.0</v>
      </c>
      <c r="K1446" s="169" t="s">
        <v>2758</v>
      </c>
    </row>
    <row r="1447">
      <c r="A1447" s="181">
        <v>16789.0</v>
      </c>
      <c r="B1447" s="175" t="s">
        <v>3419</v>
      </c>
      <c r="C1447" s="174">
        <v>2015.0</v>
      </c>
      <c r="D1447" s="176" t="s">
        <v>52</v>
      </c>
      <c r="E1447" s="176" t="s">
        <v>4870</v>
      </c>
      <c r="F1447" s="177" t="s">
        <v>1616</v>
      </c>
      <c r="G1447" s="178">
        <v>46003.0</v>
      </c>
      <c r="H1447" s="179">
        <f t="shared" si="2"/>
        <v>0</v>
      </c>
      <c r="I1447" s="180" t="s">
        <v>533</v>
      </c>
      <c r="J1447" s="178">
        <v>46003.0</v>
      </c>
      <c r="K1447" s="175" t="s">
        <v>2758</v>
      </c>
    </row>
    <row r="1448">
      <c r="A1448" s="183">
        <v>16632.0</v>
      </c>
      <c r="B1448" s="169" t="s">
        <v>1454</v>
      </c>
      <c r="C1448" s="168">
        <v>2022.0</v>
      </c>
      <c r="D1448" s="142" t="s">
        <v>52</v>
      </c>
      <c r="E1448" s="142" t="s">
        <v>125</v>
      </c>
      <c r="F1448" s="170" t="s">
        <v>1455</v>
      </c>
      <c r="G1448" s="171">
        <v>46003.0</v>
      </c>
      <c r="H1448" s="172">
        <f t="shared" si="2"/>
        <v>0</v>
      </c>
      <c r="I1448" s="173" t="s">
        <v>533</v>
      </c>
      <c r="J1448" s="171">
        <v>46003.0</v>
      </c>
      <c r="K1448" s="169" t="s">
        <v>2758</v>
      </c>
    </row>
    <row r="1449">
      <c r="A1449" s="181">
        <v>16831.0</v>
      </c>
      <c r="B1449" s="175" t="s">
        <v>3911</v>
      </c>
      <c r="C1449" s="174">
        <v>2022.0</v>
      </c>
      <c r="D1449" s="176" t="s">
        <v>136</v>
      </c>
      <c r="E1449" s="176" t="s">
        <v>240</v>
      </c>
      <c r="F1449" s="177" t="s">
        <v>3912</v>
      </c>
      <c r="G1449" s="178">
        <v>46003.0</v>
      </c>
      <c r="H1449" s="179">
        <f t="shared" si="2"/>
        <v>0</v>
      </c>
      <c r="I1449" s="180" t="s">
        <v>533</v>
      </c>
      <c r="J1449" s="178">
        <v>46003.0</v>
      </c>
      <c r="K1449" s="175" t="s">
        <v>2758</v>
      </c>
    </row>
    <row r="1450">
      <c r="A1450" s="183">
        <v>16922.0</v>
      </c>
      <c r="B1450" s="142" t="s">
        <v>366</v>
      </c>
      <c r="C1450" s="168">
        <v>2011.0</v>
      </c>
      <c r="D1450" s="142" t="s">
        <v>367</v>
      </c>
      <c r="E1450" s="327" t="s">
        <v>399</v>
      </c>
      <c r="F1450" s="170" t="s">
        <v>369</v>
      </c>
      <c r="G1450" s="171">
        <v>45964.0</v>
      </c>
      <c r="H1450" s="172">
        <f t="shared" si="2"/>
        <v>39</v>
      </c>
      <c r="I1450" s="173" t="s">
        <v>4871</v>
      </c>
      <c r="J1450" s="171">
        <v>46003.0</v>
      </c>
      <c r="K1450" s="169" t="s">
        <v>2758</v>
      </c>
    </row>
    <row r="1451">
      <c r="A1451" s="181">
        <v>17040.0</v>
      </c>
      <c r="B1451" s="175" t="s">
        <v>1192</v>
      </c>
      <c r="C1451" s="174">
        <v>2020.0</v>
      </c>
      <c r="D1451" s="176" t="s">
        <v>946</v>
      </c>
      <c r="E1451" s="176" t="s">
        <v>1194</v>
      </c>
      <c r="F1451" s="325">
        <v>45792.0</v>
      </c>
      <c r="G1451" s="178">
        <v>45989.0</v>
      </c>
      <c r="H1451" s="179">
        <f t="shared" si="2"/>
        <v>14</v>
      </c>
      <c r="I1451" s="180" t="s">
        <v>4872</v>
      </c>
      <c r="J1451" s="178">
        <v>46003.0</v>
      </c>
      <c r="K1451" s="175" t="s">
        <v>31</v>
      </c>
    </row>
    <row r="1452">
      <c r="A1452" s="183">
        <v>17125.0</v>
      </c>
      <c r="B1452" s="169" t="s">
        <v>2071</v>
      </c>
      <c r="C1452" s="168">
        <v>2022.0</v>
      </c>
      <c r="D1452" s="142" t="s">
        <v>256</v>
      </c>
      <c r="E1452" s="142" t="s">
        <v>47</v>
      </c>
      <c r="F1452" s="170" t="s">
        <v>2073</v>
      </c>
      <c r="G1452" s="171">
        <v>46003.0</v>
      </c>
      <c r="H1452" s="172">
        <f t="shared" si="2"/>
        <v>0</v>
      </c>
      <c r="I1452" s="173" t="s">
        <v>1200</v>
      </c>
      <c r="J1452" s="171">
        <v>46003.0</v>
      </c>
      <c r="K1452" s="169" t="s">
        <v>1200</v>
      </c>
    </row>
    <row r="1453">
      <c r="A1453" s="181">
        <v>17123.0</v>
      </c>
      <c r="B1453" s="175" t="s">
        <v>417</v>
      </c>
      <c r="C1453" s="174">
        <v>2022.0</v>
      </c>
      <c r="D1453" s="176" t="s">
        <v>52</v>
      </c>
      <c r="E1453" s="176" t="s">
        <v>418</v>
      </c>
      <c r="F1453" s="177" t="s">
        <v>419</v>
      </c>
      <c r="G1453" s="178">
        <v>46003.0</v>
      </c>
      <c r="H1453" s="179">
        <f t="shared" si="2"/>
        <v>0</v>
      </c>
      <c r="I1453" s="180" t="s">
        <v>4873</v>
      </c>
      <c r="J1453" s="178">
        <v>46003.0</v>
      </c>
      <c r="K1453" s="175" t="s">
        <v>2758</v>
      </c>
    </row>
    <row r="1454">
      <c r="A1454" s="183">
        <v>17131.0</v>
      </c>
      <c r="B1454" s="169" t="s">
        <v>349</v>
      </c>
      <c r="C1454" s="168">
        <v>2023.0</v>
      </c>
      <c r="D1454" s="142" t="s">
        <v>52</v>
      </c>
      <c r="E1454" s="142" t="s">
        <v>350</v>
      </c>
      <c r="F1454" s="241">
        <v>45689.0</v>
      </c>
      <c r="G1454" s="171">
        <v>46006.0</v>
      </c>
      <c r="H1454" s="172">
        <f t="shared" si="2"/>
        <v>0</v>
      </c>
      <c r="I1454" s="173" t="s">
        <v>4874</v>
      </c>
      <c r="J1454" s="171">
        <v>46006.0</v>
      </c>
      <c r="K1454" s="169" t="s">
        <v>2758</v>
      </c>
    </row>
    <row r="1455">
      <c r="A1455" s="181">
        <v>17086.0</v>
      </c>
      <c r="B1455" s="176" t="s">
        <v>3714</v>
      </c>
      <c r="C1455" s="174">
        <v>2015.0</v>
      </c>
      <c r="D1455" s="176" t="s">
        <v>52</v>
      </c>
      <c r="E1455" s="176" t="s">
        <v>610</v>
      </c>
      <c r="F1455" s="177" t="s">
        <v>3715</v>
      </c>
      <c r="G1455" s="178">
        <v>45999.0</v>
      </c>
      <c r="H1455" s="179">
        <f t="shared" si="2"/>
        <v>8</v>
      </c>
      <c r="I1455" s="175" t="s">
        <v>4875</v>
      </c>
      <c r="J1455" s="178">
        <v>46007.0</v>
      </c>
      <c r="K1455" s="175" t="s">
        <v>2758</v>
      </c>
    </row>
    <row r="1456">
      <c r="A1456" s="183">
        <v>17127.0</v>
      </c>
      <c r="B1456" s="142" t="s">
        <v>2553</v>
      </c>
      <c r="C1456" s="168">
        <v>2018.0</v>
      </c>
      <c r="D1456" s="142" t="s">
        <v>14</v>
      </c>
      <c r="E1456" s="142" t="s">
        <v>277</v>
      </c>
      <c r="F1456" s="170" t="s">
        <v>2554</v>
      </c>
      <c r="G1456" s="171">
        <v>46003.0</v>
      </c>
      <c r="H1456" s="172">
        <f t="shared" si="2"/>
        <v>5</v>
      </c>
      <c r="I1456" s="169" t="s">
        <v>4876</v>
      </c>
      <c r="J1456" s="258">
        <v>46008.0</v>
      </c>
      <c r="K1456" s="169" t="s">
        <v>2758</v>
      </c>
      <c r="L1456" s="242"/>
      <c r="M1456" s="242"/>
      <c r="N1456" s="242"/>
      <c r="O1456" s="242"/>
      <c r="P1456" s="242"/>
      <c r="Q1456" s="242"/>
      <c r="R1456" s="242"/>
      <c r="S1456" s="242"/>
      <c r="T1456" s="242"/>
      <c r="U1456" s="242"/>
      <c r="V1456" s="242"/>
      <c r="W1456" s="242"/>
      <c r="X1456" s="242"/>
      <c r="Y1456" s="242"/>
      <c r="Z1456" s="242"/>
      <c r="AA1456" s="242"/>
      <c r="AB1456" s="242"/>
      <c r="AC1456" s="242"/>
      <c r="AD1456" s="242"/>
      <c r="AE1456" s="242"/>
      <c r="AF1456" s="242"/>
      <c r="AG1456" s="242"/>
      <c r="AH1456" s="309"/>
      <c r="AI1456" s="242"/>
      <c r="AJ1456" s="242"/>
      <c r="AK1456" s="242"/>
      <c r="AL1456" s="242"/>
      <c r="AM1456" s="242"/>
      <c r="AN1456" s="242"/>
      <c r="AO1456" s="242"/>
    </row>
    <row r="1457">
      <c r="A1457" s="181">
        <v>17138.0</v>
      </c>
      <c r="B1457" s="175" t="s">
        <v>709</v>
      </c>
      <c r="C1457" s="174">
        <v>2022.0</v>
      </c>
      <c r="D1457" s="176" t="s">
        <v>4041</v>
      </c>
      <c r="E1457" s="176" t="s">
        <v>235</v>
      </c>
      <c r="F1457" s="177" t="s">
        <v>710</v>
      </c>
      <c r="G1457" s="178">
        <v>46007.0</v>
      </c>
      <c r="H1457" s="179">
        <f t="shared" si="2"/>
        <v>218</v>
      </c>
      <c r="I1457" s="180" t="s">
        <v>4877</v>
      </c>
      <c r="J1457" s="196"/>
      <c r="K1457" s="175" t="s">
        <v>84</v>
      </c>
    </row>
    <row r="1458">
      <c r="A1458" s="183">
        <v>17136.0</v>
      </c>
      <c r="B1458" s="169" t="s">
        <v>4878</v>
      </c>
      <c r="C1458" s="168">
        <v>2022.0</v>
      </c>
      <c r="D1458" s="142" t="s">
        <v>136</v>
      </c>
      <c r="E1458" s="142" t="s">
        <v>2029</v>
      </c>
      <c r="F1458" s="170" t="s">
        <v>4879</v>
      </c>
      <c r="G1458" s="171">
        <v>46007.0</v>
      </c>
      <c r="H1458" s="172">
        <f t="shared" si="2"/>
        <v>1</v>
      </c>
      <c r="I1458" s="173" t="s">
        <v>4880</v>
      </c>
      <c r="J1458" s="171">
        <v>46008.0</v>
      </c>
      <c r="K1458" s="169" t="s">
        <v>2758</v>
      </c>
    </row>
    <row r="1459">
      <c r="A1459" s="181">
        <v>17146.0</v>
      </c>
      <c r="B1459" s="175" t="s">
        <v>1865</v>
      </c>
      <c r="C1459" s="174">
        <v>2018.0</v>
      </c>
      <c r="D1459" s="176" t="s">
        <v>14</v>
      </c>
      <c r="E1459" s="176" t="s">
        <v>277</v>
      </c>
      <c r="F1459" s="177" t="s">
        <v>1866</v>
      </c>
      <c r="G1459" s="178">
        <v>46008.0</v>
      </c>
      <c r="H1459" s="179">
        <f t="shared" si="2"/>
        <v>0</v>
      </c>
      <c r="I1459" s="180" t="s">
        <v>533</v>
      </c>
      <c r="J1459" s="178">
        <v>46008.0</v>
      </c>
      <c r="K1459" s="175" t="s">
        <v>2758</v>
      </c>
    </row>
    <row r="1460">
      <c r="A1460" s="183">
        <v>17151.0</v>
      </c>
      <c r="B1460" s="169" t="s">
        <v>1755</v>
      </c>
      <c r="C1460" s="168">
        <v>2022.0</v>
      </c>
      <c r="D1460" s="142" t="s">
        <v>52</v>
      </c>
      <c r="E1460" s="142" t="s">
        <v>1639</v>
      </c>
      <c r="F1460" s="170" t="s">
        <v>1756</v>
      </c>
      <c r="G1460" s="171">
        <v>46008.0</v>
      </c>
      <c r="H1460" s="172">
        <f t="shared" si="2"/>
        <v>0</v>
      </c>
      <c r="I1460" s="173" t="s">
        <v>4881</v>
      </c>
      <c r="J1460" s="171">
        <v>46008.0</v>
      </c>
      <c r="K1460" s="169" t="s">
        <v>2758</v>
      </c>
    </row>
    <row r="1461">
      <c r="A1461" s="181">
        <v>17150.0</v>
      </c>
      <c r="B1461" s="175" t="s">
        <v>829</v>
      </c>
      <c r="C1461" s="174">
        <v>2022.0</v>
      </c>
      <c r="D1461" s="176" t="s">
        <v>52</v>
      </c>
      <c r="E1461" s="176" t="s">
        <v>95</v>
      </c>
      <c r="F1461" s="177" t="s">
        <v>830</v>
      </c>
      <c r="G1461" s="178">
        <v>46008.0</v>
      </c>
      <c r="H1461" s="179">
        <f t="shared" si="2"/>
        <v>0</v>
      </c>
      <c r="I1461" s="180" t="s">
        <v>4882</v>
      </c>
      <c r="J1461" s="178">
        <v>46008.0</v>
      </c>
      <c r="K1461" s="175" t="s">
        <v>2758</v>
      </c>
    </row>
    <row r="1462">
      <c r="A1462" s="183">
        <v>17028.0</v>
      </c>
      <c r="B1462" s="142" t="s">
        <v>1858</v>
      </c>
      <c r="C1462" s="168">
        <v>2020.0</v>
      </c>
      <c r="D1462" s="142" t="s">
        <v>105</v>
      </c>
      <c r="E1462" s="142" t="s">
        <v>459</v>
      </c>
      <c r="F1462" s="241">
        <v>45792.0</v>
      </c>
      <c r="G1462" s="171">
        <v>45988.0</v>
      </c>
      <c r="H1462" s="172">
        <f t="shared" si="2"/>
        <v>20</v>
      </c>
      <c r="I1462" s="169" t="s">
        <v>4883</v>
      </c>
      <c r="J1462" s="258">
        <v>46008.0</v>
      </c>
      <c r="K1462" s="169" t="s">
        <v>2758</v>
      </c>
      <c r="L1462" s="242"/>
      <c r="M1462" s="242"/>
      <c r="N1462" s="242"/>
      <c r="O1462" s="242"/>
      <c r="P1462" s="242"/>
      <c r="Q1462" s="242"/>
      <c r="R1462" s="242"/>
      <c r="S1462" s="242"/>
      <c r="T1462" s="242"/>
      <c r="U1462" s="242"/>
      <c r="V1462" s="242"/>
      <c r="W1462" s="242"/>
      <c r="X1462" s="242"/>
      <c r="Y1462" s="242"/>
      <c r="Z1462" s="242"/>
      <c r="AA1462" s="242"/>
      <c r="AB1462" s="242"/>
      <c r="AC1462" s="242"/>
      <c r="AD1462" s="242"/>
      <c r="AE1462" s="242"/>
      <c r="AF1462" s="242"/>
      <c r="AG1462" s="242"/>
      <c r="AH1462" s="309"/>
      <c r="AI1462" s="242"/>
      <c r="AJ1462" s="242"/>
      <c r="AK1462" s="242"/>
      <c r="AL1462" s="242"/>
      <c r="AM1462" s="242"/>
      <c r="AN1462" s="242"/>
      <c r="AO1462" s="242"/>
    </row>
    <row r="1463">
      <c r="A1463" s="181">
        <v>17157.0</v>
      </c>
      <c r="B1463" s="175" t="s">
        <v>829</v>
      </c>
      <c r="C1463" s="174">
        <v>2022.0</v>
      </c>
      <c r="D1463" s="176" t="s">
        <v>52</v>
      </c>
      <c r="E1463" s="176" t="s">
        <v>99</v>
      </c>
      <c r="F1463" s="177" t="s">
        <v>830</v>
      </c>
      <c r="G1463" s="178">
        <v>46009.0</v>
      </c>
      <c r="H1463" s="179">
        <f t="shared" si="2"/>
        <v>0</v>
      </c>
      <c r="I1463" s="180" t="s">
        <v>4884</v>
      </c>
      <c r="J1463" s="178">
        <v>46009.0</v>
      </c>
      <c r="K1463" s="175" t="s">
        <v>2758</v>
      </c>
    </row>
    <row r="1464">
      <c r="A1464" s="183">
        <v>17139.0</v>
      </c>
      <c r="B1464" s="169" t="s">
        <v>2096</v>
      </c>
      <c r="C1464" s="168">
        <v>2022.0</v>
      </c>
      <c r="D1464" s="142" t="s">
        <v>52</v>
      </c>
      <c r="E1464" s="142" t="s">
        <v>235</v>
      </c>
      <c r="F1464" s="170" t="s">
        <v>2097</v>
      </c>
      <c r="G1464" s="171">
        <v>46007.0</v>
      </c>
      <c r="H1464" s="172">
        <f t="shared" si="2"/>
        <v>2</v>
      </c>
      <c r="I1464" s="173" t="s">
        <v>4885</v>
      </c>
      <c r="J1464" s="171">
        <v>46009.0</v>
      </c>
      <c r="K1464" s="169" t="s">
        <v>2758</v>
      </c>
    </row>
    <row r="1465">
      <c r="A1465" s="181">
        <v>17160.0</v>
      </c>
      <c r="B1465" s="175" t="s">
        <v>804</v>
      </c>
      <c r="C1465" s="174">
        <v>2022.0</v>
      </c>
      <c r="D1465" s="176" t="s">
        <v>52</v>
      </c>
      <c r="E1465" s="176" t="s">
        <v>160</v>
      </c>
      <c r="F1465" s="177" t="s">
        <v>806</v>
      </c>
      <c r="G1465" s="178">
        <v>46010.0</v>
      </c>
      <c r="H1465" s="179">
        <f t="shared" si="2"/>
        <v>0</v>
      </c>
      <c r="I1465" s="180" t="s">
        <v>4886</v>
      </c>
      <c r="J1465" s="178">
        <v>46010.0</v>
      </c>
      <c r="K1465" s="175" t="s">
        <v>2758</v>
      </c>
    </row>
    <row r="1466">
      <c r="A1466" s="183">
        <v>17144.0</v>
      </c>
      <c r="B1466" s="169" t="s">
        <v>717</v>
      </c>
      <c r="C1466" s="168">
        <v>2022.0</v>
      </c>
      <c r="D1466" s="142" t="s">
        <v>136</v>
      </c>
      <c r="E1466" s="142" t="s">
        <v>531</v>
      </c>
      <c r="F1466" s="170" t="s">
        <v>719</v>
      </c>
      <c r="G1466" s="171">
        <v>46007.0</v>
      </c>
      <c r="H1466" s="172">
        <f t="shared" si="2"/>
        <v>3</v>
      </c>
      <c r="I1466" s="173" t="s">
        <v>4887</v>
      </c>
      <c r="J1466" s="171">
        <v>46010.0</v>
      </c>
      <c r="K1466" s="169" t="s">
        <v>2758</v>
      </c>
    </row>
    <row r="1467">
      <c r="A1467" s="181">
        <v>17167.0</v>
      </c>
      <c r="B1467" s="175" t="s">
        <v>965</v>
      </c>
      <c r="C1467" s="174">
        <v>2022.0</v>
      </c>
      <c r="D1467" s="176" t="s">
        <v>52</v>
      </c>
      <c r="E1467" s="176" t="s">
        <v>4201</v>
      </c>
      <c r="F1467" s="177" t="s">
        <v>966</v>
      </c>
      <c r="G1467" s="178">
        <v>46013.0</v>
      </c>
      <c r="H1467" s="179">
        <f t="shared" si="2"/>
        <v>0</v>
      </c>
      <c r="I1467" s="180" t="s">
        <v>2926</v>
      </c>
      <c r="J1467" s="178">
        <v>46013.0</v>
      </c>
      <c r="K1467" s="175" t="s">
        <v>2758</v>
      </c>
    </row>
    <row r="1468">
      <c r="A1468" s="183">
        <v>17171.0</v>
      </c>
      <c r="B1468" s="169" t="s">
        <v>417</v>
      </c>
      <c r="C1468" s="168">
        <v>2022.0</v>
      </c>
      <c r="D1468" s="142" t="s">
        <v>52</v>
      </c>
      <c r="E1468" s="142" t="s">
        <v>418</v>
      </c>
      <c r="F1468" s="170" t="s">
        <v>419</v>
      </c>
      <c r="G1468" s="171">
        <v>46013.0</v>
      </c>
      <c r="H1468" s="172">
        <f t="shared" si="2"/>
        <v>0</v>
      </c>
      <c r="I1468" s="173" t="s">
        <v>4888</v>
      </c>
      <c r="J1468" s="171">
        <v>46013.0</v>
      </c>
      <c r="K1468" s="169" t="s">
        <v>31</v>
      </c>
    </row>
    <row r="1469">
      <c r="A1469" s="181">
        <v>17179.0</v>
      </c>
      <c r="B1469" s="175" t="s">
        <v>1503</v>
      </c>
      <c r="C1469" s="174">
        <v>2022.0</v>
      </c>
      <c r="D1469" s="176" t="s">
        <v>14</v>
      </c>
      <c r="E1469" s="176" t="s">
        <v>610</v>
      </c>
      <c r="F1469" s="177" t="s">
        <v>1504</v>
      </c>
      <c r="G1469" s="178">
        <v>46017.0</v>
      </c>
      <c r="H1469" s="179">
        <f t="shared" si="2"/>
        <v>0</v>
      </c>
      <c r="I1469" s="180" t="s">
        <v>4889</v>
      </c>
      <c r="J1469" s="178">
        <v>46017.0</v>
      </c>
      <c r="K1469" s="175" t="s">
        <v>2758</v>
      </c>
    </row>
    <row r="1470">
      <c r="A1470" s="183">
        <v>17190.0</v>
      </c>
      <c r="B1470" s="142" t="s">
        <v>3383</v>
      </c>
      <c r="C1470" s="168">
        <v>2022.0</v>
      </c>
      <c r="D1470" s="142" t="s">
        <v>52</v>
      </c>
      <c r="E1470" s="142" t="s">
        <v>82</v>
      </c>
      <c r="F1470" s="235" t="s">
        <v>3384</v>
      </c>
      <c r="G1470" s="171">
        <v>46020.0</v>
      </c>
      <c r="H1470" s="172">
        <f t="shared" si="2"/>
        <v>0</v>
      </c>
      <c r="I1470" s="169" t="s">
        <v>4890</v>
      </c>
      <c r="J1470" s="171">
        <v>46020.0</v>
      </c>
      <c r="K1470" s="169" t="s">
        <v>2758</v>
      </c>
    </row>
    <row r="1471">
      <c r="A1471" s="220">
        <v>16836.0</v>
      </c>
      <c r="B1471" s="328" t="s">
        <v>4891</v>
      </c>
      <c r="C1471" s="275">
        <v>2002.0</v>
      </c>
      <c r="D1471" s="328" t="s">
        <v>1122</v>
      </c>
      <c r="E1471" s="328" t="s">
        <v>319</v>
      </c>
      <c r="F1471" s="329" t="s">
        <v>4892</v>
      </c>
      <c r="G1471" s="224">
        <v>45950.0</v>
      </c>
      <c r="H1471" s="179">
        <f t="shared" si="2"/>
        <v>40</v>
      </c>
      <c r="I1471" s="330" t="s">
        <v>4893</v>
      </c>
      <c r="J1471" s="178">
        <v>45990.0</v>
      </c>
      <c r="K1471" s="175" t="s">
        <v>2758</v>
      </c>
    </row>
    <row r="1472">
      <c r="A1472" s="168">
        <v>17099.0</v>
      </c>
      <c r="B1472" s="142" t="s">
        <v>2742</v>
      </c>
      <c r="C1472" s="168">
        <v>2014.0</v>
      </c>
      <c r="D1472" s="142" t="s">
        <v>324</v>
      </c>
      <c r="E1472" s="142" t="s">
        <v>82</v>
      </c>
      <c r="F1472" s="170" t="s">
        <v>2743</v>
      </c>
      <c r="G1472" s="171">
        <v>46000.0</v>
      </c>
      <c r="H1472" s="172">
        <f t="shared" si="2"/>
        <v>20</v>
      </c>
      <c r="I1472" s="169" t="s">
        <v>2744</v>
      </c>
      <c r="J1472" s="171">
        <v>46020.0</v>
      </c>
      <c r="K1472" s="169" t="s">
        <v>2627</v>
      </c>
    </row>
    <row r="1473">
      <c r="A1473" s="181">
        <v>17192.0</v>
      </c>
      <c r="B1473" s="175" t="s">
        <v>205</v>
      </c>
      <c r="C1473" s="174">
        <v>2015.0</v>
      </c>
      <c r="D1473" s="176" t="s">
        <v>206</v>
      </c>
      <c r="E1473" s="176" t="s">
        <v>207</v>
      </c>
      <c r="F1473" s="177" t="s">
        <v>4894</v>
      </c>
      <c r="G1473" s="178">
        <v>45990.0</v>
      </c>
      <c r="H1473" s="179">
        <f t="shared" si="2"/>
        <v>30</v>
      </c>
      <c r="I1473" s="180" t="s">
        <v>4895</v>
      </c>
      <c r="J1473" s="178">
        <v>46020.0</v>
      </c>
      <c r="K1473" s="175" t="s">
        <v>2758</v>
      </c>
    </row>
    <row r="1474">
      <c r="A1474" s="183">
        <v>17191.0</v>
      </c>
      <c r="B1474" s="142" t="s">
        <v>219</v>
      </c>
      <c r="C1474" s="168">
        <v>2018.0</v>
      </c>
      <c r="D1474" s="142" t="s">
        <v>14</v>
      </c>
      <c r="E1474" s="142" t="s">
        <v>4896</v>
      </c>
      <c r="F1474" s="170" t="s">
        <v>221</v>
      </c>
      <c r="G1474" s="171">
        <v>46020.0</v>
      </c>
      <c r="H1474" s="172">
        <f t="shared" si="2"/>
        <v>1</v>
      </c>
      <c r="I1474" s="169" t="s">
        <v>4897</v>
      </c>
      <c r="J1474" s="171">
        <v>46021.0</v>
      </c>
      <c r="K1474" s="169" t="s">
        <v>2758</v>
      </c>
    </row>
    <row r="1475">
      <c r="A1475" s="181">
        <v>17200.0</v>
      </c>
      <c r="B1475" s="175" t="s">
        <v>19</v>
      </c>
      <c r="C1475" s="174">
        <v>2022.0</v>
      </c>
      <c r="D1475" s="176" t="s">
        <v>2875</v>
      </c>
      <c r="E1475" s="176" t="s">
        <v>21</v>
      </c>
      <c r="F1475" s="177" t="s">
        <v>22</v>
      </c>
      <c r="G1475" s="178">
        <v>46027.0</v>
      </c>
      <c r="H1475" s="179">
        <f t="shared" si="2"/>
        <v>0</v>
      </c>
      <c r="I1475" s="180" t="s">
        <v>4898</v>
      </c>
      <c r="J1475" s="178">
        <v>46027.0</v>
      </c>
      <c r="K1475" s="175" t="s">
        <v>2758</v>
      </c>
    </row>
    <row r="1476">
      <c r="A1476" s="168">
        <v>17178.0</v>
      </c>
      <c r="B1476" s="142" t="s">
        <v>879</v>
      </c>
      <c r="C1476" s="168">
        <v>2018.0</v>
      </c>
      <c r="D1476" s="142" t="s">
        <v>14</v>
      </c>
      <c r="E1476" s="142" t="s">
        <v>277</v>
      </c>
      <c r="F1476" s="170" t="s">
        <v>880</v>
      </c>
      <c r="G1476" s="171">
        <v>46017.0</v>
      </c>
      <c r="H1476" s="172">
        <f t="shared" si="2"/>
        <v>10</v>
      </c>
      <c r="I1476" s="169" t="s">
        <v>4899</v>
      </c>
      <c r="J1476" s="268">
        <v>46027.0</v>
      </c>
      <c r="K1476" s="169" t="s">
        <v>2758</v>
      </c>
      <c r="L1476" s="242"/>
      <c r="M1476" s="242"/>
      <c r="N1476" s="242"/>
      <c r="O1476" s="242"/>
      <c r="P1476" s="242"/>
      <c r="Q1476" s="242"/>
      <c r="R1476" s="242"/>
      <c r="S1476" s="242"/>
      <c r="T1476" s="242"/>
      <c r="U1476" s="242"/>
      <c r="V1476" s="242"/>
      <c r="W1476" s="242"/>
      <c r="X1476" s="242"/>
      <c r="Y1476" s="242"/>
      <c r="Z1476" s="242"/>
      <c r="AA1476" s="242"/>
      <c r="AB1476" s="242"/>
      <c r="AC1476" s="242"/>
      <c r="AD1476" s="242"/>
      <c r="AE1476" s="242"/>
      <c r="AF1476" s="242"/>
      <c r="AG1476" s="242"/>
      <c r="AH1476" s="309"/>
      <c r="AI1476" s="242"/>
      <c r="AJ1476" s="242"/>
      <c r="AK1476" s="242"/>
      <c r="AL1476" s="242"/>
      <c r="AM1476" s="242"/>
      <c r="AN1476" s="242"/>
      <c r="AO1476" s="242"/>
    </row>
    <row r="1477">
      <c r="A1477" s="174">
        <v>17203.0</v>
      </c>
      <c r="B1477" s="175" t="s">
        <v>4900</v>
      </c>
      <c r="C1477" s="174">
        <v>2022.0</v>
      </c>
      <c r="D1477" s="176" t="s">
        <v>52</v>
      </c>
      <c r="E1477" s="176" t="s">
        <v>41</v>
      </c>
      <c r="F1477" s="177" t="s">
        <v>42</v>
      </c>
      <c r="G1477" s="178">
        <v>46028.0</v>
      </c>
      <c r="H1477" s="179">
        <f t="shared" si="2"/>
        <v>0</v>
      </c>
      <c r="I1477" s="180" t="s">
        <v>4901</v>
      </c>
      <c r="J1477" s="178">
        <v>46028.0</v>
      </c>
      <c r="K1477" s="175" t="s">
        <v>2758</v>
      </c>
    </row>
    <row r="1478">
      <c r="A1478" s="183">
        <v>17196.0</v>
      </c>
      <c r="B1478" s="142" t="s">
        <v>3937</v>
      </c>
      <c r="C1478" s="168">
        <v>2022.0</v>
      </c>
      <c r="D1478" s="142" t="s">
        <v>14</v>
      </c>
      <c r="E1478" s="142" t="s">
        <v>207</v>
      </c>
      <c r="F1478" s="170" t="s">
        <v>3938</v>
      </c>
      <c r="G1478" s="171">
        <v>46021.0</v>
      </c>
      <c r="H1478" s="172">
        <f t="shared" si="2"/>
        <v>7</v>
      </c>
      <c r="I1478" s="169" t="s">
        <v>4902</v>
      </c>
      <c r="J1478" s="171">
        <v>46028.0</v>
      </c>
      <c r="K1478" s="169" t="s">
        <v>2758</v>
      </c>
    </row>
    <row r="1479">
      <c r="A1479" s="181">
        <v>17205.0</v>
      </c>
      <c r="B1479" s="175" t="s">
        <v>46</v>
      </c>
      <c r="C1479" s="174">
        <v>2022.0</v>
      </c>
      <c r="D1479" s="176" t="s">
        <v>2875</v>
      </c>
      <c r="E1479" s="176" t="s">
        <v>21</v>
      </c>
      <c r="F1479" s="177" t="s">
        <v>48</v>
      </c>
      <c r="G1479" s="178">
        <v>46028.0</v>
      </c>
      <c r="H1479" s="179">
        <f t="shared" si="2"/>
        <v>0</v>
      </c>
      <c r="I1479" s="180" t="s">
        <v>4903</v>
      </c>
      <c r="J1479" s="178">
        <v>46028.0</v>
      </c>
      <c r="K1479" s="175" t="s">
        <v>2758</v>
      </c>
    </row>
    <row r="1480">
      <c r="A1480" s="183">
        <v>17050.0</v>
      </c>
      <c r="B1480" s="142" t="s">
        <v>2810</v>
      </c>
      <c r="C1480" s="168">
        <v>2010.0</v>
      </c>
      <c r="D1480" s="142" t="s">
        <v>367</v>
      </c>
      <c r="E1480" s="142" t="s">
        <v>912</v>
      </c>
      <c r="F1480" s="170" t="s">
        <v>2811</v>
      </c>
      <c r="G1480" s="171">
        <v>45993.0</v>
      </c>
      <c r="H1480" s="172">
        <f t="shared" si="2"/>
        <v>35</v>
      </c>
      <c r="I1480" s="169" t="s">
        <v>4904</v>
      </c>
      <c r="J1480" s="171">
        <v>46028.0</v>
      </c>
      <c r="K1480" s="169" t="s">
        <v>2758</v>
      </c>
    </row>
    <row r="1481">
      <c r="A1481" s="174">
        <v>17208.0</v>
      </c>
      <c r="B1481" s="175" t="s">
        <v>4905</v>
      </c>
      <c r="C1481" s="174">
        <v>2021.0</v>
      </c>
      <c r="D1481" s="176" t="s">
        <v>52</v>
      </c>
      <c r="E1481" s="176" t="s">
        <v>53</v>
      </c>
      <c r="F1481" s="177" t="s">
        <v>60</v>
      </c>
      <c r="G1481" s="178">
        <v>46028.0</v>
      </c>
      <c r="H1481" s="179">
        <f t="shared" si="2"/>
        <v>0</v>
      </c>
      <c r="I1481" s="180" t="s">
        <v>61</v>
      </c>
      <c r="J1481" s="178">
        <v>46028.0</v>
      </c>
      <c r="K1481" s="175" t="s">
        <v>2758</v>
      </c>
    </row>
    <row r="1482">
      <c r="A1482" s="183">
        <v>17206.0</v>
      </c>
      <c r="B1482" s="169" t="s">
        <v>51</v>
      </c>
      <c r="C1482" s="168">
        <v>2021.0</v>
      </c>
      <c r="D1482" s="142" t="s">
        <v>52</v>
      </c>
      <c r="E1482" s="142" t="s">
        <v>53</v>
      </c>
      <c r="F1482" s="170" t="s">
        <v>54</v>
      </c>
      <c r="G1482" s="171">
        <v>46028.0</v>
      </c>
      <c r="H1482" s="172">
        <f t="shared" si="2"/>
        <v>0</v>
      </c>
      <c r="I1482" s="173" t="s">
        <v>55</v>
      </c>
      <c r="J1482" s="171">
        <v>46028.0</v>
      </c>
      <c r="K1482" s="169" t="s">
        <v>2758</v>
      </c>
    </row>
    <row r="1483">
      <c r="A1483" s="181">
        <v>17213.0</v>
      </c>
      <c r="B1483" s="175" t="s">
        <v>854</v>
      </c>
      <c r="C1483" s="174">
        <v>2022.0</v>
      </c>
      <c r="D1483" s="176" t="s">
        <v>52</v>
      </c>
      <c r="E1483" s="176" t="s">
        <v>855</v>
      </c>
      <c r="F1483" s="177" t="s">
        <v>856</v>
      </c>
      <c r="G1483" s="178">
        <v>46029.0</v>
      </c>
      <c r="H1483" s="179">
        <f t="shared" si="2"/>
        <v>0</v>
      </c>
      <c r="I1483" s="180" t="s">
        <v>4906</v>
      </c>
      <c r="J1483" s="178">
        <v>46029.0</v>
      </c>
      <c r="K1483" s="175" t="s">
        <v>2758</v>
      </c>
    </row>
    <row r="1484">
      <c r="A1484" s="183">
        <v>17222.0</v>
      </c>
      <c r="B1484" s="169" t="s">
        <v>111</v>
      </c>
      <c r="C1484" s="168">
        <v>2022.0</v>
      </c>
      <c r="D1484" s="142" t="s">
        <v>52</v>
      </c>
      <c r="E1484" s="142" t="s">
        <v>28</v>
      </c>
      <c r="F1484" s="170" t="s">
        <v>112</v>
      </c>
      <c r="G1484" s="171">
        <v>46030.0</v>
      </c>
      <c r="H1484" s="172">
        <f t="shared" si="2"/>
        <v>0</v>
      </c>
      <c r="I1484" s="173" t="s">
        <v>4907</v>
      </c>
      <c r="J1484" s="171">
        <v>46030.0</v>
      </c>
      <c r="K1484" s="169" t="s">
        <v>2758</v>
      </c>
    </row>
    <row r="1485">
      <c r="A1485" s="181">
        <v>16200.0</v>
      </c>
      <c r="B1485" s="175" t="s">
        <v>4908</v>
      </c>
      <c r="C1485" s="174">
        <v>2014.0</v>
      </c>
      <c r="D1485" s="176" t="s">
        <v>105</v>
      </c>
      <c r="E1485" s="176" t="s">
        <v>418</v>
      </c>
      <c r="F1485" s="177" t="s">
        <v>1370</v>
      </c>
      <c r="G1485" s="178">
        <v>46030.0</v>
      </c>
      <c r="H1485" s="179">
        <f t="shared" si="2"/>
        <v>0</v>
      </c>
      <c r="I1485" s="180" t="s">
        <v>133</v>
      </c>
      <c r="J1485" s="178">
        <v>46030.0</v>
      </c>
      <c r="K1485" s="175" t="s">
        <v>2758</v>
      </c>
    </row>
    <row r="1486">
      <c r="A1486" s="183">
        <v>17229.0</v>
      </c>
      <c r="B1486" s="169" t="s">
        <v>129</v>
      </c>
      <c r="C1486" s="168">
        <v>2014.0</v>
      </c>
      <c r="D1486" s="142" t="s">
        <v>130</v>
      </c>
      <c r="E1486" s="142" t="s">
        <v>131</v>
      </c>
      <c r="F1486" s="170" t="s">
        <v>132</v>
      </c>
      <c r="G1486" s="171">
        <v>46030.0</v>
      </c>
      <c r="H1486" s="172">
        <f t="shared" si="2"/>
        <v>0</v>
      </c>
      <c r="I1486" s="173" t="s">
        <v>133</v>
      </c>
      <c r="J1486" s="171">
        <v>46030.0</v>
      </c>
      <c r="K1486" s="169" t="s">
        <v>31</v>
      </c>
    </row>
    <row r="1487">
      <c r="A1487" s="181">
        <v>17225.0</v>
      </c>
      <c r="B1487" s="175" t="s">
        <v>120</v>
      </c>
      <c r="C1487" s="174">
        <v>2018.0</v>
      </c>
      <c r="D1487" s="176" t="s">
        <v>52</v>
      </c>
      <c r="E1487" s="176" t="s">
        <v>106</v>
      </c>
      <c r="F1487" s="177" t="s">
        <v>4909</v>
      </c>
      <c r="G1487" s="178">
        <v>46030.0</v>
      </c>
      <c r="H1487" s="179">
        <f t="shared" si="2"/>
        <v>0</v>
      </c>
      <c r="I1487" s="180" t="s">
        <v>122</v>
      </c>
      <c r="J1487" s="178">
        <v>46030.0</v>
      </c>
      <c r="K1487" s="175" t="s">
        <v>2758</v>
      </c>
    </row>
    <row r="1488">
      <c r="A1488" s="183">
        <v>17233.0</v>
      </c>
      <c r="B1488" s="169" t="s">
        <v>147</v>
      </c>
      <c r="C1488" s="168">
        <v>2014.0</v>
      </c>
      <c r="D1488" s="142" t="s">
        <v>148</v>
      </c>
      <c r="E1488" s="142" t="s">
        <v>21</v>
      </c>
      <c r="F1488" s="170" t="s">
        <v>3450</v>
      </c>
      <c r="G1488" s="171">
        <v>46031.0</v>
      </c>
      <c r="H1488" s="172">
        <f t="shared" si="2"/>
        <v>0</v>
      </c>
      <c r="I1488" s="173" t="s">
        <v>150</v>
      </c>
      <c r="J1488" s="171">
        <v>46031.0</v>
      </c>
      <c r="K1488" s="169" t="s">
        <v>2758</v>
      </c>
    </row>
    <row r="1489">
      <c r="A1489" s="181">
        <v>17108.0</v>
      </c>
      <c r="B1489" s="176" t="s">
        <v>1467</v>
      </c>
      <c r="C1489" s="174">
        <v>2020.0</v>
      </c>
      <c r="D1489" s="176" t="s">
        <v>14</v>
      </c>
      <c r="E1489" s="176" t="s">
        <v>235</v>
      </c>
      <c r="F1489" s="177" t="s">
        <v>1468</v>
      </c>
      <c r="G1489" s="178">
        <v>46001.0</v>
      </c>
      <c r="H1489" s="179">
        <f t="shared" si="2"/>
        <v>33</v>
      </c>
      <c r="I1489" s="175" t="s">
        <v>4910</v>
      </c>
      <c r="J1489" s="178">
        <v>46034.0</v>
      </c>
      <c r="K1489" s="175" t="s">
        <v>31</v>
      </c>
    </row>
    <row r="1490">
      <c r="A1490" s="183">
        <v>17241.0</v>
      </c>
      <c r="B1490" s="169" t="s">
        <v>172</v>
      </c>
      <c r="C1490" s="168">
        <v>2022.0</v>
      </c>
      <c r="D1490" s="142" t="s">
        <v>52</v>
      </c>
      <c r="E1490" s="142" t="s">
        <v>125</v>
      </c>
      <c r="F1490" s="170" t="s">
        <v>174</v>
      </c>
      <c r="G1490" s="171">
        <v>46034.0</v>
      </c>
      <c r="H1490" s="172">
        <f t="shared" si="2"/>
        <v>0</v>
      </c>
      <c r="I1490" s="173" t="s">
        <v>4911</v>
      </c>
      <c r="J1490" s="171">
        <v>46034.0</v>
      </c>
      <c r="K1490" s="169" t="s">
        <v>2758</v>
      </c>
    </row>
    <row r="1491">
      <c r="A1491" s="181">
        <v>17220.0</v>
      </c>
      <c r="B1491" s="175" t="s">
        <v>98</v>
      </c>
      <c r="C1491" s="174">
        <v>2022.0</v>
      </c>
      <c r="D1491" s="176" t="s">
        <v>52</v>
      </c>
      <c r="E1491" s="176" t="s">
        <v>4912</v>
      </c>
      <c r="F1491" s="177" t="s">
        <v>100</v>
      </c>
      <c r="G1491" s="178">
        <v>46030.0</v>
      </c>
      <c r="H1491" s="179">
        <f t="shared" si="2"/>
        <v>4</v>
      </c>
      <c r="I1491" s="180" t="s">
        <v>4913</v>
      </c>
      <c r="J1491" s="178">
        <v>46034.0</v>
      </c>
      <c r="K1491" s="175" t="s">
        <v>2758</v>
      </c>
    </row>
    <row r="1492">
      <c r="A1492" s="183">
        <v>17227.0</v>
      </c>
      <c r="B1492" s="142" t="s">
        <v>124</v>
      </c>
      <c r="C1492" s="168">
        <v>2022.0</v>
      </c>
      <c r="D1492" s="142" t="s">
        <v>52</v>
      </c>
      <c r="E1492" s="142" t="s">
        <v>125</v>
      </c>
      <c r="F1492" s="170" t="s">
        <v>126</v>
      </c>
      <c r="G1492" s="171">
        <v>46030.0</v>
      </c>
      <c r="H1492" s="172">
        <f t="shared" si="2"/>
        <v>4</v>
      </c>
      <c r="I1492" s="169" t="s">
        <v>127</v>
      </c>
      <c r="J1492" s="171">
        <v>46034.0</v>
      </c>
      <c r="K1492" s="169" t="s">
        <v>2758</v>
      </c>
    </row>
    <row r="1493">
      <c r="A1493" s="181">
        <v>17049.0</v>
      </c>
      <c r="B1493" s="176" t="s">
        <v>4914</v>
      </c>
      <c r="C1493" s="174">
        <v>2013.0</v>
      </c>
      <c r="D1493" s="176" t="s">
        <v>105</v>
      </c>
      <c r="E1493" s="176" t="s">
        <v>2746</v>
      </c>
      <c r="F1493" s="177" t="s">
        <v>3841</v>
      </c>
      <c r="G1493" s="178">
        <v>45992.0</v>
      </c>
      <c r="H1493" s="179">
        <f t="shared" si="2"/>
        <v>43</v>
      </c>
      <c r="I1493" s="175" t="s">
        <v>4915</v>
      </c>
      <c r="J1493" s="178">
        <v>46035.0</v>
      </c>
      <c r="K1493" s="175" t="s">
        <v>31</v>
      </c>
    </row>
    <row r="1494">
      <c r="A1494" s="183">
        <v>17242.0</v>
      </c>
      <c r="B1494" s="169" t="s">
        <v>177</v>
      </c>
      <c r="C1494" s="168">
        <v>2022.0</v>
      </c>
      <c r="D1494" s="142" t="s">
        <v>52</v>
      </c>
      <c r="E1494" s="142" t="s">
        <v>125</v>
      </c>
      <c r="F1494" s="170" t="s">
        <v>178</v>
      </c>
      <c r="G1494" s="171">
        <v>46034.0</v>
      </c>
      <c r="H1494" s="172">
        <f t="shared" si="2"/>
        <v>1</v>
      </c>
      <c r="I1494" s="173" t="s">
        <v>179</v>
      </c>
      <c r="J1494" s="171">
        <v>46035.0</v>
      </c>
      <c r="K1494" s="169" t="s">
        <v>31</v>
      </c>
    </row>
    <row r="1495">
      <c r="A1495" s="181">
        <v>17237.0</v>
      </c>
      <c r="B1495" s="176" t="s">
        <v>159</v>
      </c>
      <c r="C1495" s="174">
        <v>2015.0</v>
      </c>
      <c r="D1495" s="176" t="s">
        <v>14</v>
      </c>
      <c r="E1495" s="176" t="s">
        <v>160</v>
      </c>
      <c r="F1495" s="177" t="s">
        <v>161</v>
      </c>
      <c r="G1495" s="178">
        <v>46031.0</v>
      </c>
      <c r="H1495" s="179">
        <f t="shared" si="2"/>
        <v>4</v>
      </c>
      <c r="I1495" s="175" t="s">
        <v>162</v>
      </c>
      <c r="J1495" s="178">
        <v>46035.0</v>
      </c>
      <c r="K1495" s="175" t="s">
        <v>2758</v>
      </c>
    </row>
    <row r="1496">
      <c r="A1496" s="183">
        <v>16827.0</v>
      </c>
      <c r="B1496" s="183">
        <v>16827.0</v>
      </c>
      <c r="C1496" s="168">
        <v>2002.0</v>
      </c>
      <c r="D1496" s="142" t="s">
        <v>1122</v>
      </c>
      <c r="E1496" s="142" t="s">
        <v>866</v>
      </c>
      <c r="F1496" s="235" t="s">
        <v>4916</v>
      </c>
      <c r="G1496" s="171">
        <v>45947.0</v>
      </c>
      <c r="H1496" s="172">
        <f t="shared" si="2"/>
        <v>88</v>
      </c>
      <c r="I1496" s="142" t="s">
        <v>4917</v>
      </c>
      <c r="J1496" s="171">
        <v>46035.0</v>
      </c>
      <c r="K1496" s="142" t="s">
        <v>31</v>
      </c>
      <c r="L1496" s="145"/>
      <c r="M1496" s="145"/>
      <c r="N1496" s="145"/>
      <c r="O1496" s="145"/>
      <c r="P1496" s="145"/>
      <c r="Q1496" s="145"/>
      <c r="R1496" s="145"/>
      <c r="S1496" s="145"/>
      <c r="T1496" s="145"/>
      <c r="U1496" s="145"/>
      <c r="V1496" s="145"/>
      <c r="W1496" s="145"/>
      <c r="X1496" s="145"/>
      <c r="Y1496" s="145"/>
      <c r="Z1496" s="145"/>
      <c r="AA1496" s="145"/>
      <c r="AB1496" s="145"/>
      <c r="AC1496" s="145"/>
      <c r="AD1496" s="145"/>
      <c r="AE1496" s="145"/>
      <c r="AF1496" s="145"/>
      <c r="AG1496" s="145"/>
      <c r="AH1496" s="145"/>
      <c r="AI1496" s="145"/>
      <c r="AJ1496" s="145"/>
      <c r="AK1496" s="145"/>
      <c r="AL1496" s="145"/>
      <c r="AM1496" s="145"/>
      <c r="AN1496" s="145"/>
      <c r="AO1496" s="145"/>
    </row>
    <row r="1497">
      <c r="A1497" s="181">
        <v>17220.0</v>
      </c>
      <c r="B1497" s="176" t="s">
        <v>98</v>
      </c>
      <c r="C1497" s="174">
        <v>2022.0</v>
      </c>
      <c r="D1497" s="176" t="s">
        <v>52</v>
      </c>
      <c r="E1497" s="176" t="s">
        <v>2906</v>
      </c>
      <c r="F1497" s="177" t="s">
        <v>100</v>
      </c>
      <c r="G1497" s="178">
        <v>46030.0</v>
      </c>
      <c r="H1497" s="179">
        <f t="shared" si="2"/>
        <v>6</v>
      </c>
      <c r="I1497" s="175" t="s">
        <v>4918</v>
      </c>
      <c r="J1497" s="178">
        <v>46036.0</v>
      </c>
      <c r="K1497" s="175" t="s">
        <v>2758</v>
      </c>
    </row>
    <row r="1498">
      <c r="A1498" s="183">
        <v>13561.0</v>
      </c>
      <c r="B1498" s="169" t="s">
        <v>4919</v>
      </c>
      <c r="C1498" s="168">
        <v>2022.0</v>
      </c>
      <c r="D1498" s="142" t="s">
        <v>52</v>
      </c>
      <c r="E1498" s="142" t="s">
        <v>805</v>
      </c>
      <c r="F1498" s="170" t="s">
        <v>2962</v>
      </c>
      <c r="G1498" s="171">
        <v>46037.0</v>
      </c>
      <c r="H1498" s="172">
        <f t="shared" si="2"/>
        <v>0</v>
      </c>
      <c r="I1498" s="173" t="s">
        <v>533</v>
      </c>
      <c r="J1498" s="171">
        <v>46037.0</v>
      </c>
      <c r="K1498" s="169" t="s">
        <v>2758</v>
      </c>
    </row>
    <row r="1499">
      <c r="A1499" s="181">
        <v>17252.0</v>
      </c>
      <c r="B1499" s="175" t="s">
        <v>215</v>
      </c>
      <c r="C1499" s="174">
        <v>2022.0</v>
      </c>
      <c r="D1499" s="176" t="s">
        <v>52</v>
      </c>
      <c r="E1499" s="176" t="s">
        <v>125</v>
      </c>
      <c r="F1499" s="177" t="s">
        <v>216</v>
      </c>
      <c r="G1499" s="178">
        <v>46037.0</v>
      </c>
      <c r="H1499" s="179">
        <f t="shared" si="2"/>
        <v>0</v>
      </c>
      <c r="I1499" s="180" t="s">
        <v>217</v>
      </c>
      <c r="J1499" s="178">
        <v>46037.0</v>
      </c>
      <c r="K1499" s="175" t="s">
        <v>2758</v>
      </c>
    </row>
    <row r="1500">
      <c r="A1500" s="183">
        <v>17274.0</v>
      </c>
      <c r="B1500" s="169" t="s">
        <v>111</v>
      </c>
      <c r="C1500" s="168">
        <v>2022.0</v>
      </c>
      <c r="D1500" s="142" t="s">
        <v>52</v>
      </c>
      <c r="E1500" s="142" t="s">
        <v>28</v>
      </c>
      <c r="F1500" s="170" t="s">
        <v>112</v>
      </c>
      <c r="G1500" s="171">
        <v>46038.0</v>
      </c>
      <c r="H1500" s="172">
        <f t="shared" si="2"/>
        <v>0</v>
      </c>
      <c r="I1500" s="173" t="s">
        <v>297</v>
      </c>
      <c r="J1500" s="171">
        <v>46038.0</v>
      </c>
      <c r="K1500" s="169" t="s">
        <v>2758</v>
      </c>
    </row>
    <row r="1501">
      <c r="A1501" s="181">
        <v>17248.0</v>
      </c>
      <c r="B1501" s="175" t="s">
        <v>4920</v>
      </c>
      <c r="C1501" s="174">
        <v>2015.0</v>
      </c>
      <c r="D1501" s="176" t="s">
        <v>206</v>
      </c>
      <c r="E1501" s="176" t="s">
        <v>207</v>
      </c>
      <c r="F1501" s="177" t="s">
        <v>208</v>
      </c>
      <c r="G1501" s="178">
        <v>46035.0</v>
      </c>
      <c r="H1501" s="179">
        <f t="shared" si="2"/>
        <v>3</v>
      </c>
      <c r="I1501" s="180" t="s">
        <v>209</v>
      </c>
      <c r="J1501" s="178">
        <v>46038.0</v>
      </c>
      <c r="K1501" s="175" t="s">
        <v>31</v>
      </c>
    </row>
    <row r="1502">
      <c r="A1502" s="183">
        <v>17245.0</v>
      </c>
      <c r="B1502" s="142" t="s">
        <v>192</v>
      </c>
      <c r="C1502" s="168">
        <v>2014.0</v>
      </c>
      <c r="D1502" s="142" t="s">
        <v>130</v>
      </c>
      <c r="E1502" s="142" t="s">
        <v>125</v>
      </c>
      <c r="F1502" s="170" t="s">
        <v>193</v>
      </c>
      <c r="G1502" s="171">
        <v>46034.0</v>
      </c>
      <c r="H1502" s="172">
        <f t="shared" si="2"/>
        <v>7</v>
      </c>
      <c r="I1502" s="169" t="s">
        <v>194</v>
      </c>
      <c r="J1502" s="171">
        <v>46041.0</v>
      </c>
      <c r="K1502" s="169" t="s">
        <v>31</v>
      </c>
    </row>
    <row r="1503">
      <c r="A1503" s="174" t="s">
        <v>280</v>
      </c>
      <c r="B1503" s="176" t="s">
        <v>281</v>
      </c>
      <c r="C1503" s="174">
        <v>2023.0</v>
      </c>
      <c r="D1503" s="176" t="s">
        <v>814</v>
      </c>
      <c r="E1503" s="176" t="s">
        <v>28</v>
      </c>
      <c r="F1503" s="177" t="s">
        <v>283</v>
      </c>
      <c r="G1503" s="178">
        <v>46038.0</v>
      </c>
      <c r="H1503" s="179">
        <f t="shared" si="2"/>
        <v>3</v>
      </c>
      <c r="I1503" s="175" t="s">
        <v>284</v>
      </c>
      <c r="J1503" s="178">
        <v>46041.0</v>
      </c>
      <c r="K1503" s="175" t="s">
        <v>2758</v>
      </c>
    </row>
    <row r="1504">
      <c r="A1504" s="183">
        <v>17159.0</v>
      </c>
      <c r="B1504" s="142" t="s">
        <v>1759</v>
      </c>
      <c r="C1504" s="168">
        <v>2017.0</v>
      </c>
      <c r="D1504" s="142" t="s">
        <v>14</v>
      </c>
      <c r="E1504" s="142" t="s">
        <v>47</v>
      </c>
      <c r="F1504" s="170" t="s">
        <v>1760</v>
      </c>
      <c r="G1504" s="171">
        <v>46009.0</v>
      </c>
      <c r="H1504" s="172">
        <f t="shared" si="2"/>
        <v>32</v>
      </c>
      <c r="I1504" s="169" t="s">
        <v>4921</v>
      </c>
      <c r="J1504" s="171">
        <v>46041.0</v>
      </c>
      <c r="K1504" s="169" t="s">
        <v>31</v>
      </c>
    </row>
    <row r="1505">
      <c r="A1505" s="181">
        <v>17275.0</v>
      </c>
      <c r="B1505" s="175" t="s">
        <v>19</v>
      </c>
      <c r="C1505" s="174">
        <v>2022.0</v>
      </c>
      <c r="D1505" s="176" t="s">
        <v>148</v>
      </c>
      <c r="E1505" s="176" t="s">
        <v>21</v>
      </c>
      <c r="F1505" s="177" t="s">
        <v>22</v>
      </c>
      <c r="G1505" s="178">
        <v>46041.0</v>
      </c>
      <c r="H1505" s="179">
        <f t="shared" si="2"/>
        <v>0</v>
      </c>
      <c r="I1505" s="180" t="s">
        <v>299</v>
      </c>
      <c r="J1505" s="178">
        <v>46041.0</v>
      </c>
      <c r="K1505" s="175" t="s">
        <v>2758</v>
      </c>
    </row>
    <row r="1506">
      <c r="A1506" s="183">
        <v>17258.0</v>
      </c>
      <c r="B1506" s="142" t="s">
        <v>244</v>
      </c>
      <c r="C1506" s="168">
        <v>2022.0</v>
      </c>
      <c r="D1506" s="142" t="s">
        <v>14</v>
      </c>
      <c r="E1506" s="142" t="s">
        <v>28</v>
      </c>
      <c r="F1506" s="170" t="s">
        <v>246</v>
      </c>
      <c r="G1506" s="171">
        <v>46037.0</v>
      </c>
      <c r="H1506" s="172">
        <f t="shared" si="2"/>
        <v>5</v>
      </c>
      <c r="I1506" s="169" t="s">
        <v>4922</v>
      </c>
      <c r="J1506" s="171">
        <v>46042.0</v>
      </c>
      <c r="K1506" s="169" t="s">
        <v>2758</v>
      </c>
    </row>
    <row r="1507">
      <c r="A1507" s="181">
        <v>17288.0</v>
      </c>
      <c r="B1507" s="175" t="s">
        <v>336</v>
      </c>
      <c r="C1507" s="174">
        <v>2022.0</v>
      </c>
      <c r="D1507" s="176" t="s">
        <v>52</v>
      </c>
      <c r="E1507" s="176" t="s">
        <v>337</v>
      </c>
      <c r="F1507" s="177" t="s">
        <v>338</v>
      </c>
      <c r="G1507" s="178">
        <v>46042.0</v>
      </c>
      <c r="H1507" s="179">
        <f t="shared" si="2"/>
        <v>0</v>
      </c>
      <c r="I1507" s="180" t="s">
        <v>339</v>
      </c>
      <c r="J1507" s="178">
        <v>46042.0</v>
      </c>
      <c r="K1507" s="175" t="s">
        <v>2758</v>
      </c>
    </row>
    <row r="1508">
      <c r="A1508" s="183">
        <v>17282.0</v>
      </c>
      <c r="B1508" s="142" t="s">
        <v>318</v>
      </c>
      <c r="C1508" s="168">
        <v>2022.0</v>
      </c>
      <c r="D1508" s="142" t="s">
        <v>52</v>
      </c>
      <c r="E1508" s="142" t="s">
        <v>582</v>
      </c>
      <c r="F1508" s="170" t="s">
        <v>320</v>
      </c>
      <c r="G1508" s="171">
        <v>46042.0</v>
      </c>
      <c r="H1508" s="172">
        <f t="shared" si="2"/>
        <v>0</v>
      </c>
      <c r="I1508" s="173" t="s">
        <v>321</v>
      </c>
      <c r="J1508" s="171">
        <v>46042.0</v>
      </c>
      <c r="K1508" s="169" t="s">
        <v>2758</v>
      </c>
    </row>
    <row r="1509">
      <c r="A1509" s="181">
        <v>17259.0</v>
      </c>
      <c r="B1509" s="176" t="s">
        <v>250</v>
      </c>
      <c r="C1509" s="174">
        <v>2014.0</v>
      </c>
      <c r="D1509" s="176" t="s">
        <v>130</v>
      </c>
      <c r="E1509" s="176" t="s">
        <v>319</v>
      </c>
      <c r="F1509" s="177" t="s">
        <v>3055</v>
      </c>
      <c r="G1509" s="178">
        <v>46037.0</v>
      </c>
      <c r="H1509" s="179">
        <f t="shared" si="2"/>
        <v>5</v>
      </c>
      <c r="I1509" s="175" t="s">
        <v>4923</v>
      </c>
      <c r="J1509" s="178">
        <v>46042.0</v>
      </c>
      <c r="K1509" s="175" t="s">
        <v>2758</v>
      </c>
    </row>
    <row r="1510">
      <c r="A1510" s="183">
        <v>17261.0</v>
      </c>
      <c r="B1510" s="142" t="s">
        <v>260</v>
      </c>
      <c r="C1510" s="168">
        <v>2019.0</v>
      </c>
      <c r="D1510" s="142" t="s">
        <v>75</v>
      </c>
      <c r="E1510" s="142" t="s">
        <v>240</v>
      </c>
      <c r="F1510" s="170" t="s">
        <v>261</v>
      </c>
      <c r="G1510" s="171">
        <v>46037.0</v>
      </c>
      <c r="H1510" s="172">
        <f t="shared" si="2"/>
        <v>6</v>
      </c>
      <c r="I1510" s="169" t="s">
        <v>262</v>
      </c>
      <c r="J1510" s="171">
        <v>46043.0</v>
      </c>
      <c r="K1510" s="169" t="s">
        <v>2758</v>
      </c>
    </row>
    <row r="1511">
      <c r="A1511" s="181">
        <v>17291.0</v>
      </c>
      <c r="B1511" s="175" t="s">
        <v>349</v>
      </c>
      <c r="C1511" s="174">
        <v>2022.0</v>
      </c>
      <c r="D1511" s="176" t="s">
        <v>52</v>
      </c>
      <c r="E1511" s="176" t="s">
        <v>350</v>
      </c>
      <c r="F1511" s="234">
        <v>46054.0</v>
      </c>
      <c r="G1511" s="178">
        <v>46043.0</v>
      </c>
      <c r="H1511" s="179">
        <f t="shared" si="2"/>
        <v>0</v>
      </c>
      <c r="I1511" s="180" t="s">
        <v>4924</v>
      </c>
      <c r="J1511" s="178">
        <v>46043.0</v>
      </c>
      <c r="K1511" s="175" t="s">
        <v>2758</v>
      </c>
    </row>
    <row r="1512">
      <c r="A1512" s="183">
        <v>17253.0</v>
      </c>
      <c r="B1512" s="142" t="s">
        <v>3485</v>
      </c>
      <c r="C1512" s="168">
        <v>2018.0</v>
      </c>
      <c r="D1512" s="142" t="s">
        <v>14</v>
      </c>
      <c r="E1512" s="142" t="s">
        <v>4925</v>
      </c>
      <c r="F1512" s="170" t="s">
        <v>221</v>
      </c>
      <c r="G1512" s="171">
        <v>46036.0</v>
      </c>
      <c r="H1512" s="172">
        <f t="shared" si="2"/>
        <v>7</v>
      </c>
      <c r="I1512" s="169" t="s">
        <v>222</v>
      </c>
      <c r="J1512" s="171">
        <v>46043.0</v>
      </c>
      <c r="K1512" s="169" t="s">
        <v>31</v>
      </c>
    </row>
    <row r="1513">
      <c r="A1513" s="181">
        <v>17294.0</v>
      </c>
      <c r="B1513" s="175" t="s">
        <v>357</v>
      </c>
      <c r="C1513" s="174">
        <v>2014.0</v>
      </c>
      <c r="D1513" s="176" t="s">
        <v>105</v>
      </c>
      <c r="E1513" s="176" t="s">
        <v>91</v>
      </c>
      <c r="F1513" s="177" t="s">
        <v>360</v>
      </c>
      <c r="G1513" s="178">
        <v>46043.0</v>
      </c>
      <c r="H1513" s="179">
        <f t="shared" si="2"/>
        <v>0</v>
      </c>
      <c r="I1513" s="180" t="s">
        <v>361</v>
      </c>
      <c r="J1513" s="178">
        <v>46043.0</v>
      </c>
      <c r="K1513" s="175" t="s">
        <v>2758</v>
      </c>
    </row>
    <row r="1514">
      <c r="A1514" s="183">
        <v>17295.0</v>
      </c>
      <c r="B1514" s="169" t="s">
        <v>363</v>
      </c>
      <c r="C1514" s="168">
        <v>2022.0</v>
      </c>
      <c r="D1514" s="142" t="s">
        <v>14</v>
      </c>
      <c r="E1514" s="142" t="s">
        <v>28</v>
      </c>
      <c r="F1514" s="170" t="s">
        <v>364</v>
      </c>
      <c r="G1514" s="171">
        <v>46043.0</v>
      </c>
      <c r="H1514" s="331">
        <f>IF(G1514="","",IF('VTR AGUARDANDO VISTORIA'!J2="",TODAY()-G1514,'VTR AGUARDANDO VISTORIA'!J2-G1514))</f>
        <v>-16</v>
      </c>
      <c r="I1514" s="173" t="s">
        <v>365</v>
      </c>
      <c r="J1514" s="171">
        <v>46043.0</v>
      </c>
      <c r="K1514" s="169" t="s">
        <v>2758</v>
      </c>
    </row>
    <row r="1515">
      <c r="A1515" s="181">
        <v>17297.0</v>
      </c>
      <c r="B1515" s="175" t="s">
        <v>376</v>
      </c>
      <c r="C1515" s="174">
        <v>2015.0</v>
      </c>
      <c r="D1515" s="176" t="s">
        <v>75</v>
      </c>
      <c r="E1515" s="176" t="s">
        <v>82</v>
      </c>
      <c r="F1515" s="177" t="s">
        <v>377</v>
      </c>
      <c r="G1515" s="178">
        <v>46044.0</v>
      </c>
      <c r="H1515" s="332">
        <f>IF(G1515="","",IF('VTR AGUARDANDO VISTORIA'!J3="",TODAY()-G1515,'VTR AGUARDANDO VISTORIA'!J3-G1515))</f>
        <v>130</v>
      </c>
      <c r="I1515" s="180" t="s">
        <v>378</v>
      </c>
      <c r="J1515" s="178">
        <v>46044.0</v>
      </c>
      <c r="K1515" s="175" t="s">
        <v>2758</v>
      </c>
    </row>
    <row r="1516">
      <c r="A1516" s="183">
        <v>17267.0</v>
      </c>
      <c r="B1516" s="142" t="s">
        <v>272</v>
      </c>
      <c r="C1516" s="168">
        <v>2019.0</v>
      </c>
      <c r="D1516" s="142" t="s">
        <v>75</v>
      </c>
      <c r="E1516" s="142" t="s">
        <v>82</v>
      </c>
      <c r="F1516" s="170" t="s">
        <v>273</v>
      </c>
      <c r="G1516" s="171">
        <v>46037.0</v>
      </c>
      <c r="H1516" s="331">
        <f>IF(G1516="","",IF('VTR AGUARDANDO VISTORIA'!J4="",TODAY()-G1516,'VTR AGUARDANDO VISTORIA'!J4-G1516))</f>
        <v>152</v>
      </c>
      <c r="I1516" s="169" t="s">
        <v>274</v>
      </c>
      <c r="J1516" s="171">
        <v>46044.0</v>
      </c>
      <c r="K1516" s="169" t="s">
        <v>2758</v>
      </c>
    </row>
    <row r="1517">
      <c r="A1517" s="181">
        <v>17298.0</v>
      </c>
      <c r="B1517" s="175" t="s">
        <v>4926</v>
      </c>
      <c r="C1517" s="174">
        <v>2019.0</v>
      </c>
      <c r="D1517" s="176" t="s">
        <v>14</v>
      </c>
      <c r="E1517" s="176" t="s">
        <v>225</v>
      </c>
      <c r="F1517" s="177" t="s">
        <v>381</v>
      </c>
      <c r="G1517" s="178">
        <v>46044.0</v>
      </c>
      <c r="H1517" s="332">
        <f>IF(G1517="","",IF('VTR AGUARDANDO VISTORIA'!J5="",TODAY()-G1517,'VTR AGUARDANDO VISTORIA'!J5-G1517))</f>
        <v>-15</v>
      </c>
      <c r="I1517" s="180" t="s">
        <v>4927</v>
      </c>
      <c r="J1517" s="178">
        <v>46044.0</v>
      </c>
      <c r="K1517" s="175" t="s">
        <v>2758</v>
      </c>
    </row>
    <row r="1518">
      <c r="A1518" s="183">
        <v>17123.0</v>
      </c>
      <c r="B1518" s="142" t="s">
        <v>1641</v>
      </c>
      <c r="C1518" s="168">
        <v>2018.0</v>
      </c>
      <c r="D1518" s="142" t="s">
        <v>52</v>
      </c>
      <c r="E1518" s="142" t="s">
        <v>1639</v>
      </c>
      <c r="F1518" s="170" t="s">
        <v>1642</v>
      </c>
      <c r="G1518" s="171">
        <v>46003.0</v>
      </c>
      <c r="H1518" s="331">
        <f>IF(G1518="","",IF('VTR AGUARDANDO VISTORIA'!J6="",TODAY()-G1518,'VTR AGUARDANDO VISTORIA'!J6-G1518))</f>
        <v>217</v>
      </c>
      <c r="I1518" s="169" t="s">
        <v>2744</v>
      </c>
      <c r="J1518" s="268">
        <v>46045.0</v>
      </c>
      <c r="K1518" s="169" t="s">
        <v>2758</v>
      </c>
      <c r="L1518" s="242"/>
      <c r="M1518" s="242"/>
      <c r="N1518" s="242"/>
      <c r="O1518" s="242"/>
      <c r="P1518" s="242"/>
      <c r="Q1518" s="242"/>
      <c r="R1518" s="242"/>
      <c r="S1518" s="242"/>
      <c r="T1518" s="242"/>
      <c r="U1518" s="242"/>
      <c r="V1518" s="242"/>
      <c r="W1518" s="242"/>
      <c r="X1518" s="242"/>
      <c r="Y1518" s="242"/>
      <c r="Z1518" s="242"/>
      <c r="AA1518" s="242"/>
      <c r="AB1518" s="242"/>
      <c r="AC1518" s="242"/>
      <c r="AD1518" s="242"/>
      <c r="AE1518" s="242"/>
      <c r="AF1518" s="242"/>
      <c r="AG1518" s="242"/>
      <c r="AH1518" s="309"/>
      <c r="AI1518" s="242"/>
      <c r="AJ1518" s="242"/>
      <c r="AK1518" s="242"/>
      <c r="AL1518" s="242"/>
      <c r="AM1518" s="242"/>
      <c r="AN1518" s="242"/>
      <c r="AO1518" s="242"/>
    </row>
    <row r="1519">
      <c r="A1519" s="181">
        <v>17310.0</v>
      </c>
      <c r="B1519" s="175" t="s">
        <v>417</v>
      </c>
      <c r="C1519" s="174">
        <v>2022.0</v>
      </c>
      <c r="D1519" s="176" t="s">
        <v>52</v>
      </c>
      <c r="E1519" s="176" t="s">
        <v>418</v>
      </c>
      <c r="F1519" s="177" t="s">
        <v>419</v>
      </c>
      <c r="G1519" s="178">
        <v>46045.0</v>
      </c>
      <c r="H1519" s="332">
        <f>IF(G1519="","",IF('VTR AGUARDANDO VISTORIA'!J7="",TODAY()-G1519,'VTR AGUARDANDO VISTORIA'!J7-G1519))</f>
        <v>129</v>
      </c>
      <c r="I1519" s="180" t="s">
        <v>579</v>
      </c>
      <c r="J1519" s="178">
        <v>46045.0</v>
      </c>
      <c r="K1519" s="175" t="s">
        <v>2758</v>
      </c>
    </row>
    <row r="1520">
      <c r="A1520" s="183">
        <v>17176.0</v>
      </c>
      <c r="B1520" s="142" t="s">
        <v>3714</v>
      </c>
      <c r="C1520" s="168">
        <v>2015.0</v>
      </c>
      <c r="D1520" s="142" t="s">
        <v>52</v>
      </c>
      <c r="E1520" s="142" t="s">
        <v>610</v>
      </c>
      <c r="F1520" s="170" t="s">
        <v>3715</v>
      </c>
      <c r="G1520" s="171">
        <v>46014.0</v>
      </c>
      <c r="H1520" s="331">
        <f>IF(G1520="","",IF('VTR AGUARDANDO VISTORIA'!J8="",TODAY()-G1520,'VTR AGUARDANDO VISTORIA'!J8-G1520))</f>
        <v>15</v>
      </c>
      <c r="I1520" s="169" t="s">
        <v>4928</v>
      </c>
      <c r="J1520" s="268">
        <v>46045.0</v>
      </c>
      <c r="K1520" s="169" t="s">
        <v>31</v>
      </c>
      <c r="L1520" s="242"/>
      <c r="M1520" s="242"/>
      <c r="N1520" s="242"/>
      <c r="O1520" s="242"/>
      <c r="P1520" s="242"/>
      <c r="Q1520" s="242"/>
      <c r="R1520" s="242"/>
      <c r="S1520" s="242"/>
      <c r="T1520" s="242"/>
      <c r="U1520" s="242"/>
      <c r="V1520" s="242"/>
      <c r="W1520" s="242"/>
      <c r="X1520" s="242"/>
      <c r="Y1520" s="242"/>
      <c r="Z1520" s="242"/>
      <c r="AA1520" s="242"/>
      <c r="AB1520" s="242"/>
      <c r="AC1520" s="242"/>
      <c r="AD1520" s="242"/>
      <c r="AE1520" s="242"/>
      <c r="AF1520" s="242"/>
      <c r="AG1520" s="242"/>
      <c r="AH1520" s="309"/>
      <c r="AI1520" s="242"/>
      <c r="AJ1520" s="242"/>
      <c r="AK1520" s="242"/>
      <c r="AL1520" s="242"/>
      <c r="AM1520" s="242"/>
      <c r="AN1520" s="242"/>
      <c r="AO1520" s="242"/>
    </row>
    <row r="1521">
      <c r="A1521" s="181">
        <v>17105.0</v>
      </c>
      <c r="B1521" s="176" t="s">
        <v>1137</v>
      </c>
      <c r="C1521" s="174">
        <v>2018.0</v>
      </c>
      <c r="D1521" s="176" t="s">
        <v>14</v>
      </c>
      <c r="E1521" s="176" t="s">
        <v>47</v>
      </c>
      <c r="F1521" s="177" t="s">
        <v>1138</v>
      </c>
      <c r="G1521" s="178">
        <v>46000.0</v>
      </c>
      <c r="H1521" s="332">
        <f>IF(G1521="","",IF('VTR AGUARDANDO VISTORIA'!J9="",TODAY()-G1521,'VTR AGUARDANDO VISTORIA'!J9-G1521))</f>
        <v>31</v>
      </c>
      <c r="I1521" s="182" t="s">
        <v>4929</v>
      </c>
      <c r="J1521" s="178">
        <v>46045.0</v>
      </c>
      <c r="K1521" s="175" t="s">
        <v>2758</v>
      </c>
    </row>
    <row r="1522">
      <c r="A1522" s="183">
        <v>17283.0</v>
      </c>
      <c r="B1522" s="169" t="s">
        <v>323</v>
      </c>
      <c r="C1522" s="168">
        <v>2014.0</v>
      </c>
      <c r="D1522" s="142" t="s">
        <v>324</v>
      </c>
      <c r="E1522" s="142" t="s">
        <v>82</v>
      </c>
      <c r="F1522" s="170" t="s">
        <v>325</v>
      </c>
      <c r="G1522" s="171">
        <v>46042.0</v>
      </c>
      <c r="H1522" s="331">
        <f>IF(G1522="","",IF('VTR AGUARDANDO VISTORIA'!J10="",TODAY()-G1522,'VTR AGUARDANDO VISTORIA'!J10-G1522))</f>
        <v>-14</v>
      </c>
      <c r="I1522" s="173" t="s">
        <v>326</v>
      </c>
      <c r="J1522" s="171">
        <v>46045.0</v>
      </c>
      <c r="K1522" s="169" t="s">
        <v>2758</v>
      </c>
    </row>
    <row r="1523">
      <c r="A1523" s="181">
        <v>16692.0</v>
      </c>
      <c r="B1523" s="176" t="s">
        <v>2043</v>
      </c>
      <c r="C1523" s="174">
        <v>2018.0</v>
      </c>
      <c r="D1523" s="176" t="s">
        <v>14</v>
      </c>
      <c r="E1523" s="176" t="s">
        <v>47</v>
      </c>
      <c r="F1523" s="177" t="s">
        <v>2044</v>
      </c>
      <c r="G1523" s="178">
        <v>46003.0</v>
      </c>
      <c r="H1523" s="332">
        <f>IF(G1523="","",IF('VTR AGUARDANDO VISTORIA'!J11="",TODAY()-G1523,'VTR AGUARDANDO VISTORIA'!J11-G1523))</f>
        <v>185</v>
      </c>
      <c r="I1523" s="175" t="s">
        <v>4930</v>
      </c>
      <c r="J1523" s="269">
        <v>46045.0</v>
      </c>
      <c r="K1523" s="175" t="s">
        <v>2758</v>
      </c>
      <c r="L1523" s="242"/>
      <c r="M1523" s="242"/>
      <c r="N1523" s="242"/>
      <c r="O1523" s="242"/>
      <c r="P1523" s="242"/>
      <c r="Q1523" s="242"/>
      <c r="R1523" s="242"/>
      <c r="S1523" s="242"/>
      <c r="T1523" s="242"/>
      <c r="U1523" s="242"/>
      <c r="V1523" s="242"/>
      <c r="W1523" s="242"/>
      <c r="X1523" s="242"/>
      <c r="Y1523" s="242"/>
      <c r="Z1523" s="242"/>
      <c r="AA1523" s="242"/>
      <c r="AB1523" s="242"/>
      <c r="AC1523" s="242"/>
      <c r="AD1523" s="242"/>
      <c r="AE1523" s="242"/>
      <c r="AF1523" s="242"/>
      <c r="AG1523" s="242"/>
      <c r="AH1523" s="309"/>
      <c r="AI1523" s="242"/>
      <c r="AJ1523" s="242"/>
      <c r="AK1523" s="242"/>
      <c r="AL1523" s="242"/>
      <c r="AM1523" s="242"/>
      <c r="AN1523" s="242"/>
      <c r="AO1523" s="242"/>
    </row>
    <row r="1524">
      <c r="A1524" s="183">
        <v>17311.0</v>
      </c>
      <c r="B1524" s="169" t="s">
        <v>422</v>
      </c>
      <c r="C1524" s="168">
        <v>2013.0</v>
      </c>
      <c r="D1524" s="169" t="s">
        <v>105</v>
      </c>
      <c r="E1524" s="169" t="s">
        <v>3190</v>
      </c>
      <c r="F1524" s="170" t="s">
        <v>423</v>
      </c>
      <c r="G1524" s="171">
        <v>46045.0</v>
      </c>
      <c r="H1524" s="331">
        <f>IF(G1524="","",IF('VTR AGUARDANDO VISTORIA'!J12="",TODAY()-G1524,'VTR AGUARDANDO VISTORIA'!J12-G1524))</f>
        <v>38</v>
      </c>
      <c r="I1524" s="211" t="s">
        <v>4931</v>
      </c>
      <c r="J1524" s="171">
        <v>46045.0</v>
      </c>
      <c r="K1524" s="169" t="s">
        <v>2758</v>
      </c>
    </row>
    <row r="1525">
      <c r="A1525" s="181">
        <v>17320.0</v>
      </c>
      <c r="B1525" s="175" t="s">
        <v>441</v>
      </c>
      <c r="C1525" s="174">
        <v>2022.0</v>
      </c>
      <c r="D1525" s="176" t="s">
        <v>52</v>
      </c>
      <c r="E1525" s="176" t="s">
        <v>442</v>
      </c>
      <c r="F1525" s="177" t="s">
        <v>443</v>
      </c>
      <c r="G1525" s="178">
        <v>46048.0</v>
      </c>
      <c r="H1525" s="332">
        <f>IF(G1525="","",IF('VTR AGUARDANDO VISTORIA'!J13="",TODAY()-G1525,'VTR AGUARDANDO VISTORIA'!J13-G1525))</f>
        <v>-18</v>
      </c>
      <c r="I1525" s="180" t="s">
        <v>444</v>
      </c>
      <c r="J1525" s="178">
        <v>46048.0</v>
      </c>
      <c r="K1525" s="175" t="s">
        <v>2758</v>
      </c>
    </row>
    <row r="1526">
      <c r="A1526" s="183">
        <v>17322.0</v>
      </c>
      <c r="B1526" s="169" t="s">
        <v>450</v>
      </c>
      <c r="C1526" s="168">
        <v>2019.0</v>
      </c>
      <c r="D1526" s="142" t="s">
        <v>451</v>
      </c>
      <c r="E1526" s="142" t="s">
        <v>418</v>
      </c>
      <c r="F1526" s="170" t="s">
        <v>453</v>
      </c>
      <c r="G1526" s="171">
        <v>46048.0</v>
      </c>
      <c r="H1526" s="331">
        <f>IF(G1526="","",IF('VTR AGUARDANDO VISTORIA'!J14="",TODAY()-G1526,'VTR AGUARDANDO VISTORIA'!J14-G1526))</f>
        <v>-18</v>
      </c>
      <c r="I1526" s="173" t="s">
        <v>454</v>
      </c>
      <c r="J1526" s="171">
        <v>46048.0</v>
      </c>
      <c r="K1526" s="169" t="s">
        <v>2758</v>
      </c>
    </row>
    <row r="1527">
      <c r="A1527" s="181">
        <v>17317.0</v>
      </c>
      <c r="B1527" s="175" t="s">
        <v>98</v>
      </c>
      <c r="C1527" s="174">
        <v>2022.0</v>
      </c>
      <c r="D1527" s="176" t="s">
        <v>52</v>
      </c>
      <c r="E1527" s="176" t="s">
        <v>4932</v>
      </c>
      <c r="F1527" s="177" t="s">
        <v>100</v>
      </c>
      <c r="G1527" s="178">
        <v>46048.0</v>
      </c>
      <c r="H1527" s="332">
        <f>IF(G1527="","",IF('VTR AGUARDANDO VISTORIA'!J15="",TODAY()-G1527,'VTR AGUARDANDO VISTORIA'!J15-G1527))</f>
        <v>-13</v>
      </c>
      <c r="I1527" s="180" t="s">
        <v>435</v>
      </c>
      <c r="J1527" s="178">
        <v>46049.0</v>
      </c>
      <c r="K1527" s="175" t="s">
        <v>2758</v>
      </c>
    </row>
    <row r="1528">
      <c r="A1528" s="183">
        <v>17289.0</v>
      </c>
      <c r="B1528" s="169" t="s">
        <v>4621</v>
      </c>
      <c r="C1528" s="168">
        <v>2022.0</v>
      </c>
      <c r="D1528" s="142" t="s">
        <v>52</v>
      </c>
      <c r="E1528" s="142" t="s">
        <v>82</v>
      </c>
      <c r="F1528" s="170" t="s">
        <v>342</v>
      </c>
      <c r="G1528" s="171">
        <v>46042.0</v>
      </c>
      <c r="H1528" s="331">
        <f>IF(G1528="","",IF('VTR AGUARDANDO VISTORIA'!J16="",TODAY()-G1528,'VTR AGUARDANDO VISTORIA'!J16-G1528))</f>
        <v>-12</v>
      </c>
      <c r="I1528" s="173" t="s">
        <v>343</v>
      </c>
      <c r="J1528" s="171">
        <v>46049.0</v>
      </c>
      <c r="K1528" s="169" t="s">
        <v>31</v>
      </c>
    </row>
    <row r="1529">
      <c r="A1529" s="174" t="s">
        <v>4933</v>
      </c>
      <c r="B1529" s="176" t="s">
        <v>403</v>
      </c>
      <c r="C1529" s="174">
        <v>2025.0</v>
      </c>
      <c r="D1529" s="176" t="s">
        <v>404</v>
      </c>
      <c r="E1529" s="176" t="s">
        <v>405</v>
      </c>
      <c r="F1529" s="177" t="s">
        <v>406</v>
      </c>
      <c r="G1529" s="178">
        <v>46045.0</v>
      </c>
      <c r="H1529" s="332">
        <f>IF(G1529="","",IF('VTR AGUARDANDO VISTORIA'!J17="",TODAY()-G1529,'VTR AGUARDANDO VISTORIA'!J17-G1529))</f>
        <v>174</v>
      </c>
      <c r="I1529" s="175" t="s">
        <v>4934</v>
      </c>
      <c r="J1529" s="178">
        <v>46049.0</v>
      </c>
      <c r="K1529" s="175" t="s">
        <v>2758</v>
      </c>
    </row>
    <row r="1530">
      <c r="A1530" s="183">
        <v>17257.0</v>
      </c>
      <c r="B1530" s="142" t="s">
        <v>229</v>
      </c>
      <c r="C1530" s="168">
        <v>2015.0</v>
      </c>
      <c r="D1530" s="142" t="s">
        <v>14</v>
      </c>
      <c r="E1530" s="142" t="s">
        <v>225</v>
      </c>
      <c r="F1530" s="170" t="s">
        <v>230</v>
      </c>
      <c r="G1530" s="171">
        <v>46036.0</v>
      </c>
      <c r="H1530" s="331">
        <f>IF(G1530="","",IF('VTR AGUARDANDO VISTORIA'!J18="",TODAY()-G1530,'VTR AGUARDANDO VISTORIA'!J18-G1530))</f>
        <v>-6</v>
      </c>
      <c r="I1530" s="169" t="s">
        <v>231</v>
      </c>
      <c r="J1530" s="171">
        <v>46049.0</v>
      </c>
      <c r="K1530" s="169" t="s">
        <v>2758</v>
      </c>
    </row>
    <row r="1531">
      <c r="A1531" s="181">
        <v>17269.0</v>
      </c>
      <c r="B1531" s="176" t="s">
        <v>276</v>
      </c>
      <c r="C1531" s="174">
        <v>2017.0</v>
      </c>
      <c r="D1531" s="176" t="s">
        <v>14</v>
      </c>
      <c r="E1531" s="176" t="s">
        <v>277</v>
      </c>
      <c r="F1531" s="177" t="s">
        <v>278</v>
      </c>
      <c r="G1531" s="178">
        <v>46037.0</v>
      </c>
      <c r="H1531" s="332">
        <f>IF(G1531="","",IF('VTR AGUARDANDO VISTORIA'!J19="",TODAY()-G1531,'VTR AGUARDANDO VISTORIA'!J19-G1531))</f>
        <v>186</v>
      </c>
      <c r="I1531" s="175" t="s">
        <v>279</v>
      </c>
      <c r="J1531" s="178">
        <v>46049.0</v>
      </c>
      <c r="K1531" s="175" t="s">
        <v>31</v>
      </c>
    </row>
    <row r="1532">
      <c r="A1532" s="183">
        <v>17255.0</v>
      </c>
      <c r="B1532" s="142" t="s">
        <v>1613</v>
      </c>
      <c r="C1532" s="168">
        <v>2018.0</v>
      </c>
      <c r="D1532" s="142" t="s">
        <v>14</v>
      </c>
      <c r="E1532" s="142" t="s">
        <v>225</v>
      </c>
      <c r="F1532" s="170" t="s">
        <v>226</v>
      </c>
      <c r="G1532" s="171">
        <v>46036.0</v>
      </c>
      <c r="H1532" s="331">
        <f>IF(G1532="","",IF('VTR AGUARDANDO VISTORIA'!J20="",TODAY()-G1532,'VTR AGUARDANDO VISTORIA'!J20-G1532))</f>
        <v>-6</v>
      </c>
      <c r="I1532" s="169" t="s">
        <v>227</v>
      </c>
      <c r="J1532" s="171">
        <v>46049.0</v>
      </c>
      <c r="K1532" s="169" t="s">
        <v>2758</v>
      </c>
    </row>
    <row r="1533">
      <c r="A1533" s="181">
        <v>17329.0</v>
      </c>
      <c r="B1533" s="175" t="s">
        <v>478</v>
      </c>
      <c r="C1533" s="174">
        <v>2014.0</v>
      </c>
      <c r="D1533" s="176" t="s">
        <v>130</v>
      </c>
      <c r="E1533" s="176" t="s">
        <v>4935</v>
      </c>
      <c r="F1533" s="177" t="s">
        <v>479</v>
      </c>
      <c r="G1533" s="178">
        <v>46049.0</v>
      </c>
      <c r="H1533" s="332">
        <f>IF(G1533="","",IF('VTR AGUARDANDO VISTORIA'!J21="",TODAY()-G1533,'VTR AGUARDANDO VISTORIA'!J21-G1533))</f>
        <v>-13</v>
      </c>
      <c r="I1533" s="180" t="s">
        <v>2914</v>
      </c>
      <c r="J1533" s="178">
        <v>46050.0</v>
      </c>
      <c r="K1533" s="175" t="s">
        <v>31</v>
      </c>
    </row>
    <row r="1534">
      <c r="A1534" s="183">
        <v>17324.0</v>
      </c>
      <c r="B1534" s="169" t="s">
        <v>462</v>
      </c>
      <c r="C1534" s="168">
        <v>2022.0</v>
      </c>
      <c r="D1534" s="142" t="s">
        <v>136</v>
      </c>
      <c r="E1534" s="142" t="s">
        <v>82</v>
      </c>
      <c r="F1534" s="170" t="s">
        <v>463</v>
      </c>
      <c r="G1534" s="171">
        <v>46049.0</v>
      </c>
      <c r="H1534" s="331">
        <f>IF(G1534="","",IF('VTR AGUARDANDO VISTORIA'!J22="",TODAY()-G1534,'VTR AGUARDANDO VISTORIA'!J22-G1534))</f>
        <v>-15</v>
      </c>
      <c r="I1534" s="173" t="s">
        <v>464</v>
      </c>
      <c r="J1534" s="171">
        <v>46050.0</v>
      </c>
      <c r="K1534" s="169" t="s">
        <v>31</v>
      </c>
    </row>
    <row r="1535">
      <c r="A1535" s="181">
        <v>17326.0</v>
      </c>
      <c r="B1535" s="175" t="s">
        <v>471</v>
      </c>
      <c r="C1535" s="174">
        <v>2022.0</v>
      </c>
      <c r="D1535" s="176" t="s">
        <v>467</v>
      </c>
      <c r="E1535" s="176" t="s">
        <v>82</v>
      </c>
      <c r="F1535" s="271" t="s">
        <v>472</v>
      </c>
      <c r="G1535" s="178">
        <v>46049.0</v>
      </c>
      <c r="H1535" s="332">
        <f>IF(G1535="","",IF('VTR AGUARDANDO VISTORIA'!J23="",TODAY()-G1535,'VTR AGUARDANDO VISTORIA'!J23-G1535))</f>
        <v>-19</v>
      </c>
      <c r="I1535" s="180" t="s">
        <v>469</v>
      </c>
      <c r="J1535" s="178">
        <v>46050.0</v>
      </c>
      <c r="K1535" s="175" t="s">
        <v>31</v>
      </c>
    </row>
    <row r="1536">
      <c r="A1536" s="183">
        <v>17325.0</v>
      </c>
      <c r="B1536" s="169" t="s">
        <v>466</v>
      </c>
      <c r="C1536" s="168">
        <v>2022.0</v>
      </c>
      <c r="D1536" s="142" t="s">
        <v>467</v>
      </c>
      <c r="E1536" s="142" t="s">
        <v>82</v>
      </c>
      <c r="F1536" s="235" t="s">
        <v>468</v>
      </c>
      <c r="G1536" s="171">
        <v>46049.0</v>
      </c>
      <c r="H1536" s="331">
        <f>IF(G1536="","",IF('VTR AGUARDANDO VISTORIA'!J24="",TODAY()-G1536,'VTR AGUARDANDO VISTORIA'!J24-G1536))</f>
        <v>176</v>
      </c>
      <c r="I1536" s="173" t="s">
        <v>469</v>
      </c>
      <c r="J1536" s="171">
        <v>46050.0</v>
      </c>
      <c r="K1536" s="169" t="s">
        <v>31</v>
      </c>
    </row>
    <row r="1537">
      <c r="A1537" s="181">
        <v>17201.0</v>
      </c>
      <c r="B1537" s="176" t="s">
        <v>26</v>
      </c>
      <c r="C1537" s="174">
        <v>2013.0</v>
      </c>
      <c r="D1537" s="176" t="s">
        <v>105</v>
      </c>
      <c r="E1537" s="176" t="s">
        <v>28</v>
      </c>
      <c r="F1537" s="177" t="s">
        <v>29</v>
      </c>
      <c r="G1537" s="178">
        <v>46027.0</v>
      </c>
      <c r="H1537" s="332">
        <f>IF(G1537="","",IF('VTR AGUARDANDO VISTORIA'!J25="",TODAY()-G1537,'VTR AGUARDANDO VISTORIA'!J25-G1537))</f>
        <v>137</v>
      </c>
      <c r="I1537" s="175" t="s">
        <v>4936</v>
      </c>
      <c r="J1537" s="178">
        <v>46050.0</v>
      </c>
      <c r="K1537" s="175" t="s">
        <v>31</v>
      </c>
    </row>
    <row r="1538">
      <c r="A1538" s="183">
        <v>17334.0</v>
      </c>
      <c r="B1538" s="169" t="s">
        <v>490</v>
      </c>
      <c r="C1538" s="168">
        <v>2022.0</v>
      </c>
      <c r="D1538" s="142" t="s">
        <v>52</v>
      </c>
      <c r="E1538" s="142" t="s">
        <v>183</v>
      </c>
      <c r="F1538" s="170" t="s">
        <v>491</v>
      </c>
      <c r="G1538" s="171">
        <v>46050.0</v>
      </c>
      <c r="H1538" s="331">
        <f>IF(G1538="","",IF('VTR AGUARDANDO VISTORIA'!J26="",TODAY()-G1538,'VTR AGUARDANDO VISTORIA'!J26-G1538))</f>
        <v>-19</v>
      </c>
      <c r="I1538" s="173" t="s">
        <v>492</v>
      </c>
      <c r="J1538" s="171">
        <v>46050.0</v>
      </c>
      <c r="K1538" s="169" t="s">
        <v>2758</v>
      </c>
    </row>
    <row r="1539">
      <c r="A1539" s="181">
        <v>17221.0</v>
      </c>
      <c r="B1539" s="176" t="s">
        <v>3206</v>
      </c>
      <c r="C1539" s="174">
        <v>2013.0</v>
      </c>
      <c r="D1539" s="176" t="s">
        <v>105</v>
      </c>
      <c r="E1539" s="176" t="s">
        <v>106</v>
      </c>
      <c r="F1539" s="177" t="s">
        <v>107</v>
      </c>
      <c r="G1539" s="178">
        <v>46030.0</v>
      </c>
      <c r="H1539" s="332">
        <f>IF(G1539="","",IF('VTR AGUARDANDO VISTORIA'!J27="",TODAY()-G1539,'VTR AGUARDANDO VISTORIA'!J27-G1539))</f>
        <v>195</v>
      </c>
      <c r="I1539" s="175" t="s">
        <v>108</v>
      </c>
      <c r="J1539" s="178">
        <v>46050.0</v>
      </c>
      <c r="K1539" s="175" t="s">
        <v>31</v>
      </c>
    </row>
    <row r="1540">
      <c r="A1540" s="183">
        <v>17335.0</v>
      </c>
      <c r="B1540" s="169" t="s">
        <v>494</v>
      </c>
      <c r="C1540" s="168">
        <v>2022.0</v>
      </c>
      <c r="D1540" s="142" t="s">
        <v>52</v>
      </c>
      <c r="E1540" s="142" t="s">
        <v>319</v>
      </c>
      <c r="F1540" s="241">
        <v>46296.0</v>
      </c>
      <c r="G1540" s="171">
        <v>46050.0</v>
      </c>
      <c r="H1540" s="331">
        <f>IF(G1540="","",IF('VTR AGUARDANDO VISTORIA'!J28="",TODAY()-G1540,'VTR AGUARDANDO VISTORIA'!J28-G1540))</f>
        <v>-19</v>
      </c>
      <c r="I1540" s="173" t="s">
        <v>4937</v>
      </c>
      <c r="J1540" s="171">
        <v>46050.0</v>
      </c>
      <c r="K1540" s="169" t="s">
        <v>2758</v>
      </c>
    </row>
    <row r="1541">
      <c r="A1541" s="181">
        <v>17350.0</v>
      </c>
      <c r="B1541" s="175" t="s">
        <v>535</v>
      </c>
      <c r="C1541" s="174">
        <v>2020.0</v>
      </c>
      <c r="D1541" s="176" t="s">
        <v>81</v>
      </c>
      <c r="E1541" s="176" t="s">
        <v>99</v>
      </c>
      <c r="F1541" s="177" t="s">
        <v>537</v>
      </c>
      <c r="G1541" s="178">
        <v>46051.0</v>
      </c>
      <c r="H1541" s="332">
        <f>IF(G1541="","",IF('VTR AGUARDANDO VISTORIA'!J29="",TODAY()-G1541,'VTR AGUARDANDO VISTORIA'!J29-G1541))</f>
        <v>-14</v>
      </c>
      <c r="I1541" s="180" t="s">
        <v>4938</v>
      </c>
      <c r="J1541" s="178">
        <v>46051.0</v>
      </c>
      <c r="K1541" s="175" t="s">
        <v>2758</v>
      </c>
    </row>
    <row r="1542">
      <c r="A1542" s="183">
        <v>17349.0</v>
      </c>
      <c r="B1542" s="169" t="s">
        <v>530</v>
      </c>
      <c r="C1542" s="168">
        <v>2022.0</v>
      </c>
      <c r="D1542" s="142" t="s">
        <v>52</v>
      </c>
      <c r="E1542" s="142" t="s">
        <v>99</v>
      </c>
      <c r="F1542" s="170" t="s">
        <v>532</v>
      </c>
      <c r="G1542" s="171">
        <v>46051.0</v>
      </c>
      <c r="H1542" s="331">
        <f>IF(G1542="","",IF('VTR AGUARDANDO VISTORIA'!J30="",TODAY()-G1542,'VTR AGUARDANDO VISTORIA'!J30-G1542))</f>
        <v>-14</v>
      </c>
      <c r="I1542" s="173" t="s">
        <v>533</v>
      </c>
      <c r="J1542" s="171">
        <v>46051.0</v>
      </c>
      <c r="K1542" s="169" t="s">
        <v>2758</v>
      </c>
    </row>
    <row r="1543">
      <c r="A1543" s="181">
        <v>17353.0</v>
      </c>
      <c r="B1543" s="175" t="s">
        <v>124</v>
      </c>
      <c r="C1543" s="174">
        <v>2022.0</v>
      </c>
      <c r="D1543" s="176" t="s">
        <v>52</v>
      </c>
      <c r="E1543" s="176" t="s">
        <v>418</v>
      </c>
      <c r="F1543" s="177" t="s">
        <v>126</v>
      </c>
      <c r="G1543" s="178">
        <v>46051.0</v>
      </c>
      <c r="H1543" s="332">
        <f>IF(G1543="","",IF('VTR AGUARDANDO VISTORIA'!J31="",TODAY()-G1543,'VTR AGUARDANDO VISTORIA'!J31-G1543))</f>
        <v>-17</v>
      </c>
      <c r="I1543" s="180" t="s">
        <v>541</v>
      </c>
      <c r="J1543" s="178">
        <v>46051.0</v>
      </c>
      <c r="K1543" s="175" t="s">
        <v>2758</v>
      </c>
    </row>
    <row r="1544">
      <c r="A1544" s="168" t="s">
        <v>4939</v>
      </c>
      <c r="B1544" s="169" t="s">
        <v>550</v>
      </c>
      <c r="C1544" s="168">
        <v>2018.0</v>
      </c>
      <c r="D1544" s="142" t="s">
        <v>14</v>
      </c>
      <c r="E1544" s="142" t="s">
        <v>70</v>
      </c>
      <c r="F1544" s="170" t="s">
        <v>1015</v>
      </c>
      <c r="G1544" s="171">
        <v>46051.0</v>
      </c>
      <c r="H1544" s="331">
        <f>IF(G1544="","",IF('VTR AGUARDANDO VISTORIA'!J32="",TODAY()-G1544,'VTR AGUARDANDO VISTORIA'!J32-G1544))</f>
        <v>153</v>
      </c>
      <c r="I1544" s="173" t="s">
        <v>3097</v>
      </c>
      <c r="J1544" s="171">
        <v>46051.0</v>
      </c>
      <c r="K1544" s="169" t="s">
        <v>2758</v>
      </c>
    </row>
    <row r="1545">
      <c r="A1545" s="181">
        <v>17336.0</v>
      </c>
      <c r="B1545" s="175" t="s">
        <v>498</v>
      </c>
      <c r="C1545" s="174">
        <v>2022.0</v>
      </c>
      <c r="D1545" s="176" t="s">
        <v>52</v>
      </c>
      <c r="E1545" s="176" t="s">
        <v>350</v>
      </c>
      <c r="F1545" s="177" t="s">
        <v>499</v>
      </c>
      <c r="G1545" s="178">
        <v>46050.0</v>
      </c>
      <c r="H1545" s="332">
        <f>IF(G1545="","",IF('VTR AGUARDANDO VISTORIA'!J33="",TODAY()-G1545,'VTR AGUARDANDO VISTORIA'!J33-G1545))</f>
        <v>-16</v>
      </c>
      <c r="I1545" s="180" t="s">
        <v>500</v>
      </c>
      <c r="J1545" s="178">
        <v>46051.0</v>
      </c>
      <c r="K1545" s="175" t="s">
        <v>84</v>
      </c>
    </row>
    <row r="1546">
      <c r="A1546" s="183">
        <v>17359.0</v>
      </c>
      <c r="B1546" s="169" t="s">
        <v>111</v>
      </c>
      <c r="C1546" s="168">
        <v>2022.0</v>
      </c>
      <c r="D1546" s="142" t="s">
        <v>52</v>
      </c>
      <c r="E1546" s="142" t="s">
        <v>28</v>
      </c>
      <c r="F1546" s="170" t="s">
        <v>112</v>
      </c>
      <c r="G1546" s="171">
        <v>46052.0</v>
      </c>
      <c r="H1546" s="331">
        <f>IF(G1546="","",IF('VTR AGUARDANDO VISTORIA'!J34="",TODAY()-G1546,'VTR AGUARDANDO VISTORIA'!J34-G1546))</f>
        <v>108</v>
      </c>
      <c r="I1546" s="173" t="s">
        <v>564</v>
      </c>
      <c r="J1546" s="171">
        <v>46052.0</v>
      </c>
      <c r="K1546" s="169" t="s">
        <v>2758</v>
      </c>
    </row>
    <row r="1547">
      <c r="A1547" s="181">
        <v>17309.0</v>
      </c>
      <c r="B1547" s="176" t="s">
        <v>413</v>
      </c>
      <c r="C1547" s="174">
        <v>2018.0</v>
      </c>
      <c r="D1547" s="176" t="s">
        <v>14</v>
      </c>
      <c r="E1547" s="176" t="s">
        <v>368</v>
      </c>
      <c r="F1547" s="177" t="s">
        <v>3885</v>
      </c>
      <c r="G1547" s="178">
        <v>46045.0</v>
      </c>
      <c r="H1547" s="332">
        <f>IF(G1547="","",IF('VTR AGUARDANDO VISTORIA'!J35="",TODAY()-G1547,'VTR AGUARDANDO VISTORIA'!J35-G1547))</f>
        <v>13</v>
      </c>
      <c r="I1547" s="175" t="s">
        <v>415</v>
      </c>
      <c r="J1547" s="269">
        <v>46052.0</v>
      </c>
      <c r="K1547" s="175" t="s">
        <v>2758</v>
      </c>
      <c r="L1547" s="242"/>
      <c r="M1547" s="242"/>
      <c r="N1547" s="242"/>
      <c r="O1547" s="242"/>
      <c r="P1547" s="242"/>
      <c r="Q1547" s="242"/>
      <c r="R1547" s="242"/>
      <c r="S1547" s="242"/>
      <c r="T1547" s="242"/>
      <c r="U1547" s="242"/>
      <c r="V1547" s="242"/>
      <c r="W1547" s="242"/>
      <c r="X1547" s="242"/>
      <c r="Y1547" s="242"/>
      <c r="Z1547" s="242"/>
      <c r="AA1547" s="242"/>
      <c r="AB1547" s="242"/>
      <c r="AC1547" s="242"/>
      <c r="AD1547" s="242"/>
      <c r="AE1547" s="242"/>
      <c r="AF1547" s="242"/>
      <c r="AG1547" s="242"/>
      <c r="AH1547" s="309"/>
      <c r="AI1547" s="242"/>
      <c r="AJ1547" s="242"/>
      <c r="AK1547" s="242"/>
      <c r="AL1547" s="242"/>
      <c r="AM1547" s="242"/>
      <c r="AN1547" s="242"/>
      <c r="AO1547" s="242"/>
    </row>
    <row r="1548">
      <c r="A1548" s="168" t="s">
        <v>455</v>
      </c>
      <c r="B1548" s="169" t="s">
        <v>281</v>
      </c>
      <c r="C1548" s="168">
        <v>2023.0</v>
      </c>
      <c r="D1548" s="142" t="s">
        <v>814</v>
      </c>
      <c r="E1548" s="142" t="s">
        <v>28</v>
      </c>
      <c r="F1548" s="170" t="s">
        <v>283</v>
      </c>
      <c r="G1548" s="171">
        <v>46049.0</v>
      </c>
      <c r="H1548" s="331">
        <f>IF(G1548="","",IF('VTR AGUARDANDO VISTORIA'!J36="",TODAY()-G1548,'VTR AGUARDANDO VISTORIA'!J36-G1548))</f>
        <v>-15</v>
      </c>
      <c r="I1548" s="173" t="s">
        <v>456</v>
      </c>
      <c r="J1548" s="171">
        <v>46052.0</v>
      </c>
      <c r="K1548" s="169" t="s">
        <v>31</v>
      </c>
    </row>
    <row r="1549">
      <c r="A1549" s="174" t="s">
        <v>457</v>
      </c>
      <c r="B1549" s="175" t="s">
        <v>458</v>
      </c>
      <c r="C1549" s="174">
        <v>2023.0</v>
      </c>
      <c r="D1549" s="176" t="s">
        <v>814</v>
      </c>
      <c r="E1549" s="176" t="s">
        <v>792</v>
      </c>
      <c r="F1549" s="177" t="s">
        <v>460</v>
      </c>
      <c r="G1549" s="178">
        <v>46049.0</v>
      </c>
      <c r="H1549" s="332">
        <f>IF(G1549="","",IF('VTR AGUARDANDO VISTORIA'!J37="",TODAY()-G1549,'VTR AGUARDANDO VISTORIA'!J37-G1549))</f>
        <v>-14</v>
      </c>
      <c r="I1549" s="180" t="s">
        <v>456</v>
      </c>
      <c r="J1549" s="178">
        <v>46052.0</v>
      </c>
      <c r="K1549" s="175" t="s">
        <v>31</v>
      </c>
    </row>
    <row r="1550">
      <c r="A1550" s="168" t="s">
        <v>4940</v>
      </c>
      <c r="B1550" s="169" t="s">
        <v>4479</v>
      </c>
      <c r="C1550" s="168">
        <v>2024.0</v>
      </c>
      <c r="D1550" s="142" t="s">
        <v>4941</v>
      </c>
      <c r="E1550" s="142" t="s">
        <v>4942</v>
      </c>
      <c r="F1550" s="170">
        <v>94504.0</v>
      </c>
      <c r="G1550" s="171">
        <v>46052.0</v>
      </c>
      <c r="H1550" s="331">
        <f>IF(G1550="","",IF('VTR AGUARDANDO VISTORIA'!J38="",TODAY()-G1550,'VTR AGUARDANDO VISTORIA'!J38-G1550))</f>
        <v>28</v>
      </c>
      <c r="I1550" s="173" t="s">
        <v>4943</v>
      </c>
      <c r="J1550" s="171">
        <v>46052.0</v>
      </c>
      <c r="K1550" s="169" t="s">
        <v>2758</v>
      </c>
    </row>
    <row r="1551">
      <c r="A1551" s="181">
        <v>17231.0</v>
      </c>
      <c r="B1551" s="176" t="s">
        <v>135</v>
      </c>
      <c r="C1551" s="174">
        <v>2014.0</v>
      </c>
      <c r="D1551" s="176" t="s">
        <v>136</v>
      </c>
      <c r="E1551" s="176" t="s">
        <v>143</v>
      </c>
      <c r="F1551" s="177" t="s">
        <v>138</v>
      </c>
      <c r="G1551" s="178">
        <v>46030.0</v>
      </c>
      <c r="H1551" s="332">
        <f>IF(G1551="","",IF('VTR AGUARDANDO VISTORIA'!J39="",TODAY()-G1551,'VTR AGUARDANDO VISTORIA'!J39-G1551))</f>
        <v>5</v>
      </c>
      <c r="I1551" s="175" t="s">
        <v>139</v>
      </c>
      <c r="J1551" s="178">
        <v>46055.0</v>
      </c>
      <c r="K1551" s="175" t="s">
        <v>31</v>
      </c>
    </row>
    <row r="1552">
      <c r="A1552" s="183">
        <v>17243.0</v>
      </c>
      <c r="B1552" s="142" t="s">
        <v>181</v>
      </c>
      <c r="C1552" s="168">
        <v>2017.0</v>
      </c>
      <c r="D1552" s="142" t="s">
        <v>14</v>
      </c>
      <c r="E1552" s="142" t="s">
        <v>183</v>
      </c>
      <c r="F1552" s="170" t="s">
        <v>184</v>
      </c>
      <c r="G1552" s="171">
        <v>46034.0</v>
      </c>
      <c r="H1552" s="331">
        <f>IF(G1552="","",IF('VTR AGUARDANDO VISTORIA'!J40="",TODAY()-G1552,'VTR AGUARDANDO VISTORIA'!J40-G1552))</f>
        <v>1</v>
      </c>
      <c r="I1552" s="169" t="s">
        <v>4944</v>
      </c>
      <c r="J1552" s="171">
        <v>46055.0</v>
      </c>
      <c r="K1552" s="169" t="s">
        <v>2758</v>
      </c>
    </row>
    <row r="1553">
      <c r="A1553" s="181">
        <v>17367.0</v>
      </c>
      <c r="B1553" s="175" t="s">
        <v>124</v>
      </c>
      <c r="C1553" s="174">
        <v>2022.0</v>
      </c>
      <c r="D1553" s="176" t="s">
        <v>52</v>
      </c>
      <c r="E1553" s="176" t="s">
        <v>418</v>
      </c>
      <c r="F1553" s="177" t="s">
        <v>126</v>
      </c>
      <c r="G1553" s="178">
        <v>46055.0</v>
      </c>
      <c r="H1553" s="332">
        <f>IF(G1553="","",IF('VTR AGUARDANDO VISTORIA'!J41="",TODAY()-G1553,'VTR AGUARDANDO VISTORIA'!J41-G1553))</f>
        <v>170</v>
      </c>
      <c r="I1553" s="180" t="s">
        <v>579</v>
      </c>
      <c r="J1553" s="178">
        <v>46055.0</v>
      </c>
      <c r="K1553" s="175" t="s">
        <v>2758</v>
      </c>
    </row>
    <row r="1554">
      <c r="A1554" s="183">
        <v>17368.0</v>
      </c>
      <c r="B1554" s="169" t="s">
        <v>581</v>
      </c>
      <c r="C1554" s="168">
        <v>2020.0</v>
      </c>
      <c r="D1554" s="142" t="s">
        <v>75</v>
      </c>
      <c r="E1554" s="142" t="s">
        <v>319</v>
      </c>
      <c r="F1554" s="170" t="s">
        <v>583</v>
      </c>
      <c r="G1554" s="171">
        <v>46055.0</v>
      </c>
      <c r="H1554" s="331">
        <f>IF(G1554="","",IF('VTR AGUARDANDO VISTORIA'!J42="",TODAY()-G1554,'VTR AGUARDANDO VISTORIA'!J42-G1554))</f>
        <v>-19</v>
      </c>
      <c r="I1554" s="173" t="s">
        <v>584</v>
      </c>
      <c r="J1554" s="171">
        <v>46055.0</v>
      </c>
      <c r="K1554" s="169" t="s">
        <v>31</v>
      </c>
    </row>
    <row r="1555">
      <c r="A1555" s="181">
        <v>17370.0</v>
      </c>
      <c r="B1555" s="175" t="s">
        <v>589</v>
      </c>
      <c r="C1555" s="174">
        <v>2022.0</v>
      </c>
      <c r="D1555" s="176" t="s">
        <v>590</v>
      </c>
      <c r="E1555" s="176" t="s">
        <v>82</v>
      </c>
      <c r="F1555" s="271" t="s">
        <v>591</v>
      </c>
      <c r="G1555" s="178">
        <v>46055.0</v>
      </c>
      <c r="H1555" s="332">
        <f>IF(G1555="","",IF('VTR AGUARDANDO VISTORIA'!J43="",TODAY()-G1555,'VTR AGUARDANDO VISTORIA'!J43-G1555))</f>
        <v>-6</v>
      </c>
      <c r="I1555" s="180" t="s">
        <v>592</v>
      </c>
      <c r="J1555" s="178">
        <v>46055.0</v>
      </c>
      <c r="K1555" s="175" t="s">
        <v>31</v>
      </c>
    </row>
    <row r="1556">
      <c r="A1556" s="183">
        <v>17300.0</v>
      </c>
      <c r="B1556" s="142" t="s">
        <v>388</v>
      </c>
      <c r="C1556" s="168">
        <v>2010.0</v>
      </c>
      <c r="D1556" s="142" t="s">
        <v>2705</v>
      </c>
      <c r="E1556" s="142" t="s">
        <v>805</v>
      </c>
      <c r="F1556" s="170" t="s">
        <v>389</v>
      </c>
      <c r="G1556" s="171">
        <v>46044.0</v>
      </c>
      <c r="H1556" s="331">
        <f>IF(G1556="","",IF('VTR AGUARDANDO VISTORIA'!J44="",TODAY()-G1556,'VTR AGUARDANDO VISTORIA'!J44-G1556))</f>
        <v>8</v>
      </c>
      <c r="I1556" s="211" t="s">
        <v>390</v>
      </c>
      <c r="J1556" s="171">
        <v>46055.0</v>
      </c>
      <c r="K1556" s="169" t="s">
        <v>2758</v>
      </c>
    </row>
    <row r="1557">
      <c r="A1557" s="181">
        <v>17305.0</v>
      </c>
      <c r="B1557" s="176" t="s">
        <v>395</v>
      </c>
      <c r="C1557" s="174">
        <v>2014.0</v>
      </c>
      <c r="D1557" s="176" t="s">
        <v>136</v>
      </c>
      <c r="E1557" s="176" t="s">
        <v>47</v>
      </c>
      <c r="F1557" s="177" t="s">
        <v>396</v>
      </c>
      <c r="G1557" s="178">
        <v>46044.0</v>
      </c>
      <c r="H1557" s="332">
        <f>IF(G1557="","",IF('VTR AGUARDANDO VISTORIA'!J45="",TODAY()-G1557,'VTR AGUARDANDO VISTORIA'!J45-G1557))</f>
        <v>-7</v>
      </c>
      <c r="I1557" s="175" t="s">
        <v>397</v>
      </c>
      <c r="J1557" s="178">
        <v>46055.0</v>
      </c>
      <c r="K1557" s="175" t="s">
        <v>31</v>
      </c>
    </row>
    <row r="1558">
      <c r="A1558" s="183">
        <v>17374.0</v>
      </c>
      <c r="B1558" s="142" t="s">
        <v>605</v>
      </c>
      <c r="C1558" s="168">
        <v>2020.0</v>
      </c>
      <c r="D1558" s="142" t="s">
        <v>14</v>
      </c>
      <c r="E1558" s="142" t="s">
        <v>47</v>
      </c>
      <c r="F1558" s="241">
        <v>46378.0</v>
      </c>
      <c r="G1558" s="171">
        <v>46055.0</v>
      </c>
      <c r="H1558" s="331">
        <f>IF(G1558="","",IF('VTR AGUARDANDO VISTORIA'!J46="",TODAY()-G1558,'VTR AGUARDANDO VISTORIA'!J46-G1558))</f>
        <v>144</v>
      </c>
      <c r="I1558" s="211" t="s">
        <v>607</v>
      </c>
      <c r="J1558" s="171">
        <v>46056.0</v>
      </c>
      <c r="K1558" s="169" t="s">
        <v>1200</v>
      </c>
    </row>
    <row r="1559">
      <c r="A1559" s="181">
        <v>17384.0</v>
      </c>
      <c r="B1559" s="175" t="s">
        <v>80</v>
      </c>
      <c r="C1559" s="174">
        <v>2020.0</v>
      </c>
      <c r="D1559" s="176" t="s">
        <v>105</v>
      </c>
      <c r="E1559" s="176" t="s">
        <v>82</v>
      </c>
      <c r="F1559" s="177" t="s">
        <v>83</v>
      </c>
      <c r="G1559" s="178">
        <v>46056.0</v>
      </c>
      <c r="H1559" s="332">
        <f>IF(G1559="","",IF('VTR AGUARDANDO VISTORIA'!J47="",TODAY()-G1559,'VTR AGUARDANDO VISTORIA'!J47-G1559))</f>
        <v>169</v>
      </c>
      <c r="I1559" s="180" t="s">
        <v>626</v>
      </c>
      <c r="J1559" s="178">
        <v>46056.0</v>
      </c>
      <c r="K1559" s="175" t="s">
        <v>2758</v>
      </c>
    </row>
    <row r="1560">
      <c r="A1560" s="183">
        <v>17385.0</v>
      </c>
      <c r="B1560" s="169" t="s">
        <v>628</v>
      </c>
      <c r="C1560" s="168">
        <v>2022.0</v>
      </c>
      <c r="D1560" s="142" t="s">
        <v>52</v>
      </c>
      <c r="E1560" s="142" t="s">
        <v>630</v>
      </c>
      <c r="F1560" s="170" t="s">
        <v>631</v>
      </c>
      <c r="G1560" s="171">
        <v>46056.0</v>
      </c>
      <c r="H1560" s="331">
        <f>IF(G1560="","",IF('VTR AGUARDANDO VISTORIA'!J48="",TODAY()-G1560,'VTR AGUARDANDO VISTORIA'!J48-G1560))</f>
        <v>106</v>
      </c>
      <c r="I1560" s="173" t="s">
        <v>4945</v>
      </c>
      <c r="J1560" s="171">
        <v>46056.0</v>
      </c>
      <c r="K1560" s="169" t="s">
        <v>2758</v>
      </c>
    </row>
    <row r="1561">
      <c r="A1561" s="193"/>
      <c r="B1561" s="333" t="s">
        <v>417</v>
      </c>
      <c r="C1561" s="174">
        <v>2022.0</v>
      </c>
      <c r="D1561" s="176" t="s">
        <v>52</v>
      </c>
      <c r="E1561" s="176" t="s">
        <v>418</v>
      </c>
      <c r="F1561" s="177" t="s">
        <v>419</v>
      </c>
      <c r="G1561" s="178">
        <v>46056.0</v>
      </c>
      <c r="H1561" s="332">
        <f>IF(G1561="","",IF('VTR AGUARDANDO VISTORIA'!J49="",TODAY()-G1561,'VTR AGUARDANDO VISTORIA'!J49-G1561))</f>
        <v>-19</v>
      </c>
      <c r="I1561" s="180" t="s">
        <v>4946</v>
      </c>
      <c r="J1561" s="178">
        <v>46056.0</v>
      </c>
      <c r="K1561" s="175" t="s">
        <v>31</v>
      </c>
    </row>
    <row r="1562">
      <c r="A1562" s="183">
        <v>17389.0</v>
      </c>
      <c r="B1562" s="169" t="s">
        <v>490</v>
      </c>
      <c r="C1562" s="168">
        <v>2022.0</v>
      </c>
      <c r="D1562" s="142" t="s">
        <v>52</v>
      </c>
      <c r="E1562" s="142" t="s">
        <v>183</v>
      </c>
      <c r="F1562" s="170" t="s">
        <v>491</v>
      </c>
      <c r="G1562" s="171">
        <v>46057.0</v>
      </c>
      <c r="H1562" s="331">
        <f>IF(G1562="","",IF('VTR AGUARDANDO VISTORIA'!J50="",TODAY()-G1562,'VTR AGUARDANDO VISTORIA'!J50-G1562))</f>
        <v>-14</v>
      </c>
      <c r="I1562" s="173" t="s">
        <v>645</v>
      </c>
      <c r="J1562" s="171">
        <v>46057.0</v>
      </c>
      <c r="K1562" s="169" t="s">
        <v>2758</v>
      </c>
    </row>
    <row r="1563">
      <c r="A1563" s="181">
        <v>17376.0</v>
      </c>
      <c r="B1563" s="175" t="s">
        <v>609</v>
      </c>
      <c r="C1563" s="174">
        <v>2022.0</v>
      </c>
      <c r="D1563" s="176" t="s">
        <v>52</v>
      </c>
      <c r="E1563" s="176" t="s">
        <v>610</v>
      </c>
      <c r="F1563" s="177" t="s">
        <v>611</v>
      </c>
      <c r="G1563" s="178">
        <v>46056.0</v>
      </c>
      <c r="H1563" s="332">
        <f>IF(G1563="","",IF('VTR AGUARDANDO VISTORIA'!J51="",TODAY()-G1563,'VTR AGUARDANDO VISTORIA'!J51-G1563))</f>
        <v>-19</v>
      </c>
      <c r="I1563" s="180" t="s">
        <v>612</v>
      </c>
      <c r="J1563" s="178">
        <v>46057.0</v>
      </c>
      <c r="K1563" s="175" t="s">
        <v>2758</v>
      </c>
    </row>
    <row r="1564">
      <c r="A1564" s="183">
        <v>17407.0</v>
      </c>
      <c r="B1564" s="169" t="s">
        <v>705</v>
      </c>
      <c r="C1564" s="168">
        <v>2022.0</v>
      </c>
      <c r="D1564" s="142" t="s">
        <v>52</v>
      </c>
      <c r="E1564" s="142" t="s">
        <v>169</v>
      </c>
      <c r="F1564" s="170" t="s">
        <v>706</v>
      </c>
      <c r="G1564" s="171">
        <v>46058.0</v>
      </c>
      <c r="H1564" s="331">
        <f>IF(G1564="","",IF('VTR AGUARDANDO VISTORIA'!J52="",TODAY()-G1564,'VTR AGUARDANDO VISTORIA'!J52-G1564))</f>
        <v>167</v>
      </c>
      <c r="I1564" s="173" t="s">
        <v>707</v>
      </c>
      <c r="J1564" s="171">
        <v>46058.0</v>
      </c>
      <c r="K1564" s="169" t="s">
        <v>2758</v>
      </c>
    </row>
    <row r="1565">
      <c r="A1565" s="181">
        <v>17408.0</v>
      </c>
      <c r="B1565" s="175" t="s">
        <v>709</v>
      </c>
      <c r="C1565" s="174">
        <v>2022.0</v>
      </c>
      <c r="D1565" s="176" t="s">
        <v>52</v>
      </c>
      <c r="E1565" s="176" t="s">
        <v>235</v>
      </c>
      <c r="F1565" s="177" t="s">
        <v>710</v>
      </c>
      <c r="G1565" s="178">
        <v>46058.0</v>
      </c>
      <c r="H1565" s="332">
        <f>IF(G1565="","",IF('VTR AGUARDANDO VISTORIA'!J53="",TODAY()-G1565,'VTR AGUARDANDO VISTORIA'!J53-G1565))</f>
        <v>-14</v>
      </c>
      <c r="I1565" s="180" t="s">
        <v>711</v>
      </c>
      <c r="J1565" s="178">
        <v>46058.0</v>
      </c>
      <c r="K1565" s="175" t="s">
        <v>2758</v>
      </c>
    </row>
    <row r="1566">
      <c r="A1566" s="183">
        <v>17244.0</v>
      </c>
      <c r="B1566" s="142" t="s">
        <v>187</v>
      </c>
      <c r="C1566" s="168">
        <v>2014.0</v>
      </c>
      <c r="D1566" s="142" t="s">
        <v>188</v>
      </c>
      <c r="E1566" s="142" t="s">
        <v>183</v>
      </c>
      <c r="F1566" s="170" t="s">
        <v>189</v>
      </c>
      <c r="G1566" s="171">
        <v>46034.0</v>
      </c>
      <c r="H1566" s="331">
        <f>IF(G1566="","",IF('VTR AGUARDANDO VISTORIA'!J54="",TODAY()-G1566,'VTR AGUARDANDO VISTORIA'!J54-G1566))</f>
        <v>191</v>
      </c>
      <c r="I1566" s="169" t="s">
        <v>190</v>
      </c>
      <c r="J1566" s="171">
        <v>46058.0</v>
      </c>
      <c r="K1566" s="169" t="s">
        <v>2758</v>
      </c>
    </row>
    <row r="1567">
      <c r="A1567" s="181">
        <v>17396.0</v>
      </c>
      <c r="B1567" s="175" t="s">
        <v>664</v>
      </c>
      <c r="C1567" s="174">
        <v>2014.0</v>
      </c>
      <c r="D1567" s="176" t="s">
        <v>105</v>
      </c>
      <c r="E1567" s="176" t="s">
        <v>169</v>
      </c>
      <c r="F1567" s="177" t="s">
        <v>665</v>
      </c>
      <c r="G1567" s="178">
        <v>46057.0</v>
      </c>
      <c r="H1567" s="332">
        <f>IF(G1567="","",IF('VTR AGUARDANDO VISTORIA'!J55="",TODAY()-G1567,'VTR AGUARDANDO VISTORIA'!J55-G1567))</f>
        <v>-16</v>
      </c>
      <c r="I1567" s="180" t="s">
        <v>666</v>
      </c>
      <c r="J1567" s="178">
        <v>46058.0</v>
      </c>
      <c r="K1567" s="175" t="s">
        <v>2758</v>
      </c>
    </row>
    <row r="1568">
      <c r="A1568" s="183">
        <v>17400.0</v>
      </c>
      <c r="B1568" s="169" t="s">
        <v>1836</v>
      </c>
      <c r="C1568" s="168">
        <v>2014.0</v>
      </c>
      <c r="D1568" s="142" t="s">
        <v>105</v>
      </c>
      <c r="E1568" s="142" t="s">
        <v>125</v>
      </c>
      <c r="F1568" s="170" t="s">
        <v>4947</v>
      </c>
      <c r="G1568" s="171">
        <v>46058.0</v>
      </c>
      <c r="H1568" s="331">
        <f>IF(G1568="","",IF('VTR AGUARDANDO VISTORIA'!J56="",TODAY()-G1568,'VTR AGUARDANDO VISTORIA'!J56-G1568))</f>
        <v>167</v>
      </c>
      <c r="I1568" s="173" t="s">
        <v>677</v>
      </c>
      <c r="J1568" s="171">
        <v>46058.0</v>
      </c>
      <c r="K1568" s="169" t="s">
        <v>2758</v>
      </c>
    </row>
    <row r="1569">
      <c r="A1569" s="181">
        <v>17419.0</v>
      </c>
      <c r="B1569" s="175" t="s">
        <v>729</v>
      </c>
      <c r="C1569" s="174">
        <v>2019.0</v>
      </c>
      <c r="D1569" s="176" t="s">
        <v>75</v>
      </c>
      <c r="E1569" s="176" t="s">
        <v>730</v>
      </c>
      <c r="F1569" s="177" t="s">
        <v>731</v>
      </c>
      <c r="G1569" s="178">
        <v>46058.0</v>
      </c>
      <c r="H1569" s="332">
        <f>IF(G1569="","",IF('VTR AGUARDANDO VISTORIA'!J57="",TODAY()-G1569,'VTR AGUARDANDO VISTORIA'!J57-G1569))</f>
        <v>167</v>
      </c>
      <c r="I1569" s="180" t="s">
        <v>4948</v>
      </c>
      <c r="J1569" s="178">
        <v>46058.0</v>
      </c>
      <c r="K1569" s="175" t="s">
        <v>2758</v>
      </c>
    </row>
    <row r="1570">
      <c r="A1570" s="183">
        <v>17398.0</v>
      </c>
      <c r="B1570" s="169" t="s">
        <v>124</v>
      </c>
      <c r="C1570" s="168">
        <v>2022.0</v>
      </c>
      <c r="D1570" s="142" t="s">
        <v>52</v>
      </c>
      <c r="E1570" s="142" t="s">
        <v>125</v>
      </c>
      <c r="F1570" s="170" t="s">
        <v>126</v>
      </c>
      <c r="G1570" s="171">
        <v>46057.0</v>
      </c>
      <c r="H1570" s="331">
        <f>IF(G1570="","",IF('VTR AGUARDANDO VISTORIA'!J58="",TODAY()-G1570,'VTR AGUARDANDO VISTORIA'!J58-G1570))</f>
        <v>113</v>
      </c>
      <c r="I1570" s="173" t="s">
        <v>668</v>
      </c>
      <c r="J1570" s="171">
        <v>46059.0</v>
      </c>
      <c r="K1570" s="169" t="s">
        <v>37</v>
      </c>
    </row>
    <row r="1571">
      <c r="A1571" s="181">
        <v>17442.0</v>
      </c>
      <c r="B1571" s="175" t="s">
        <v>94</v>
      </c>
      <c r="C1571" s="174">
        <v>2022.0</v>
      </c>
      <c r="D1571" s="176" t="s">
        <v>52</v>
      </c>
      <c r="E1571" s="176" t="s">
        <v>4949</v>
      </c>
      <c r="F1571" s="177" t="s">
        <v>96</v>
      </c>
      <c r="G1571" s="178">
        <v>46059.0</v>
      </c>
      <c r="H1571" s="332">
        <f>IF(G1571="","",IF('VTR AGUARDANDO VISTORIA'!J59="",TODAY()-G1571,'VTR AGUARDANDO VISTORIA'!J59-G1571))</f>
        <v>166</v>
      </c>
      <c r="I1571" s="180" t="s">
        <v>4950</v>
      </c>
      <c r="J1571" s="178">
        <v>44598.0</v>
      </c>
      <c r="K1571" s="175" t="s">
        <v>2758</v>
      </c>
    </row>
    <row r="1572">
      <c r="A1572" s="183">
        <v>17410.0</v>
      </c>
      <c r="B1572" s="169" t="s">
        <v>713</v>
      </c>
      <c r="C1572" s="168">
        <v>2019.0</v>
      </c>
      <c r="D1572" s="142" t="s">
        <v>3146</v>
      </c>
      <c r="E1572" s="142" t="s">
        <v>53</v>
      </c>
      <c r="F1572" s="241">
        <v>46129.0</v>
      </c>
      <c r="G1572" s="171">
        <v>46058.0</v>
      </c>
      <c r="H1572" s="331">
        <f>IF(G1572="","",IF('VTR AGUARDANDO VISTORIA'!J60="",TODAY()-G1572,'VTR AGUARDANDO VISTORIA'!J60-G1572))</f>
        <v>-16</v>
      </c>
      <c r="I1572" s="173" t="s">
        <v>1200</v>
      </c>
      <c r="J1572" s="171">
        <v>46059.0</v>
      </c>
      <c r="K1572" s="169" t="s">
        <v>1200</v>
      </c>
    </row>
    <row r="1573">
      <c r="A1573" s="181">
        <v>17399.0</v>
      </c>
      <c r="B1573" s="175" t="s">
        <v>670</v>
      </c>
      <c r="C1573" s="174">
        <v>2015.0</v>
      </c>
      <c r="D1573" s="176" t="s">
        <v>148</v>
      </c>
      <c r="E1573" s="176" t="s">
        <v>183</v>
      </c>
      <c r="F1573" s="234">
        <v>46329.0</v>
      </c>
      <c r="G1573" s="178">
        <v>46057.0</v>
      </c>
      <c r="H1573" s="332">
        <f>IF(G1573="","",IF('VTR AGUARDANDO VISTORIA'!J61="",TODAY()-G1573,'VTR AGUARDANDO VISTORIA'!J61-G1573))</f>
        <v>168</v>
      </c>
      <c r="I1573" s="180" t="s">
        <v>31</v>
      </c>
      <c r="J1573" s="178">
        <v>46059.0</v>
      </c>
      <c r="K1573" s="175" t="s">
        <v>31</v>
      </c>
    </row>
    <row r="1574">
      <c r="A1574" s="183">
        <v>17373.0</v>
      </c>
      <c r="B1574" s="142" t="s">
        <v>601</v>
      </c>
      <c r="C1574" s="168">
        <v>2022.0</v>
      </c>
      <c r="D1574" s="142" t="s">
        <v>52</v>
      </c>
      <c r="E1574" s="142" t="s">
        <v>3448</v>
      </c>
      <c r="F1574" s="170" t="s">
        <v>602</v>
      </c>
      <c r="G1574" s="171">
        <v>46055.0</v>
      </c>
      <c r="H1574" s="331">
        <f>IF(G1574="","",IF('VTR AGUARDANDO VISTORIA'!J62="",TODAY()-G1574,'VTR AGUARDANDO VISTORIA'!J62-G1574))</f>
        <v>170</v>
      </c>
      <c r="I1574" s="169" t="s">
        <v>603</v>
      </c>
      <c r="J1574" s="171">
        <v>46059.0</v>
      </c>
      <c r="K1574" s="169" t="s">
        <v>31</v>
      </c>
    </row>
    <row r="1575">
      <c r="A1575" s="181">
        <v>17302.0</v>
      </c>
      <c r="B1575" s="175" t="s">
        <v>392</v>
      </c>
      <c r="C1575" s="174">
        <v>2011.0</v>
      </c>
      <c r="D1575" s="176" t="s">
        <v>367</v>
      </c>
      <c r="E1575" s="176" t="s">
        <v>125</v>
      </c>
      <c r="F1575" s="177" t="s">
        <v>393</v>
      </c>
      <c r="G1575" s="178">
        <v>46044.0</v>
      </c>
      <c r="H1575" s="332">
        <f>IF(G1575="","",IF('VTR AGUARDANDO VISTORIA'!J63="",TODAY()-G1575,'VTR AGUARDANDO VISTORIA'!J63-G1575))</f>
        <v>-2</v>
      </c>
      <c r="I1575" s="180" t="s">
        <v>31</v>
      </c>
      <c r="J1575" s="178">
        <v>46063.0</v>
      </c>
      <c r="K1575" s="175" t="s">
        <v>31</v>
      </c>
    </row>
    <row r="1576">
      <c r="A1576" s="183">
        <v>17271.0</v>
      </c>
      <c r="B1576" s="142" t="s">
        <v>286</v>
      </c>
      <c r="C1576" s="168">
        <v>2018.0</v>
      </c>
      <c r="D1576" s="142" t="s">
        <v>14</v>
      </c>
      <c r="E1576" s="142" t="s">
        <v>160</v>
      </c>
      <c r="F1576" s="170" t="s">
        <v>287</v>
      </c>
      <c r="G1576" s="171">
        <v>46038.0</v>
      </c>
      <c r="H1576" s="331">
        <f>IF(G1576="","",IF('VTR AGUARDANDO VISTORIA'!J64="",TODAY()-G1576,'VTR AGUARDANDO VISTORIA'!J64-G1576))</f>
        <v>4</v>
      </c>
      <c r="I1576" s="169" t="s">
        <v>288</v>
      </c>
      <c r="J1576" s="268">
        <v>46063.0</v>
      </c>
      <c r="K1576" s="169" t="s">
        <v>31</v>
      </c>
      <c r="L1576" s="242"/>
      <c r="M1576" s="242"/>
      <c r="N1576" s="242"/>
      <c r="O1576" s="242"/>
      <c r="P1576" s="242"/>
      <c r="Q1576" s="242"/>
      <c r="R1576" s="242"/>
      <c r="S1576" s="242"/>
      <c r="T1576" s="242"/>
      <c r="U1576" s="242"/>
      <c r="V1576" s="242"/>
      <c r="W1576" s="242"/>
      <c r="X1576" s="242"/>
      <c r="Y1576" s="242"/>
      <c r="Z1576" s="242"/>
      <c r="AA1576" s="242"/>
      <c r="AB1576" s="242"/>
      <c r="AC1576" s="242"/>
      <c r="AD1576" s="242"/>
      <c r="AE1576" s="242"/>
      <c r="AF1576" s="242"/>
      <c r="AG1576" s="242"/>
      <c r="AH1576" s="309"/>
      <c r="AI1576" s="242"/>
      <c r="AJ1576" s="242"/>
      <c r="AK1576" s="242"/>
      <c r="AL1576" s="242"/>
      <c r="AM1576" s="242"/>
      <c r="AN1576" s="242"/>
      <c r="AO1576" s="242"/>
    </row>
    <row r="1577">
      <c r="A1577" s="181">
        <v>17386.0</v>
      </c>
      <c r="B1577" s="175" t="s">
        <v>634</v>
      </c>
      <c r="C1577" s="174">
        <v>2015.0</v>
      </c>
      <c r="D1577" s="175" t="s">
        <v>14</v>
      </c>
      <c r="E1577" s="175" t="s">
        <v>82</v>
      </c>
      <c r="F1577" s="177" t="s">
        <v>635</v>
      </c>
      <c r="G1577" s="334">
        <v>46056.0</v>
      </c>
      <c r="H1577" s="332">
        <f>IF(G1577="","",IF('VTR AGUARDANDO VISTORIA'!J65="",TODAY()-G1577,'VTR AGUARDANDO VISTORIA'!J65-G1577))</f>
        <v>-14</v>
      </c>
      <c r="I1577" s="182" t="s">
        <v>4951</v>
      </c>
      <c r="J1577" s="269">
        <v>46063.0</v>
      </c>
      <c r="K1577" s="175" t="s">
        <v>84</v>
      </c>
      <c r="L1577" s="242"/>
      <c r="M1577" s="242"/>
      <c r="N1577" s="242"/>
      <c r="O1577" s="242"/>
      <c r="P1577" s="242"/>
      <c r="Q1577" s="242"/>
      <c r="R1577" s="242"/>
      <c r="S1577" s="242"/>
      <c r="T1577" s="242"/>
      <c r="U1577" s="242"/>
      <c r="V1577" s="242"/>
      <c r="W1577" s="242"/>
      <c r="X1577" s="242"/>
      <c r="Y1577" s="242"/>
      <c r="Z1577" s="242"/>
      <c r="AA1577" s="242"/>
      <c r="AB1577" s="242"/>
      <c r="AC1577" s="242"/>
      <c r="AD1577" s="242"/>
      <c r="AE1577" s="242"/>
      <c r="AF1577" s="242"/>
      <c r="AG1577" s="242"/>
      <c r="AH1577" s="309"/>
      <c r="AI1577" s="242"/>
      <c r="AJ1577" s="242"/>
      <c r="AK1577" s="242"/>
      <c r="AL1577" s="242"/>
      <c r="AM1577" s="242"/>
      <c r="AN1577" s="242"/>
      <c r="AO1577" s="242"/>
    </row>
    <row r="1578">
      <c r="A1578" s="183">
        <v>17438.0</v>
      </c>
      <c r="B1578" s="142" t="s">
        <v>778</v>
      </c>
      <c r="C1578" s="168">
        <v>2013.0</v>
      </c>
      <c r="D1578" s="142" t="s">
        <v>105</v>
      </c>
      <c r="E1578" s="142" t="s">
        <v>183</v>
      </c>
      <c r="F1578" s="170" t="s">
        <v>779</v>
      </c>
      <c r="G1578" s="171">
        <v>46063.0</v>
      </c>
      <c r="H1578" s="331">
        <f>IF(G1578="","",IF('VTR AGUARDANDO VISTORIA'!J66="",TODAY()-G1578,'VTR AGUARDANDO VISTORIA'!J66-G1578))</f>
        <v>-18</v>
      </c>
      <c r="I1578" s="169" t="s">
        <v>4952</v>
      </c>
      <c r="J1578" s="268">
        <v>46064.0</v>
      </c>
      <c r="K1578" s="169" t="s">
        <v>2758</v>
      </c>
      <c r="L1578" s="242"/>
      <c r="M1578" s="242"/>
      <c r="N1578" s="242"/>
      <c r="O1578" s="242"/>
      <c r="P1578" s="242"/>
      <c r="Q1578" s="242"/>
      <c r="R1578" s="242"/>
      <c r="S1578" s="242"/>
      <c r="T1578" s="242"/>
      <c r="U1578" s="242"/>
      <c r="V1578" s="242"/>
      <c r="W1578" s="242"/>
      <c r="X1578" s="242"/>
      <c r="Y1578" s="242"/>
      <c r="Z1578" s="242"/>
      <c r="AA1578" s="242"/>
      <c r="AB1578" s="242"/>
      <c r="AC1578" s="242"/>
      <c r="AD1578" s="242"/>
      <c r="AE1578" s="242"/>
      <c r="AF1578" s="242"/>
      <c r="AG1578" s="242"/>
      <c r="AH1578" s="309"/>
      <c r="AI1578" s="242"/>
      <c r="AJ1578" s="242"/>
      <c r="AK1578" s="242"/>
      <c r="AL1578" s="242"/>
      <c r="AM1578" s="242"/>
      <c r="AN1578" s="242"/>
      <c r="AO1578" s="242"/>
    </row>
    <row r="1579">
      <c r="A1579" s="181">
        <v>17432.0</v>
      </c>
      <c r="B1579" s="176" t="s">
        <v>767</v>
      </c>
      <c r="C1579" s="174">
        <v>2022.0</v>
      </c>
      <c r="D1579" s="176" t="s">
        <v>52</v>
      </c>
      <c r="E1579" s="176" t="s">
        <v>805</v>
      </c>
      <c r="F1579" s="177" t="s">
        <v>768</v>
      </c>
      <c r="G1579" s="178">
        <v>46062.0</v>
      </c>
      <c r="H1579" s="332">
        <f>IF(G1579="","",IF('VTR AGUARDANDO VISTORIA'!J67="",TODAY()-G1579,'VTR AGUARDANDO VISTORIA'!J67-G1579))</f>
        <v>-17</v>
      </c>
      <c r="I1579" s="175" t="s">
        <v>769</v>
      </c>
      <c r="J1579" s="178">
        <v>46064.0</v>
      </c>
      <c r="K1579" s="175" t="s">
        <v>84</v>
      </c>
    </row>
    <row r="1580">
      <c r="A1580" s="183">
        <v>17412.0</v>
      </c>
      <c r="B1580" s="142" t="s">
        <v>717</v>
      </c>
      <c r="C1580" s="168">
        <v>2022.0</v>
      </c>
      <c r="D1580" s="142" t="s">
        <v>136</v>
      </c>
      <c r="E1580" s="142" t="s">
        <v>350</v>
      </c>
      <c r="F1580" s="170" t="s">
        <v>719</v>
      </c>
      <c r="G1580" s="171">
        <v>46058.0</v>
      </c>
      <c r="H1580" s="331">
        <f>IF(G1580="","",IF('VTR AGUARDANDO VISTORIA'!J68="",TODAY()-G1580,'VTR AGUARDANDO VISTORIA'!J68-G1580))</f>
        <v>167</v>
      </c>
      <c r="I1580" s="169" t="s">
        <v>4953</v>
      </c>
      <c r="J1580" s="268">
        <v>46064.0</v>
      </c>
      <c r="K1580" s="169" t="s">
        <v>2758</v>
      </c>
      <c r="L1580" s="242"/>
      <c r="M1580" s="242"/>
      <c r="N1580" s="242"/>
      <c r="O1580" s="242"/>
      <c r="P1580" s="242"/>
      <c r="Q1580" s="242"/>
      <c r="R1580" s="242"/>
      <c r="S1580" s="242"/>
      <c r="T1580" s="242"/>
      <c r="U1580" s="242"/>
      <c r="V1580" s="242"/>
      <c r="W1580" s="242"/>
      <c r="X1580" s="242"/>
      <c r="Y1580" s="242"/>
      <c r="Z1580" s="242"/>
      <c r="AA1580" s="242"/>
      <c r="AB1580" s="242"/>
      <c r="AC1580" s="242"/>
      <c r="AD1580" s="242"/>
      <c r="AE1580" s="242"/>
      <c r="AF1580" s="242"/>
      <c r="AG1580" s="242"/>
      <c r="AH1580" s="309"/>
      <c r="AI1580" s="242"/>
      <c r="AJ1580" s="242"/>
      <c r="AK1580" s="242"/>
      <c r="AL1580" s="242"/>
      <c r="AM1580" s="242"/>
      <c r="AN1580" s="242"/>
      <c r="AO1580" s="242"/>
    </row>
    <row r="1581">
      <c r="A1581" s="181">
        <v>17450.0</v>
      </c>
      <c r="B1581" s="175" t="s">
        <v>820</v>
      </c>
      <c r="C1581" s="174">
        <v>2022.0</v>
      </c>
      <c r="D1581" s="176" t="s">
        <v>52</v>
      </c>
      <c r="E1581" s="176" t="s">
        <v>4954</v>
      </c>
      <c r="F1581" s="177" t="s">
        <v>822</v>
      </c>
      <c r="G1581" s="178">
        <v>46065.0</v>
      </c>
      <c r="H1581" s="332">
        <f>IF(G1581="","",IF('VTR AGUARDANDO VISTORIA'!J69="",TODAY()-G1581,'VTR AGUARDANDO VISTORIA'!J69-G1581))</f>
        <v>-23</v>
      </c>
      <c r="I1581" s="180" t="s">
        <v>823</v>
      </c>
      <c r="J1581" s="178">
        <v>46065.0</v>
      </c>
      <c r="K1581" s="175" t="s">
        <v>2758</v>
      </c>
    </row>
    <row r="1582">
      <c r="A1582" s="183">
        <v>17447.0</v>
      </c>
      <c r="B1582" s="169" t="s">
        <v>39</v>
      </c>
      <c r="C1582" s="168">
        <v>2022.0</v>
      </c>
      <c r="D1582" s="142" t="s">
        <v>52</v>
      </c>
      <c r="E1582" s="142" t="s">
        <v>41</v>
      </c>
      <c r="F1582" s="170" t="s">
        <v>42</v>
      </c>
      <c r="G1582" s="171">
        <v>46065.0</v>
      </c>
      <c r="H1582" s="331">
        <f>IF(G1582="","",IF('VTR AGUARDANDO VISTORIA'!J70="",TODAY()-G1582,'VTR AGUARDANDO VISTORIA'!J70-G1582))</f>
        <v>160</v>
      </c>
      <c r="I1582" s="173" t="s">
        <v>818</v>
      </c>
      <c r="J1582" s="171">
        <v>46065.0</v>
      </c>
      <c r="K1582" s="169" t="s">
        <v>2758</v>
      </c>
    </row>
    <row r="1583">
      <c r="A1583" s="181">
        <v>17434.0</v>
      </c>
      <c r="B1583" s="176" t="s">
        <v>94</v>
      </c>
      <c r="C1583" s="174">
        <v>2022.0</v>
      </c>
      <c r="D1583" s="176" t="s">
        <v>52</v>
      </c>
      <c r="E1583" s="176" t="s">
        <v>350</v>
      </c>
      <c r="F1583" s="177" t="s">
        <v>96</v>
      </c>
      <c r="G1583" s="178">
        <v>46062.0</v>
      </c>
      <c r="H1583" s="332">
        <f>IF(G1583="","",IF('VTR AGUARDANDO VISTORIA'!J71="",TODAY()-G1583,'VTR AGUARDANDO VISTORIA'!J71-G1583))</f>
        <v>163</v>
      </c>
      <c r="I1583" s="175" t="s">
        <v>771</v>
      </c>
      <c r="J1583" s="269">
        <v>46065.0</v>
      </c>
      <c r="K1583" s="175" t="s">
        <v>31</v>
      </c>
      <c r="L1583" s="242"/>
      <c r="M1583" s="242"/>
      <c r="N1583" s="242"/>
      <c r="O1583" s="242"/>
      <c r="P1583" s="242"/>
      <c r="Q1583" s="242"/>
      <c r="R1583" s="242"/>
      <c r="S1583" s="242"/>
      <c r="T1583" s="242"/>
      <c r="U1583" s="242"/>
      <c r="V1583" s="242"/>
      <c r="W1583" s="242"/>
      <c r="X1583" s="242"/>
      <c r="Y1583" s="242"/>
      <c r="Z1583" s="242"/>
      <c r="AA1583" s="242"/>
      <c r="AB1583" s="242"/>
      <c r="AC1583" s="242"/>
      <c r="AD1583" s="242"/>
      <c r="AE1583" s="242"/>
      <c r="AF1583" s="242"/>
      <c r="AG1583" s="242"/>
      <c r="AH1583" s="309"/>
      <c r="AI1583" s="242"/>
      <c r="AJ1583" s="242"/>
      <c r="AK1583" s="242"/>
      <c r="AL1583" s="242"/>
      <c r="AM1583" s="242"/>
      <c r="AN1583" s="242"/>
      <c r="AO1583" s="242"/>
    </row>
    <row r="1584">
      <c r="A1584" s="183">
        <v>17462.0</v>
      </c>
      <c r="B1584" s="169" t="s">
        <v>705</v>
      </c>
      <c r="C1584" s="168">
        <v>2022.0</v>
      </c>
      <c r="D1584" s="142" t="s">
        <v>52</v>
      </c>
      <c r="E1584" s="142" t="s">
        <v>169</v>
      </c>
      <c r="F1584" s="170" t="s">
        <v>706</v>
      </c>
      <c r="G1584" s="171">
        <v>46065.0</v>
      </c>
      <c r="H1584" s="331">
        <f>IF(G1584="","",IF('VTR AGUARDANDO VISTORIA'!J72="",TODAY()-G1584,'VTR AGUARDANDO VISTORIA'!J72-G1584))</f>
        <v>160</v>
      </c>
      <c r="I1584" s="173" t="s">
        <v>841</v>
      </c>
      <c r="J1584" s="171">
        <v>46065.0</v>
      </c>
      <c r="K1584" s="169" t="s">
        <v>2758</v>
      </c>
    </row>
    <row r="1585">
      <c r="A1585" s="181">
        <v>17452.0</v>
      </c>
      <c r="B1585" s="175" t="s">
        <v>829</v>
      </c>
      <c r="C1585" s="174">
        <v>2022.0</v>
      </c>
      <c r="D1585" s="176" t="s">
        <v>52</v>
      </c>
      <c r="E1585" s="176" t="s">
        <v>531</v>
      </c>
      <c r="F1585" s="177" t="s">
        <v>830</v>
      </c>
      <c r="G1585" s="178">
        <v>46065.0</v>
      </c>
      <c r="H1585" s="332">
        <f>IF(G1585="","",IF('VTR AGUARDANDO VISTORIA'!J73="",TODAY()-G1585,'VTR AGUARDANDO VISTORIA'!J73-G1585))</f>
        <v>160</v>
      </c>
      <c r="I1585" s="180" t="s">
        <v>831</v>
      </c>
      <c r="J1585" s="178">
        <v>46065.0</v>
      </c>
      <c r="K1585" s="175" t="s">
        <v>2758</v>
      </c>
    </row>
    <row r="1586">
      <c r="A1586" s="183">
        <v>17386.0</v>
      </c>
      <c r="B1586" s="169" t="s">
        <v>634</v>
      </c>
      <c r="C1586" s="168">
        <v>2015.0</v>
      </c>
      <c r="D1586" s="142" t="s">
        <v>14</v>
      </c>
      <c r="E1586" s="142" t="s">
        <v>82</v>
      </c>
      <c r="F1586" s="170" t="s">
        <v>635</v>
      </c>
      <c r="G1586" s="171">
        <v>46056.0</v>
      </c>
      <c r="H1586" s="331">
        <f>IF(G1586="","",IF('VTR AGUARDANDO VISTORIA'!J74="",TODAY()-G1586,'VTR AGUARDANDO VISTORIA'!J74-G1586))</f>
        <v>169</v>
      </c>
      <c r="I1586" s="173" t="s">
        <v>636</v>
      </c>
      <c r="J1586" s="171">
        <v>46065.0</v>
      </c>
      <c r="K1586" s="169" t="s">
        <v>2758</v>
      </c>
    </row>
    <row r="1587">
      <c r="A1587" s="181">
        <v>17471.0</v>
      </c>
      <c r="B1587" s="175" t="s">
        <v>705</v>
      </c>
      <c r="C1587" s="174">
        <v>2022.0</v>
      </c>
      <c r="D1587" s="176" t="s">
        <v>52</v>
      </c>
      <c r="E1587" s="176" t="s">
        <v>169</v>
      </c>
      <c r="F1587" s="177" t="s">
        <v>706</v>
      </c>
      <c r="G1587" s="178">
        <v>46066.0</v>
      </c>
      <c r="H1587" s="332">
        <f>IF(G1587="","",IF('VTR AGUARDANDO VISTORIA'!J75="",TODAY()-G1587,'VTR AGUARDANDO VISTORIA'!J75-G1587))</f>
        <v>159</v>
      </c>
      <c r="I1587" s="180" t="s">
        <v>852</v>
      </c>
      <c r="J1587" s="178">
        <v>46066.0</v>
      </c>
      <c r="K1587" s="175" t="s">
        <v>2758</v>
      </c>
    </row>
    <row r="1588">
      <c r="A1588" s="183">
        <v>17480.0</v>
      </c>
      <c r="B1588" s="169" t="s">
        <v>875</v>
      </c>
      <c r="C1588" s="168">
        <v>2022.0</v>
      </c>
      <c r="D1588" s="142" t="s">
        <v>52</v>
      </c>
      <c r="E1588" s="142" t="s">
        <v>1256</v>
      </c>
      <c r="F1588" s="170" t="s">
        <v>876</v>
      </c>
      <c r="G1588" s="171">
        <v>46066.0</v>
      </c>
      <c r="H1588" s="331">
        <f>IF(G1588="","",IF('VTR AGUARDANDO VISTORIA'!J76="",TODAY()-G1588,'VTR AGUARDANDO VISTORIA'!J76-G1588))</f>
        <v>18</v>
      </c>
      <c r="I1588" s="173" t="s">
        <v>877</v>
      </c>
      <c r="J1588" s="171">
        <v>46066.0</v>
      </c>
      <c r="K1588" s="169" t="s">
        <v>2758</v>
      </c>
    </row>
    <row r="1589">
      <c r="A1589" s="174" t="s">
        <v>4955</v>
      </c>
      <c r="B1589" s="175" t="s">
        <v>2117</v>
      </c>
      <c r="C1589" s="174">
        <v>2022.0</v>
      </c>
      <c r="D1589" s="176" t="s">
        <v>256</v>
      </c>
      <c r="E1589" s="176" t="s">
        <v>125</v>
      </c>
      <c r="F1589" s="195"/>
      <c r="G1589" s="178">
        <v>46066.0</v>
      </c>
      <c r="H1589" s="332">
        <f>IF(G1589="","",IF('VTR AGUARDANDO VISTORIA'!J77="",TODAY()-G1589,'VTR AGUARDANDO VISTORIA'!J77-G1589))</f>
        <v>-11</v>
      </c>
      <c r="I1589" s="180" t="s">
        <v>4956</v>
      </c>
      <c r="J1589" s="178">
        <v>46066.0</v>
      </c>
      <c r="K1589" s="175" t="s">
        <v>31</v>
      </c>
    </row>
    <row r="1590">
      <c r="A1590" s="183">
        <v>17444.0</v>
      </c>
      <c r="B1590" s="142" t="s">
        <v>664</v>
      </c>
      <c r="C1590" s="168">
        <v>2014.0</v>
      </c>
      <c r="D1590" s="142" t="s">
        <v>105</v>
      </c>
      <c r="E1590" s="142" t="s">
        <v>169</v>
      </c>
      <c r="F1590" s="170" t="s">
        <v>665</v>
      </c>
      <c r="G1590" s="171">
        <v>46063.0</v>
      </c>
      <c r="H1590" s="331">
        <f>IF(G1590="","",IF('VTR AGUARDANDO VISTORIA'!J78="",TODAY()-G1590,'VTR AGUARDANDO VISTORIA'!J78-G1590))</f>
        <v>-19</v>
      </c>
      <c r="I1590" s="169" t="s">
        <v>800</v>
      </c>
      <c r="J1590" s="228">
        <v>46066.0</v>
      </c>
      <c r="K1590" s="169" t="s">
        <v>2758</v>
      </c>
    </row>
    <row r="1591">
      <c r="A1591" s="181">
        <v>17478.0</v>
      </c>
      <c r="B1591" s="175" t="s">
        <v>869</v>
      </c>
      <c r="C1591" s="174">
        <v>2022.0</v>
      </c>
      <c r="D1591" s="176" t="s">
        <v>14</v>
      </c>
      <c r="E1591" s="176" t="s">
        <v>70</v>
      </c>
      <c r="F1591" s="177" t="s">
        <v>870</v>
      </c>
      <c r="G1591" s="178">
        <v>46066.0</v>
      </c>
      <c r="H1591" s="332">
        <f>IF(G1591="","",IF('VTR AGUARDANDO VISTORIA'!J79="",TODAY()-G1591,'VTR AGUARDANDO VISTORIA'!J79-G1591))</f>
        <v>111</v>
      </c>
      <c r="I1591" s="180" t="s">
        <v>871</v>
      </c>
      <c r="J1591" s="178">
        <v>46066.0</v>
      </c>
      <c r="K1591" s="175" t="s">
        <v>2758</v>
      </c>
    </row>
    <row r="1592">
      <c r="A1592" s="183">
        <v>17473.0</v>
      </c>
      <c r="B1592" s="142" t="s">
        <v>854</v>
      </c>
      <c r="C1592" s="168">
        <v>2022.0</v>
      </c>
      <c r="D1592" s="142" t="s">
        <v>52</v>
      </c>
      <c r="E1592" s="142" t="s">
        <v>855</v>
      </c>
      <c r="F1592" s="170" t="s">
        <v>856</v>
      </c>
      <c r="G1592" s="171">
        <v>46066.0</v>
      </c>
      <c r="H1592" s="331">
        <f>IF(G1592="","",IF('VTR AGUARDANDO VISTORIA'!J80="",TODAY()-G1592,'VTR AGUARDANDO VISTORIA'!J80-G1592))</f>
        <v>159</v>
      </c>
      <c r="I1592" s="169" t="s">
        <v>857</v>
      </c>
      <c r="J1592" s="171">
        <v>46066.0</v>
      </c>
      <c r="K1592" s="169" t="s">
        <v>2758</v>
      </c>
    </row>
    <row r="1593">
      <c r="A1593" s="181">
        <v>17085.0</v>
      </c>
      <c r="B1593" s="176" t="s">
        <v>2079</v>
      </c>
      <c r="C1593" s="174">
        <v>2022.0</v>
      </c>
      <c r="D1593" s="176" t="s">
        <v>52</v>
      </c>
      <c r="E1593" s="176" t="s">
        <v>125</v>
      </c>
      <c r="F1593" s="177" t="s">
        <v>2081</v>
      </c>
      <c r="G1593" s="178">
        <v>46066.0</v>
      </c>
      <c r="H1593" s="332">
        <f>IF(G1593="","",IF('VTR AGUARDANDO VISTORIA'!J81="",TODAY()-G1593,'VTR AGUARDANDO VISTORIA'!J81-G1593))</f>
        <v>-11</v>
      </c>
      <c r="I1593" s="175" t="s">
        <v>4957</v>
      </c>
      <c r="J1593" s="269">
        <v>46069.0</v>
      </c>
      <c r="K1593" s="175" t="s">
        <v>2758</v>
      </c>
      <c r="L1593" s="242"/>
      <c r="M1593" s="242"/>
      <c r="N1593" s="242"/>
      <c r="O1593" s="242"/>
      <c r="P1593" s="242"/>
      <c r="Q1593" s="242"/>
      <c r="R1593" s="242"/>
      <c r="S1593" s="242"/>
      <c r="T1593" s="242"/>
      <c r="U1593" s="242"/>
      <c r="V1593" s="242"/>
      <c r="W1593" s="242"/>
      <c r="X1593" s="242"/>
      <c r="Y1593" s="242"/>
      <c r="Z1593" s="242"/>
      <c r="AA1593" s="242"/>
      <c r="AB1593" s="242"/>
      <c r="AC1593" s="242"/>
      <c r="AD1593" s="242"/>
      <c r="AE1593" s="242"/>
      <c r="AF1593" s="242"/>
      <c r="AG1593" s="242"/>
      <c r="AH1593" s="309"/>
      <c r="AI1593" s="242"/>
      <c r="AJ1593" s="242"/>
      <c r="AK1593" s="242"/>
      <c r="AL1593" s="242"/>
      <c r="AM1593" s="242"/>
      <c r="AN1593" s="242"/>
      <c r="AO1593" s="242"/>
    </row>
    <row r="1594">
      <c r="A1594" s="183">
        <v>17456.0</v>
      </c>
      <c r="B1594" s="169" t="s">
        <v>837</v>
      </c>
      <c r="C1594" s="168">
        <v>2022.0</v>
      </c>
      <c r="D1594" s="142" t="s">
        <v>52</v>
      </c>
      <c r="E1594" s="142" t="s">
        <v>183</v>
      </c>
      <c r="F1594" s="170" t="s">
        <v>838</v>
      </c>
      <c r="G1594" s="171">
        <v>46070.0</v>
      </c>
      <c r="H1594" s="331">
        <f>IF(G1594="","",IF('VTR AGUARDANDO VISTORIA'!J82="",TODAY()-G1594,'VTR AGUARDANDO VISTORIA'!J82-G1594))</f>
        <v>155</v>
      </c>
      <c r="I1594" s="173" t="s">
        <v>839</v>
      </c>
      <c r="J1594" s="171">
        <v>46070.0</v>
      </c>
      <c r="K1594" s="169" t="s">
        <v>31</v>
      </c>
    </row>
    <row r="1595">
      <c r="A1595" s="181">
        <v>17439.0</v>
      </c>
      <c r="B1595" s="176" t="s">
        <v>782</v>
      </c>
      <c r="C1595" s="174">
        <v>2018.0</v>
      </c>
      <c r="D1595" s="176" t="s">
        <v>4958</v>
      </c>
      <c r="E1595" s="176" t="s">
        <v>106</v>
      </c>
      <c r="F1595" s="177" t="s">
        <v>783</v>
      </c>
      <c r="G1595" s="178">
        <v>46063.0</v>
      </c>
      <c r="H1595" s="332">
        <f>IF(G1595="","",IF('VTR AGUARDANDO VISTORIA'!J83="",TODAY()-G1595,'VTR AGUARDANDO VISTORIA'!J83-G1595))</f>
        <v>162</v>
      </c>
      <c r="I1595" s="175" t="s">
        <v>784</v>
      </c>
      <c r="J1595" s="178">
        <v>46070.0</v>
      </c>
      <c r="K1595" s="175" t="s">
        <v>31</v>
      </c>
    </row>
    <row r="1596">
      <c r="A1596" s="183">
        <v>17491.0</v>
      </c>
      <c r="B1596" s="169" t="s">
        <v>4959</v>
      </c>
      <c r="C1596" s="168">
        <v>2022.0</v>
      </c>
      <c r="D1596" s="142" t="s">
        <v>52</v>
      </c>
      <c r="E1596" s="142" t="s">
        <v>4960</v>
      </c>
      <c r="F1596" s="170" t="s">
        <v>760</v>
      </c>
      <c r="G1596" s="171">
        <v>46070.0</v>
      </c>
      <c r="H1596" s="331">
        <f>IF(G1596="","",IF('VTR AGUARDANDO VISTORIA'!J84="",TODAY()-G1596,'VTR AGUARDANDO VISTORIA'!J84-G1596))</f>
        <v>-26</v>
      </c>
      <c r="I1596" s="173" t="s">
        <v>899</v>
      </c>
      <c r="J1596" s="171">
        <v>46070.0</v>
      </c>
      <c r="K1596" s="169" t="s">
        <v>31</v>
      </c>
    </row>
    <row r="1597">
      <c r="A1597" s="181">
        <v>17442.0</v>
      </c>
      <c r="B1597" s="175" t="s">
        <v>791</v>
      </c>
      <c r="C1597" s="174">
        <v>2022.0</v>
      </c>
      <c r="D1597" s="176" t="s">
        <v>52</v>
      </c>
      <c r="E1597" s="176" t="s">
        <v>459</v>
      </c>
      <c r="F1597" s="177" t="s">
        <v>793</v>
      </c>
      <c r="G1597" s="178">
        <v>46063.0</v>
      </c>
      <c r="H1597" s="332">
        <f>IF(G1597="","",IF('VTR AGUARDANDO VISTORIA'!J85="",TODAY()-G1597,'VTR AGUARDANDO VISTORIA'!J85-G1597))</f>
        <v>-8</v>
      </c>
      <c r="I1597" s="182" t="s">
        <v>4961</v>
      </c>
      <c r="J1597" s="178">
        <v>46070.0</v>
      </c>
      <c r="K1597" s="175" t="s">
        <v>2758</v>
      </c>
    </row>
    <row r="1598">
      <c r="A1598" s="203">
        <v>17476.0</v>
      </c>
      <c r="B1598" s="205" t="s">
        <v>129</v>
      </c>
      <c r="C1598" s="218">
        <v>2014.0</v>
      </c>
      <c r="D1598" s="205" t="s">
        <v>130</v>
      </c>
      <c r="E1598" s="205" t="s">
        <v>125</v>
      </c>
      <c r="F1598" s="206" t="s">
        <v>132</v>
      </c>
      <c r="G1598" s="207">
        <v>46066.0</v>
      </c>
      <c r="H1598" s="331">
        <f>IF(G1598="","",IF('VTR AGUARDANDO VISTORIA'!J86="",TODAY()-G1598,'VTR AGUARDANDO VISTORIA'!J86-G1598))</f>
        <v>-21</v>
      </c>
      <c r="I1598" s="219" t="s">
        <v>668</v>
      </c>
      <c r="J1598" s="171">
        <v>46071.0</v>
      </c>
      <c r="K1598" s="169" t="s">
        <v>2758</v>
      </c>
    </row>
    <row r="1599">
      <c r="A1599" s="181">
        <v>17496.0</v>
      </c>
      <c r="B1599" s="175" t="s">
        <v>915</v>
      </c>
      <c r="C1599" s="174">
        <v>2021.0</v>
      </c>
      <c r="D1599" s="176" t="s">
        <v>52</v>
      </c>
      <c r="E1599" s="176" t="s">
        <v>912</v>
      </c>
      <c r="F1599" s="177" t="s">
        <v>916</v>
      </c>
      <c r="G1599" s="178">
        <v>46071.0</v>
      </c>
      <c r="H1599" s="332">
        <f>IF(G1599="","",IF('VTR AGUARDANDO VISTORIA'!J87="",TODAY()-G1599,'VTR AGUARDANDO VISTORIA'!J87-G1599))</f>
        <v>-19</v>
      </c>
      <c r="I1599" s="180" t="s">
        <v>133</v>
      </c>
      <c r="J1599" s="178">
        <v>46071.0</v>
      </c>
      <c r="K1599" s="175" t="s">
        <v>2758</v>
      </c>
    </row>
    <row r="1600">
      <c r="A1600" s="183">
        <v>17484.0</v>
      </c>
      <c r="B1600" s="142" t="s">
        <v>883</v>
      </c>
      <c r="C1600" s="168">
        <v>2014.0</v>
      </c>
      <c r="D1600" s="142" t="s">
        <v>130</v>
      </c>
      <c r="E1600" s="142" t="s">
        <v>4962</v>
      </c>
      <c r="F1600" s="170" t="s">
        <v>885</v>
      </c>
      <c r="G1600" s="171">
        <v>46066.0</v>
      </c>
      <c r="H1600" s="331">
        <f>IF(G1600="","",IF('VTR AGUARDANDO VISTORIA'!J88="",TODAY()-G1600,'VTR AGUARDANDO VISTORIA'!J88-G1600))</f>
        <v>138</v>
      </c>
      <c r="I1600" s="169" t="s">
        <v>4963</v>
      </c>
      <c r="J1600" s="171">
        <v>46072.0</v>
      </c>
      <c r="K1600" s="169" t="s">
        <v>2758</v>
      </c>
    </row>
    <row r="1601">
      <c r="A1601" s="181">
        <v>17306.0</v>
      </c>
      <c r="B1601" s="176" t="s">
        <v>366</v>
      </c>
      <c r="C1601" s="174">
        <v>2011.0</v>
      </c>
      <c r="D1601" s="176" t="s">
        <v>367</v>
      </c>
      <c r="E1601" s="176" t="s">
        <v>368</v>
      </c>
      <c r="F1601" s="177" t="s">
        <v>369</v>
      </c>
      <c r="G1601" s="178">
        <v>46044.0</v>
      </c>
      <c r="H1601" s="332">
        <f>IF(G1601="","",IF('VTR AGUARDANDO VISTORIA'!J89="",TODAY()-G1601,'VTR AGUARDANDO VISTORIA'!J89-G1601))</f>
        <v>175</v>
      </c>
      <c r="I1601" s="175" t="s">
        <v>401</v>
      </c>
      <c r="J1601" s="178">
        <v>46072.0</v>
      </c>
      <c r="K1601" s="175" t="s">
        <v>2758</v>
      </c>
    </row>
    <row r="1602">
      <c r="A1602" s="183">
        <v>17445.0</v>
      </c>
      <c r="B1602" s="142" t="s">
        <v>804</v>
      </c>
      <c r="C1602" s="168">
        <v>2022.0</v>
      </c>
      <c r="D1602" s="142" t="s">
        <v>52</v>
      </c>
      <c r="E1602" s="142" t="s">
        <v>805</v>
      </c>
      <c r="F1602" s="170" t="s">
        <v>806</v>
      </c>
      <c r="G1602" s="171">
        <v>46064.0</v>
      </c>
      <c r="H1602" s="331">
        <f>IF(G1602="","",IF('VTR AGUARDANDO VISTORIA'!J90="",TODAY()-G1602,'VTR AGUARDANDO VISTORIA'!J90-G1602))</f>
        <v>161</v>
      </c>
      <c r="I1602" s="169" t="s">
        <v>807</v>
      </c>
      <c r="J1602" s="171">
        <v>46072.0</v>
      </c>
      <c r="K1602" s="169" t="s">
        <v>2758</v>
      </c>
    </row>
    <row r="1603">
      <c r="A1603" s="181">
        <v>17509.0</v>
      </c>
      <c r="B1603" s="175" t="s">
        <v>954</v>
      </c>
      <c r="C1603" s="174">
        <v>2015.0</v>
      </c>
      <c r="D1603" s="176" t="s">
        <v>52</v>
      </c>
      <c r="E1603" s="176" t="s">
        <v>2802</v>
      </c>
      <c r="F1603" s="177">
        <v>2.0</v>
      </c>
      <c r="G1603" s="178">
        <v>46072.0</v>
      </c>
      <c r="H1603" s="332">
        <f>IF(G1603="","",IF('VTR AGUARDANDO VISTORIA'!J91="",TODAY()-G1603,'VTR AGUARDANDO VISTORIA'!J91-G1603))</f>
        <v>153</v>
      </c>
      <c r="I1603" s="180" t="s">
        <v>956</v>
      </c>
      <c r="J1603" s="178">
        <v>46073.0</v>
      </c>
      <c r="K1603" s="175" t="s">
        <v>2758</v>
      </c>
    </row>
    <row r="1604">
      <c r="A1604" s="183">
        <v>17505.0</v>
      </c>
      <c r="B1604" s="142" t="s">
        <v>634</v>
      </c>
      <c r="C1604" s="168">
        <v>2015.0</v>
      </c>
      <c r="D1604" s="142" t="s">
        <v>14</v>
      </c>
      <c r="E1604" s="142" t="s">
        <v>82</v>
      </c>
      <c r="F1604" s="170" t="s">
        <v>635</v>
      </c>
      <c r="G1604" s="171">
        <v>46072.0</v>
      </c>
      <c r="H1604" s="331">
        <f>IF(G1604="","",IF('VTR AGUARDANDO VISTORIA'!J92="",TODAY()-G1604,'VTR AGUARDANDO VISTORIA'!J92-G1604))</f>
        <v>153</v>
      </c>
      <c r="I1604" s="169" t="s">
        <v>943</v>
      </c>
      <c r="J1604" s="171">
        <v>46077.0</v>
      </c>
      <c r="K1604" s="169" t="s">
        <v>2758</v>
      </c>
    </row>
    <row r="1605">
      <c r="A1605" s="181">
        <v>17526.0</v>
      </c>
      <c r="B1605" s="176" t="s">
        <v>215</v>
      </c>
      <c r="C1605" s="174">
        <v>2022.0</v>
      </c>
      <c r="D1605" s="176" t="s">
        <v>52</v>
      </c>
      <c r="E1605" s="176" t="s">
        <v>95</v>
      </c>
      <c r="F1605" s="177" t="s">
        <v>216</v>
      </c>
      <c r="G1605" s="178">
        <v>46076.0</v>
      </c>
      <c r="H1605" s="332">
        <f>IF(G1605="","",IF('VTR AGUARDANDO VISTORIA'!J93="",TODAY()-G1605,'VTR AGUARDANDO VISTORIA'!J93-G1605))</f>
        <v>-27</v>
      </c>
      <c r="I1605" s="175" t="s">
        <v>997</v>
      </c>
      <c r="J1605" s="269">
        <v>46078.0</v>
      </c>
      <c r="K1605" s="175" t="s">
        <v>37</v>
      </c>
      <c r="L1605" s="242"/>
      <c r="M1605" s="335">
        <v>17526.0</v>
      </c>
      <c r="N1605" s="336" t="s">
        <v>215</v>
      </c>
      <c r="O1605" s="337">
        <v>2022.0</v>
      </c>
      <c r="P1605" s="336" t="s">
        <v>52</v>
      </c>
      <c r="Q1605" s="336" t="s">
        <v>95</v>
      </c>
      <c r="R1605" s="338" t="s">
        <v>216</v>
      </c>
      <c r="S1605" s="339">
        <v>46076.0</v>
      </c>
      <c r="T1605" s="340">
        <f>IF(S1605="","",IF(V1605="",TODAY()-S1605,V1605-S1605))</f>
        <v>2</v>
      </c>
      <c r="U1605" s="262" t="s">
        <v>997</v>
      </c>
      <c r="V1605" s="341">
        <v>46078.0</v>
      </c>
      <c r="W1605" s="262" t="s">
        <v>37</v>
      </c>
      <c r="X1605" s="242"/>
      <c r="Y1605" s="335">
        <v>17526.0</v>
      </c>
      <c r="Z1605" s="336" t="s">
        <v>215</v>
      </c>
      <c r="AA1605" s="337">
        <v>2022.0</v>
      </c>
      <c r="AB1605" s="336" t="s">
        <v>52</v>
      </c>
      <c r="AC1605" s="336" t="s">
        <v>95</v>
      </c>
      <c r="AD1605" s="338" t="s">
        <v>216</v>
      </c>
      <c r="AE1605" s="339">
        <v>46076.0</v>
      </c>
      <c r="AF1605" s="340">
        <f>IF(AE1605="","",IF(AH1605="",TODAY()-AE1605,AH1605-AE1605))</f>
        <v>2</v>
      </c>
      <c r="AG1605" s="262" t="s">
        <v>997</v>
      </c>
      <c r="AH1605" s="341">
        <v>46078.0</v>
      </c>
      <c r="AI1605" s="262" t="s">
        <v>37</v>
      </c>
      <c r="AJ1605" s="242"/>
    </row>
    <row r="1606">
      <c r="A1606" s="183">
        <v>17538.0</v>
      </c>
      <c r="B1606" s="142" t="s">
        <v>717</v>
      </c>
      <c r="C1606" s="168">
        <v>2022.0</v>
      </c>
      <c r="D1606" s="142" t="s">
        <v>136</v>
      </c>
      <c r="E1606" s="142" t="s">
        <v>1024</v>
      </c>
      <c r="F1606" s="170" t="s">
        <v>719</v>
      </c>
      <c r="G1606" s="171">
        <v>46077.0</v>
      </c>
      <c r="H1606" s="331">
        <f>IF(G1606="","",IF('VTR AGUARDANDO VISTORIA'!J94="",TODAY()-G1606,'VTR AGUARDANDO VISTORIA'!J94-G1606))</f>
        <v>-26</v>
      </c>
      <c r="I1606" s="169" t="s">
        <v>1025</v>
      </c>
      <c r="J1606" s="171">
        <v>46078.0</v>
      </c>
      <c r="K1606" s="169" t="s">
        <v>31</v>
      </c>
    </row>
    <row r="1607">
      <c r="A1607" s="181">
        <v>17537.0</v>
      </c>
      <c r="B1607" s="175" t="s">
        <v>550</v>
      </c>
      <c r="C1607" s="174">
        <v>2020.0</v>
      </c>
      <c r="D1607" s="176" t="s">
        <v>14</v>
      </c>
      <c r="E1607" s="176" t="s">
        <v>70</v>
      </c>
      <c r="F1607" s="177" t="s">
        <v>1015</v>
      </c>
      <c r="G1607" s="178">
        <v>46076.0</v>
      </c>
      <c r="H1607" s="332">
        <f>IF(G1607="","",IF('VTR AGUARDANDO VISTORIA'!J95="",TODAY()-G1607,'VTR AGUARDANDO VISTORIA'!J95-G1607))</f>
        <v>149</v>
      </c>
      <c r="I1607" s="180" t="s">
        <v>1016</v>
      </c>
      <c r="J1607" s="178">
        <v>46078.0</v>
      </c>
      <c r="K1607" s="175" t="s">
        <v>31</v>
      </c>
    </row>
    <row r="1608">
      <c r="A1608" s="183">
        <v>17524.0</v>
      </c>
      <c r="B1608" s="142" t="s">
        <v>992</v>
      </c>
      <c r="C1608" s="168">
        <v>2020.0</v>
      </c>
      <c r="D1608" s="142" t="s">
        <v>536</v>
      </c>
      <c r="E1608" s="142" t="s">
        <v>173</v>
      </c>
      <c r="F1608" s="170" t="s">
        <v>993</v>
      </c>
      <c r="G1608" s="171">
        <v>46079.0</v>
      </c>
      <c r="H1608" s="331">
        <f>IF(G1608="","",IF('VTR AGUARDANDO VISTORIA'!J96="",TODAY()-G1608,'VTR AGUARDANDO VISTORIA'!J96-G1608))</f>
        <v>146</v>
      </c>
      <c r="I1608" s="169" t="s">
        <v>4964</v>
      </c>
      <c r="J1608" s="268">
        <v>46079.0</v>
      </c>
      <c r="K1608" s="169" t="s">
        <v>31</v>
      </c>
      <c r="L1608" s="342">
        <v>92110.0</v>
      </c>
    </row>
    <row r="1609">
      <c r="A1609" s="281">
        <v>17584.0</v>
      </c>
      <c r="B1609" s="343" t="s">
        <v>4157</v>
      </c>
      <c r="C1609" s="281">
        <v>2011.0</v>
      </c>
      <c r="D1609" s="343" t="s">
        <v>1187</v>
      </c>
      <c r="E1609" s="343" t="s">
        <v>70</v>
      </c>
      <c r="F1609" s="289" t="s">
        <v>4158</v>
      </c>
      <c r="G1609" s="344">
        <v>46084.0</v>
      </c>
      <c r="H1609" s="345">
        <f t="shared" ref="H1609:H1644" si="3">IF(G1609="","",IF(J1609="",TODAY()-G1609,J1609-G1609))</f>
        <v>0</v>
      </c>
      <c r="I1609" s="346" t="s">
        <v>4965</v>
      </c>
      <c r="J1609" s="347">
        <v>46084.0</v>
      </c>
      <c r="K1609" s="175" t="s">
        <v>2758</v>
      </c>
    </row>
    <row r="1610">
      <c r="A1610" s="189"/>
      <c r="B1610" s="190"/>
      <c r="C1610" s="189"/>
      <c r="D1610" s="348"/>
      <c r="E1610" s="348"/>
      <c r="F1610" s="191"/>
      <c r="G1610" s="187"/>
      <c r="H1610" s="331" t="str">
        <f t="shared" si="3"/>
        <v/>
      </c>
      <c r="I1610" s="349"/>
      <c r="J1610" s="187"/>
      <c r="K1610" s="169"/>
    </row>
    <row r="1611">
      <c r="A1611" s="193"/>
      <c r="B1611" s="194"/>
      <c r="C1611" s="193"/>
      <c r="D1611" s="323"/>
      <c r="E1611" s="323"/>
      <c r="F1611" s="195"/>
      <c r="G1611" s="196"/>
      <c r="H1611" s="332" t="str">
        <f t="shared" si="3"/>
        <v/>
      </c>
      <c r="I1611" s="324"/>
      <c r="J1611" s="196"/>
      <c r="K1611" s="175"/>
    </row>
    <row r="1612">
      <c r="A1612" s="189"/>
      <c r="B1612" s="190"/>
      <c r="C1612" s="189"/>
      <c r="D1612" s="348"/>
      <c r="E1612" s="348"/>
      <c r="F1612" s="191"/>
      <c r="G1612" s="187"/>
      <c r="H1612" s="331" t="str">
        <f t="shared" si="3"/>
        <v/>
      </c>
      <c r="I1612" s="349"/>
      <c r="J1612" s="187"/>
      <c r="K1612" s="169"/>
    </row>
    <row r="1613">
      <c r="A1613" s="193"/>
      <c r="B1613" s="194"/>
      <c r="C1613" s="193"/>
      <c r="D1613" s="323"/>
      <c r="E1613" s="323"/>
      <c r="F1613" s="195"/>
      <c r="G1613" s="196"/>
      <c r="H1613" s="332" t="str">
        <f t="shared" si="3"/>
        <v/>
      </c>
      <c r="I1613" s="324"/>
      <c r="J1613" s="196"/>
      <c r="K1613" s="175"/>
    </row>
    <row r="1614">
      <c r="A1614" s="189"/>
      <c r="B1614" s="190"/>
      <c r="C1614" s="189"/>
      <c r="D1614" s="348"/>
      <c r="E1614" s="348"/>
      <c r="F1614" s="191"/>
      <c r="G1614" s="187"/>
      <c r="H1614" s="331" t="str">
        <f t="shared" si="3"/>
        <v/>
      </c>
      <c r="I1614" s="349"/>
      <c r="J1614" s="187"/>
      <c r="K1614" s="169"/>
    </row>
    <row r="1615">
      <c r="A1615" s="193"/>
      <c r="B1615" s="194"/>
      <c r="C1615" s="193"/>
      <c r="D1615" s="323"/>
      <c r="E1615" s="323"/>
      <c r="F1615" s="195"/>
      <c r="G1615" s="196"/>
      <c r="H1615" s="332" t="str">
        <f t="shared" si="3"/>
        <v/>
      </c>
      <c r="I1615" s="324"/>
      <c r="J1615" s="196"/>
      <c r="K1615" s="175"/>
    </row>
    <row r="1616">
      <c r="A1616" s="189"/>
      <c r="B1616" s="190"/>
      <c r="C1616" s="189"/>
      <c r="D1616" s="348"/>
      <c r="E1616" s="348"/>
      <c r="F1616" s="191"/>
      <c r="G1616" s="187"/>
      <c r="H1616" s="331" t="str">
        <f t="shared" si="3"/>
        <v/>
      </c>
      <c r="I1616" s="349"/>
      <c r="J1616" s="187"/>
      <c r="K1616" s="169"/>
    </row>
    <row r="1617">
      <c r="A1617" s="193"/>
      <c r="B1617" s="194"/>
      <c r="C1617" s="193"/>
      <c r="D1617" s="323"/>
      <c r="E1617" s="323"/>
      <c r="F1617" s="195"/>
      <c r="G1617" s="196"/>
      <c r="H1617" s="332" t="str">
        <f t="shared" si="3"/>
        <v/>
      </c>
      <c r="I1617" s="324"/>
      <c r="J1617" s="196"/>
      <c r="K1617" s="175"/>
    </row>
    <row r="1618">
      <c r="A1618" s="189"/>
      <c r="B1618" s="190"/>
      <c r="C1618" s="189"/>
      <c r="D1618" s="348"/>
      <c r="E1618" s="348"/>
      <c r="F1618" s="191"/>
      <c r="G1618" s="187"/>
      <c r="H1618" s="331" t="str">
        <f t="shared" si="3"/>
        <v/>
      </c>
      <c r="I1618" s="349"/>
      <c r="J1618" s="187"/>
      <c r="K1618" s="169"/>
    </row>
    <row r="1619">
      <c r="A1619" s="193"/>
      <c r="B1619" s="194"/>
      <c r="C1619" s="193"/>
      <c r="D1619" s="323"/>
      <c r="E1619" s="323"/>
      <c r="F1619" s="195"/>
      <c r="G1619" s="196"/>
      <c r="H1619" s="332" t="str">
        <f t="shared" si="3"/>
        <v/>
      </c>
      <c r="I1619" s="324"/>
      <c r="J1619" s="196"/>
      <c r="K1619" s="175"/>
    </row>
    <row r="1620">
      <c r="A1620" s="189"/>
      <c r="B1620" s="190"/>
      <c r="C1620" s="189"/>
      <c r="D1620" s="348"/>
      <c r="E1620" s="348"/>
      <c r="F1620" s="191"/>
      <c r="G1620" s="187"/>
      <c r="H1620" s="331" t="str">
        <f t="shared" si="3"/>
        <v/>
      </c>
      <c r="I1620" s="349"/>
      <c r="J1620" s="187"/>
      <c r="K1620" s="169"/>
    </row>
    <row r="1621">
      <c r="A1621" s="193"/>
      <c r="B1621" s="194"/>
      <c r="C1621" s="193"/>
      <c r="D1621" s="323"/>
      <c r="E1621" s="323"/>
      <c r="F1621" s="195"/>
      <c r="G1621" s="196"/>
      <c r="H1621" s="332" t="str">
        <f t="shared" si="3"/>
        <v/>
      </c>
      <c r="I1621" s="324"/>
      <c r="J1621" s="196"/>
      <c r="K1621" s="175"/>
    </row>
    <row r="1622">
      <c r="A1622" s="189"/>
      <c r="B1622" s="190"/>
      <c r="C1622" s="189"/>
      <c r="D1622" s="348"/>
      <c r="E1622" s="348"/>
      <c r="F1622" s="191"/>
      <c r="G1622" s="187"/>
      <c r="H1622" s="331" t="str">
        <f t="shared" si="3"/>
        <v/>
      </c>
      <c r="I1622" s="349"/>
      <c r="J1622" s="187"/>
      <c r="K1622" s="169"/>
    </row>
    <row r="1623">
      <c r="A1623" s="193"/>
      <c r="B1623" s="194"/>
      <c r="C1623" s="193"/>
      <c r="D1623" s="323"/>
      <c r="E1623" s="323"/>
      <c r="F1623" s="195"/>
      <c r="G1623" s="196"/>
      <c r="H1623" s="332" t="str">
        <f t="shared" si="3"/>
        <v/>
      </c>
      <c r="I1623" s="324"/>
      <c r="J1623" s="196"/>
      <c r="K1623" s="175"/>
    </row>
    <row r="1624">
      <c r="A1624" s="189"/>
      <c r="B1624" s="190"/>
      <c r="C1624" s="189"/>
      <c r="D1624" s="348"/>
      <c r="E1624" s="348"/>
      <c r="F1624" s="191"/>
      <c r="G1624" s="187"/>
      <c r="H1624" s="331" t="str">
        <f t="shared" si="3"/>
        <v/>
      </c>
      <c r="I1624" s="349"/>
      <c r="J1624" s="187"/>
      <c r="K1624" s="169"/>
    </row>
    <row r="1625">
      <c r="A1625" s="193"/>
      <c r="B1625" s="194"/>
      <c r="C1625" s="193"/>
      <c r="D1625" s="323"/>
      <c r="E1625" s="323"/>
      <c r="F1625" s="195"/>
      <c r="G1625" s="196"/>
      <c r="H1625" s="332" t="str">
        <f t="shared" si="3"/>
        <v/>
      </c>
      <c r="I1625" s="324"/>
      <c r="J1625" s="196"/>
      <c r="K1625" s="175"/>
    </row>
    <row r="1626">
      <c r="A1626" s="189"/>
      <c r="B1626" s="190"/>
      <c r="C1626" s="189"/>
      <c r="D1626" s="348"/>
      <c r="E1626" s="348"/>
      <c r="F1626" s="191"/>
      <c r="G1626" s="187"/>
      <c r="H1626" s="331" t="str">
        <f t="shared" si="3"/>
        <v/>
      </c>
      <c r="I1626" s="349"/>
      <c r="J1626" s="187"/>
      <c r="K1626" s="169"/>
    </row>
    <row r="1627">
      <c r="A1627" s="193"/>
      <c r="B1627" s="194"/>
      <c r="C1627" s="193"/>
      <c r="D1627" s="323"/>
      <c r="E1627" s="323"/>
      <c r="F1627" s="195"/>
      <c r="G1627" s="196"/>
      <c r="H1627" s="332" t="str">
        <f t="shared" si="3"/>
        <v/>
      </c>
      <c r="I1627" s="324"/>
      <c r="J1627" s="196"/>
      <c r="K1627" s="175"/>
    </row>
    <row r="1628">
      <c r="A1628" s="189"/>
      <c r="B1628" s="190"/>
      <c r="C1628" s="189"/>
      <c r="D1628" s="348"/>
      <c r="E1628" s="348"/>
      <c r="F1628" s="191"/>
      <c r="G1628" s="187"/>
      <c r="H1628" s="331" t="str">
        <f t="shared" si="3"/>
        <v/>
      </c>
      <c r="I1628" s="349"/>
      <c r="J1628" s="187"/>
      <c r="K1628" s="169"/>
    </row>
    <row r="1629">
      <c r="A1629" s="193"/>
      <c r="B1629" s="194"/>
      <c r="C1629" s="193"/>
      <c r="D1629" s="323"/>
      <c r="E1629" s="323"/>
      <c r="F1629" s="195"/>
      <c r="G1629" s="196"/>
      <c r="H1629" s="332" t="str">
        <f t="shared" si="3"/>
        <v/>
      </c>
      <c r="I1629" s="324"/>
      <c r="J1629" s="196"/>
      <c r="K1629" s="175"/>
    </row>
    <row r="1630">
      <c r="A1630" s="189"/>
      <c r="B1630" s="190"/>
      <c r="C1630" s="189"/>
      <c r="D1630" s="348"/>
      <c r="E1630" s="348"/>
      <c r="F1630" s="191"/>
      <c r="G1630" s="187"/>
      <c r="H1630" s="331" t="str">
        <f t="shared" si="3"/>
        <v/>
      </c>
      <c r="I1630" s="349"/>
      <c r="J1630" s="187"/>
      <c r="K1630" s="169"/>
    </row>
    <row r="1631">
      <c r="A1631" s="193"/>
      <c r="B1631" s="194"/>
      <c r="C1631" s="193"/>
      <c r="D1631" s="323"/>
      <c r="E1631" s="323"/>
      <c r="F1631" s="195"/>
      <c r="G1631" s="196"/>
      <c r="H1631" s="332" t="str">
        <f t="shared" si="3"/>
        <v/>
      </c>
      <c r="I1631" s="324"/>
      <c r="J1631" s="196"/>
      <c r="K1631" s="175"/>
    </row>
    <row r="1632">
      <c r="A1632" s="189"/>
      <c r="B1632" s="190"/>
      <c r="C1632" s="189"/>
      <c r="D1632" s="348"/>
      <c r="E1632" s="348"/>
      <c r="F1632" s="191"/>
      <c r="G1632" s="187"/>
      <c r="H1632" s="331" t="str">
        <f t="shared" si="3"/>
        <v/>
      </c>
      <c r="I1632" s="349"/>
      <c r="J1632" s="187"/>
      <c r="K1632" s="169"/>
    </row>
    <row r="1633">
      <c r="A1633" s="193"/>
      <c r="B1633" s="194"/>
      <c r="C1633" s="193"/>
      <c r="D1633" s="323"/>
      <c r="E1633" s="323"/>
      <c r="F1633" s="195"/>
      <c r="G1633" s="196"/>
      <c r="H1633" s="332" t="str">
        <f t="shared" si="3"/>
        <v/>
      </c>
      <c r="I1633" s="324"/>
      <c r="J1633" s="196"/>
      <c r="K1633" s="175"/>
    </row>
    <row r="1634">
      <c r="A1634" s="189"/>
      <c r="B1634" s="190"/>
      <c r="C1634" s="189"/>
      <c r="D1634" s="348"/>
      <c r="E1634" s="348"/>
      <c r="F1634" s="191"/>
      <c r="G1634" s="187"/>
      <c r="H1634" s="331" t="str">
        <f t="shared" si="3"/>
        <v/>
      </c>
      <c r="I1634" s="349"/>
      <c r="J1634" s="187"/>
      <c r="K1634" s="169"/>
    </row>
    <row r="1635">
      <c r="A1635" s="193"/>
      <c r="B1635" s="194"/>
      <c r="C1635" s="193"/>
      <c r="D1635" s="323"/>
      <c r="E1635" s="323"/>
      <c r="F1635" s="195"/>
      <c r="G1635" s="196"/>
      <c r="H1635" s="332" t="str">
        <f t="shared" si="3"/>
        <v/>
      </c>
      <c r="I1635" s="324"/>
      <c r="J1635" s="196"/>
      <c r="K1635" s="175"/>
    </row>
    <row r="1636">
      <c r="A1636" s="189"/>
      <c r="B1636" s="190"/>
      <c r="C1636" s="189"/>
      <c r="D1636" s="348"/>
      <c r="E1636" s="348"/>
      <c r="F1636" s="191"/>
      <c r="G1636" s="187"/>
      <c r="H1636" s="331" t="str">
        <f t="shared" si="3"/>
        <v/>
      </c>
      <c r="I1636" s="349"/>
      <c r="J1636" s="187"/>
      <c r="K1636" s="169"/>
    </row>
    <row r="1637">
      <c r="A1637" s="193"/>
      <c r="B1637" s="194"/>
      <c r="C1637" s="193"/>
      <c r="D1637" s="323"/>
      <c r="E1637" s="323"/>
      <c r="F1637" s="195"/>
      <c r="G1637" s="196"/>
      <c r="H1637" s="332" t="str">
        <f t="shared" si="3"/>
        <v/>
      </c>
      <c r="I1637" s="324"/>
      <c r="J1637" s="196"/>
      <c r="K1637" s="175"/>
    </row>
    <row r="1638">
      <c r="A1638" s="189"/>
      <c r="B1638" s="190"/>
      <c r="C1638" s="189"/>
      <c r="D1638" s="348"/>
      <c r="E1638" s="348"/>
      <c r="F1638" s="191"/>
      <c r="G1638" s="187"/>
      <c r="H1638" s="331" t="str">
        <f t="shared" si="3"/>
        <v/>
      </c>
      <c r="I1638" s="349"/>
      <c r="J1638" s="187"/>
      <c r="K1638" s="169"/>
    </row>
    <row r="1639">
      <c r="A1639" s="193"/>
      <c r="B1639" s="194"/>
      <c r="C1639" s="193"/>
      <c r="D1639" s="323"/>
      <c r="E1639" s="323"/>
      <c r="F1639" s="195"/>
      <c r="G1639" s="196"/>
      <c r="H1639" s="332" t="str">
        <f t="shared" si="3"/>
        <v/>
      </c>
      <c r="I1639" s="324"/>
      <c r="J1639" s="196"/>
      <c r="K1639" s="175"/>
    </row>
    <row r="1640">
      <c r="A1640" s="189"/>
      <c r="B1640" s="190"/>
      <c r="C1640" s="189"/>
      <c r="D1640" s="348"/>
      <c r="E1640" s="348"/>
      <c r="F1640" s="191"/>
      <c r="G1640" s="187"/>
      <c r="H1640" s="331" t="str">
        <f t="shared" si="3"/>
        <v/>
      </c>
      <c r="I1640" s="349"/>
      <c r="J1640" s="187"/>
      <c r="K1640" s="169"/>
    </row>
    <row r="1641">
      <c r="A1641" s="193"/>
      <c r="B1641" s="194"/>
      <c r="C1641" s="193"/>
      <c r="D1641" s="323"/>
      <c r="E1641" s="323"/>
      <c r="F1641" s="195"/>
      <c r="G1641" s="196"/>
      <c r="H1641" s="332" t="str">
        <f t="shared" si="3"/>
        <v/>
      </c>
      <c r="I1641" s="324"/>
      <c r="J1641" s="196"/>
      <c r="K1641" s="175"/>
    </row>
    <row r="1642">
      <c r="A1642" s="189"/>
      <c r="B1642" s="190"/>
      <c r="C1642" s="189"/>
      <c r="D1642" s="348"/>
      <c r="E1642" s="348"/>
      <c r="F1642" s="191"/>
      <c r="G1642" s="187"/>
      <c r="H1642" s="331" t="str">
        <f t="shared" si="3"/>
        <v/>
      </c>
      <c r="I1642" s="349"/>
      <c r="J1642" s="187"/>
      <c r="K1642" s="169"/>
    </row>
    <row r="1643">
      <c r="A1643" s="193"/>
      <c r="B1643" s="194"/>
      <c r="C1643" s="193"/>
      <c r="D1643" s="323"/>
      <c r="E1643" s="323"/>
      <c r="F1643" s="195"/>
      <c r="G1643" s="196"/>
      <c r="H1643" s="332" t="str">
        <f t="shared" si="3"/>
        <v/>
      </c>
      <c r="I1643" s="324"/>
      <c r="J1643" s="196"/>
      <c r="K1643" s="175"/>
    </row>
    <row r="1644">
      <c r="A1644" s="189"/>
      <c r="B1644" s="190"/>
      <c r="C1644" s="189"/>
      <c r="D1644" s="348"/>
      <c r="E1644" s="348"/>
      <c r="F1644" s="191"/>
      <c r="G1644" s="187"/>
      <c r="H1644" s="331" t="str">
        <f t="shared" si="3"/>
        <v/>
      </c>
      <c r="I1644" s="349"/>
      <c r="J1644" s="187"/>
      <c r="K1644" s="169"/>
    </row>
    <row r="1645">
      <c r="A1645" s="350"/>
      <c r="B1645" s="351"/>
      <c r="C1645" s="350"/>
      <c r="D1645" s="352"/>
      <c r="E1645" s="352"/>
      <c r="F1645" s="353"/>
      <c r="G1645" s="354"/>
      <c r="H1645" s="350"/>
      <c r="I1645" s="355"/>
      <c r="J1645" s="354"/>
      <c r="K1645" s="351"/>
    </row>
    <row r="1646">
      <c r="A1646" s="356"/>
      <c r="B1646" s="357"/>
      <c r="C1646" s="356"/>
      <c r="D1646" s="358"/>
      <c r="E1646" s="358"/>
      <c r="F1646" s="359"/>
      <c r="G1646" s="360"/>
      <c r="H1646" s="356"/>
      <c r="I1646" s="361"/>
      <c r="J1646" s="360"/>
      <c r="K1646" s="357"/>
    </row>
    <row r="1647">
      <c r="A1647" s="350"/>
      <c r="B1647" s="351"/>
      <c r="C1647" s="350"/>
      <c r="D1647" s="352"/>
      <c r="E1647" s="352"/>
      <c r="F1647" s="353"/>
      <c r="G1647" s="354"/>
      <c r="H1647" s="350"/>
      <c r="I1647" s="355"/>
      <c r="J1647" s="354"/>
      <c r="K1647" s="351"/>
    </row>
    <row r="1648">
      <c r="A1648" s="356"/>
      <c r="B1648" s="357"/>
      <c r="C1648" s="356"/>
      <c r="D1648" s="358"/>
      <c r="E1648" s="358"/>
      <c r="F1648" s="359"/>
      <c r="G1648" s="360"/>
      <c r="H1648" s="356"/>
      <c r="I1648" s="361"/>
      <c r="J1648" s="360"/>
      <c r="K1648" s="357"/>
    </row>
    <row r="1649">
      <c r="A1649" s="350"/>
      <c r="B1649" s="351"/>
      <c r="C1649" s="350"/>
      <c r="D1649" s="352"/>
      <c r="E1649" s="352"/>
      <c r="F1649" s="353"/>
      <c r="G1649" s="354"/>
      <c r="H1649" s="350"/>
      <c r="I1649" s="355"/>
      <c r="J1649" s="354"/>
      <c r="K1649" s="351"/>
    </row>
    <row r="1650">
      <c r="A1650" s="356"/>
      <c r="B1650" s="357"/>
      <c r="C1650" s="356"/>
      <c r="D1650" s="358"/>
      <c r="E1650" s="358"/>
      <c r="F1650" s="359"/>
      <c r="G1650" s="360"/>
      <c r="H1650" s="356"/>
      <c r="I1650" s="361"/>
      <c r="J1650" s="360"/>
      <c r="K1650" s="357"/>
    </row>
    <row r="1651">
      <c r="A1651" s="350"/>
      <c r="B1651" s="351"/>
      <c r="C1651" s="350"/>
      <c r="D1651" s="352"/>
      <c r="E1651" s="352"/>
      <c r="F1651" s="353"/>
      <c r="G1651" s="354"/>
      <c r="H1651" s="350"/>
      <c r="I1651" s="355"/>
      <c r="J1651" s="354"/>
      <c r="K1651" s="351"/>
    </row>
    <row r="1652">
      <c r="A1652" s="356"/>
      <c r="B1652" s="357"/>
      <c r="C1652" s="356"/>
      <c r="D1652" s="358"/>
      <c r="E1652" s="358"/>
      <c r="F1652" s="359"/>
      <c r="G1652" s="360"/>
      <c r="H1652" s="356"/>
      <c r="I1652" s="361"/>
      <c r="J1652" s="360"/>
      <c r="K1652" s="357"/>
    </row>
    <row r="1653">
      <c r="A1653" s="350"/>
      <c r="B1653" s="351"/>
      <c r="C1653" s="350"/>
      <c r="D1653" s="352"/>
      <c r="E1653" s="352"/>
      <c r="F1653" s="353"/>
      <c r="G1653" s="354"/>
      <c r="H1653" s="350"/>
      <c r="I1653" s="355"/>
      <c r="J1653" s="354"/>
      <c r="K1653" s="351"/>
    </row>
    <row r="1654">
      <c r="A1654" s="356"/>
      <c r="B1654" s="357"/>
      <c r="C1654" s="356"/>
      <c r="D1654" s="358"/>
      <c r="E1654" s="358"/>
      <c r="F1654" s="359"/>
      <c r="G1654" s="360"/>
      <c r="H1654" s="356"/>
      <c r="I1654" s="361"/>
      <c r="J1654" s="360"/>
      <c r="K1654" s="357"/>
    </row>
    <row r="1655">
      <c r="A1655" s="350"/>
      <c r="B1655" s="351"/>
      <c r="C1655" s="350"/>
      <c r="D1655" s="352"/>
      <c r="E1655" s="352"/>
      <c r="F1655" s="353"/>
      <c r="G1655" s="354"/>
      <c r="H1655" s="350"/>
      <c r="I1655" s="355"/>
      <c r="J1655" s="354"/>
      <c r="K1655" s="351"/>
    </row>
    <row r="1656">
      <c r="A1656" s="356"/>
      <c r="B1656" s="357"/>
      <c r="C1656" s="356"/>
      <c r="D1656" s="358"/>
      <c r="E1656" s="358"/>
      <c r="F1656" s="359"/>
      <c r="G1656" s="360"/>
      <c r="H1656" s="356"/>
      <c r="I1656" s="361"/>
      <c r="J1656" s="360"/>
      <c r="K1656" s="357"/>
    </row>
    <row r="1657">
      <c r="A1657" s="350"/>
      <c r="B1657" s="351"/>
      <c r="C1657" s="350"/>
      <c r="D1657" s="352"/>
      <c r="E1657" s="352"/>
      <c r="F1657" s="353"/>
      <c r="G1657" s="354"/>
      <c r="H1657" s="350"/>
      <c r="I1657" s="355"/>
      <c r="J1657" s="354"/>
      <c r="K1657" s="351"/>
    </row>
    <row r="1658">
      <c r="A1658" s="356"/>
      <c r="B1658" s="357"/>
      <c r="C1658" s="356"/>
      <c r="D1658" s="358"/>
      <c r="E1658" s="358"/>
      <c r="F1658" s="359"/>
      <c r="G1658" s="360"/>
      <c r="H1658" s="356"/>
      <c r="I1658" s="361"/>
      <c r="J1658" s="360"/>
      <c r="K1658" s="357"/>
    </row>
    <row r="1659">
      <c r="A1659" s="350"/>
      <c r="B1659" s="351"/>
      <c r="C1659" s="350"/>
      <c r="D1659" s="352"/>
      <c r="E1659" s="352"/>
      <c r="F1659" s="353"/>
      <c r="G1659" s="354"/>
      <c r="H1659" s="350"/>
      <c r="I1659" s="355"/>
      <c r="J1659" s="354"/>
      <c r="K1659" s="351"/>
    </row>
    <row r="1660">
      <c r="A1660" s="356"/>
      <c r="B1660" s="357"/>
      <c r="C1660" s="356"/>
      <c r="D1660" s="358"/>
      <c r="E1660" s="358"/>
      <c r="F1660" s="359"/>
      <c r="G1660" s="360"/>
      <c r="H1660" s="356"/>
      <c r="I1660" s="361"/>
      <c r="J1660" s="360"/>
      <c r="K1660" s="357"/>
    </row>
    <row r="1661">
      <c r="A1661" s="350"/>
      <c r="B1661" s="351"/>
      <c r="C1661" s="350"/>
      <c r="D1661" s="352"/>
      <c r="E1661" s="352"/>
      <c r="F1661" s="353"/>
      <c r="G1661" s="354"/>
      <c r="H1661" s="350"/>
      <c r="I1661" s="355"/>
      <c r="J1661" s="354"/>
      <c r="K1661" s="351"/>
    </row>
    <row r="1662">
      <c r="A1662" s="356"/>
      <c r="B1662" s="357"/>
      <c r="C1662" s="356"/>
      <c r="D1662" s="358"/>
      <c r="E1662" s="358"/>
      <c r="F1662" s="359"/>
      <c r="G1662" s="360"/>
      <c r="H1662" s="356"/>
      <c r="I1662" s="361"/>
      <c r="J1662" s="360"/>
      <c r="K1662" s="357"/>
    </row>
    <row r="1663">
      <c r="A1663" s="350"/>
      <c r="B1663" s="351"/>
      <c r="C1663" s="350"/>
      <c r="D1663" s="352"/>
      <c r="E1663" s="352"/>
      <c r="F1663" s="353"/>
      <c r="G1663" s="354"/>
      <c r="H1663" s="350"/>
      <c r="I1663" s="355"/>
      <c r="J1663" s="354"/>
      <c r="K1663" s="351"/>
    </row>
    <row r="1664">
      <c r="A1664" s="356"/>
      <c r="B1664" s="357"/>
      <c r="C1664" s="356"/>
      <c r="D1664" s="358"/>
      <c r="E1664" s="358"/>
      <c r="F1664" s="359"/>
      <c r="G1664" s="360"/>
      <c r="H1664" s="356"/>
      <c r="I1664" s="361"/>
      <c r="J1664" s="360"/>
      <c r="K1664" s="357"/>
    </row>
    <row r="1665">
      <c r="A1665" s="350"/>
      <c r="B1665" s="351"/>
      <c r="C1665" s="350"/>
      <c r="D1665" s="352"/>
      <c r="E1665" s="352"/>
      <c r="F1665" s="353"/>
      <c r="G1665" s="354"/>
      <c r="H1665" s="350"/>
      <c r="I1665" s="355"/>
      <c r="J1665" s="354"/>
      <c r="K1665" s="351"/>
    </row>
    <row r="1666">
      <c r="A1666" s="356"/>
      <c r="B1666" s="357"/>
      <c r="C1666" s="356"/>
      <c r="D1666" s="358"/>
      <c r="E1666" s="358"/>
      <c r="F1666" s="359"/>
      <c r="G1666" s="360"/>
      <c r="H1666" s="356"/>
      <c r="I1666" s="361"/>
      <c r="J1666" s="360"/>
      <c r="K1666" s="357"/>
    </row>
    <row r="1667">
      <c r="A1667" s="350"/>
      <c r="B1667" s="351"/>
      <c r="C1667" s="350"/>
      <c r="D1667" s="352"/>
      <c r="E1667" s="352"/>
      <c r="F1667" s="353"/>
      <c r="G1667" s="354"/>
      <c r="H1667" s="350"/>
      <c r="I1667" s="355"/>
      <c r="J1667" s="354"/>
      <c r="K1667" s="351"/>
    </row>
    <row r="1668">
      <c r="A1668" s="356"/>
      <c r="B1668" s="357"/>
      <c r="C1668" s="356"/>
      <c r="D1668" s="358"/>
      <c r="E1668" s="358"/>
      <c r="F1668" s="359"/>
      <c r="G1668" s="360"/>
      <c r="H1668" s="356"/>
      <c r="I1668" s="361"/>
      <c r="J1668" s="360"/>
      <c r="K1668" s="357"/>
    </row>
    <row r="1669">
      <c r="A1669" s="350"/>
      <c r="B1669" s="351"/>
      <c r="C1669" s="350"/>
      <c r="D1669" s="352"/>
      <c r="E1669" s="352"/>
      <c r="F1669" s="353"/>
      <c r="G1669" s="354"/>
      <c r="H1669" s="350"/>
      <c r="I1669" s="355"/>
      <c r="J1669" s="354"/>
      <c r="K1669" s="351"/>
    </row>
    <row r="1670">
      <c r="A1670" s="356"/>
      <c r="B1670" s="357"/>
      <c r="C1670" s="356"/>
      <c r="D1670" s="358"/>
      <c r="E1670" s="358"/>
      <c r="F1670" s="359"/>
      <c r="G1670" s="360"/>
      <c r="H1670" s="356"/>
      <c r="I1670" s="361"/>
      <c r="J1670" s="360"/>
      <c r="K1670" s="357"/>
    </row>
    <row r="1671">
      <c r="A1671" s="350"/>
      <c r="B1671" s="351"/>
      <c r="C1671" s="350"/>
      <c r="D1671" s="352"/>
      <c r="E1671" s="352"/>
      <c r="F1671" s="353"/>
      <c r="G1671" s="354"/>
      <c r="H1671" s="350"/>
      <c r="I1671" s="355"/>
      <c r="J1671" s="354"/>
      <c r="K1671" s="351"/>
    </row>
    <row r="1672">
      <c r="A1672" s="356"/>
      <c r="B1672" s="357"/>
      <c r="C1672" s="356"/>
      <c r="D1672" s="358"/>
      <c r="E1672" s="358"/>
      <c r="F1672" s="359"/>
      <c r="G1672" s="360"/>
      <c r="H1672" s="356"/>
      <c r="I1672" s="361"/>
      <c r="J1672" s="360"/>
      <c r="K1672" s="357"/>
    </row>
    <row r="1673">
      <c r="A1673" s="350"/>
      <c r="B1673" s="351"/>
      <c r="C1673" s="350"/>
      <c r="D1673" s="352"/>
      <c r="E1673" s="352"/>
      <c r="F1673" s="353"/>
      <c r="G1673" s="354"/>
      <c r="H1673" s="350"/>
      <c r="I1673" s="355"/>
      <c r="J1673" s="354"/>
      <c r="K1673" s="351"/>
    </row>
    <row r="1674">
      <c r="A1674" s="356"/>
      <c r="B1674" s="357"/>
      <c r="C1674" s="356"/>
      <c r="D1674" s="358"/>
      <c r="E1674" s="358"/>
      <c r="F1674" s="359"/>
      <c r="G1674" s="360"/>
      <c r="H1674" s="356"/>
      <c r="I1674" s="361"/>
      <c r="J1674" s="360"/>
      <c r="K1674" s="357"/>
    </row>
    <row r="1675">
      <c r="A1675" s="350"/>
      <c r="B1675" s="351"/>
      <c r="C1675" s="350"/>
      <c r="D1675" s="352"/>
      <c r="E1675" s="352"/>
      <c r="F1675" s="353"/>
      <c r="G1675" s="354"/>
      <c r="H1675" s="350"/>
      <c r="I1675" s="355"/>
      <c r="J1675" s="354"/>
      <c r="K1675" s="351"/>
    </row>
    <row r="1676">
      <c r="A1676" s="356"/>
      <c r="B1676" s="357"/>
      <c r="C1676" s="356"/>
      <c r="D1676" s="358"/>
      <c r="E1676" s="358"/>
      <c r="F1676" s="359"/>
      <c r="G1676" s="360"/>
      <c r="H1676" s="356"/>
      <c r="I1676" s="361"/>
      <c r="J1676" s="360"/>
      <c r="K1676" s="357"/>
    </row>
    <row r="1677">
      <c r="A1677" s="350"/>
      <c r="B1677" s="351"/>
      <c r="C1677" s="350"/>
      <c r="D1677" s="352"/>
      <c r="E1677" s="352"/>
      <c r="F1677" s="353"/>
      <c r="G1677" s="354"/>
      <c r="H1677" s="350"/>
      <c r="I1677" s="355"/>
      <c r="J1677" s="354"/>
      <c r="K1677" s="351"/>
    </row>
    <row r="1678">
      <c r="A1678" s="356"/>
      <c r="B1678" s="357"/>
      <c r="C1678" s="356"/>
      <c r="D1678" s="358"/>
      <c r="E1678" s="358"/>
      <c r="F1678" s="359"/>
      <c r="G1678" s="360"/>
      <c r="H1678" s="356"/>
      <c r="I1678" s="361"/>
      <c r="J1678" s="360"/>
      <c r="K1678" s="357"/>
    </row>
    <row r="1679">
      <c r="A1679" s="350"/>
      <c r="B1679" s="351"/>
      <c r="C1679" s="350"/>
      <c r="D1679" s="352"/>
      <c r="E1679" s="352"/>
      <c r="F1679" s="353"/>
      <c r="G1679" s="354"/>
      <c r="H1679" s="350"/>
      <c r="I1679" s="355"/>
      <c r="J1679" s="354"/>
      <c r="K1679" s="351"/>
    </row>
    <row r="1680">
      <c r="A1680" s="356"/>
      <c r="B1680" s="357"/>
      <c r="C1680" s="356"/>
      <c r="D1680" s="358"/>
      <c r="E1680" s="358"/>
      <c r="F1680" s="359"/>
      <c r="G1680" s="360"/>
      <c r="H1680" s="356"/>
      <c r="I1680" s="361"/>
      <c r="J1680" s="360"/>
      <c r="K1680" s="357"/>
    </row>
    <row r="1681">
      <c r="A1681" s="350"/>
      <c r="B1681" s="351"/>
      <c r="C1681" s="350"/>
      <c r="D1681" s="352"/>
      <c r="E1681" s="352"/>
      <c r="F1681" s="353"/>
      <c r="G1681" s="354"/>
      <c r="H1681" s="350"/>
      <c r="I1681" s="355"/>
      <c r="J1681" s="354"/>
      <c r="K1681" s="351"/>
    </row>
    <row r="1682">
      <c r="A1682" s="356"/>
      <c r="B1682" s="357"/>
      <c r="C1682" s="356"/>
      <c r="D1682" s="358"/>
      <c r="E1682" s="358"/>
      <c r="F1682" s="359"/>
      <c r="G1682" s="360"/>
      <c r="H1682" s="356"/>
      <c r="I1682" s="361"/>
      <c r="J1682" s="360"/>
      <c r="K1682" s="357"/>
    </row>
    <row r="1683">
      <c r="A1683" s="350"/>
      <c r="B1683" s="351"/>
      <c r="C1683" s="350"/>
      <c r="D1683" s="352"/>
      <c r="E1683" s="352"/>
      <c r="F1683" s="353"/>
      <c r="G1683" s="354"/>
      <c r="H1683" s="350"/>
      <c r="I1683" s="355"/>
      <c r="J1683" s="354"/>
      <c r="K1683" s="351"/>
    </row>
    <row r="1684">
      <c r="A1684" s="356"/>
      <c r="B1684" s="357"/>
      <c r="C1684" s="356"/>
      <c r="D1684" s="358"/>
      <c r="E1684" s="358"/>
      <c r="F1684" s="359"/>
      <c r="G1684" s="360"/>
      <c r="H1684" s="356"/>
      <c r="I1684" s="361"/>
      <c r="J1684" s="360"/>
      <c r="K1684" s="357"/>
    </row>
    <row r="1685">
      <c r="A1685" s="350"/>
      <c r="B1685" s="351"/>
      <c r="C1685" s="350"/>
      <c r="D1685" s="352"/>
      <c r="E1685" s="352"/>
      <c r="F1685" s="353"/>
      <c r="G1685" s="354"/>
      <c r="H1685" s="350"/>
      <c r="I1685" s="355"/>
      <c r="J1685" s="354"/>
      <c r="K1685" s="351"/>
    </row>
    <row r="1686">
      <c r="A1686" s="356"/>
      <c r="B1686" s="357"/>
      <c r="C1686" s="356"/>
      <c r="D1686" s="358"/>
      <c r="E1686" s="358"/>
      <c r="F1686" s="359"/>
      <c r="G1686" s="360"/>
      <c r="H1686" s="356"/>
      <c r="I1686" s="361"/>
      <c r="J1686" s="360"/>
      <c r="K1686" s="357"/>
    </row>
    <row r="1687">
      <c r="A1687" s="350"/>
      <c r="B1687" s="351"/>
      <c r="C1687" s="350"/>
      <c r="D1687" s="352"/>
      <c r="E1687" s="352"/>
      <c r="F1687" s="353"/>
      <c r="G1687" s="354"/>
      <c r="H1687" s="350"/>
      <c r="I1687" s="355"/>
      <c r="J1687" s="354"/>
      <c r="K1687" s="351"/>
    </row>
    <row r="1688">
      <c r="A1688" s="356"/>
      <c r="B1688" s="357"/>
      <c r="C1688" s="356"/>
      <c r="D1688" s="358"/>
      <c r="E1688" s="358"/>
      <c r="F1688" s="359"/>
      <c r="G1688" s="360"/>
      <c r="H1688" s="356"/>
      <c r="I1688" s="361"/>
      <c r="J1688" s="360"/>
      <c r="K1688" s="357"/>
    </row>
    <row r="1689">
      <c r="A1689" s="350"/>
      <c r="B1689" s="351"/>
      <c r="C1689" s="350"/>
      <c r="D1689" s="352"/>
      <c r="E1689" s="352"/>
      <c r="F1689" s="353"/>
      <c r="G1689" s="354"/>
      <c r="H1689" s="350"/>
      <c r="I1689" s="355"/>
      <c r="J1689" s="354"/>
      <c r="K1689" s="351"/>
    </row>
    <row r="1690">
      <c r="A1690" s="356"/>
      <c r="B1690" s="357"/>
      <c r="C1690" s="356"/>
      <c r="D1690" s="358"/>
      <c r="E1690" s="358"/>
      <c r="F1690" s="359"/>
      <c r="G1690" s="360"/>
      <c r="H1690" s="356"/>
      <c r="I1690" s="361"/>
      <c r="J1690" s="360"/>
      <c r="K1690" s="357"/>
    </row>
    <row r="1691">
      <c r="A1691" s="350"/>
      <c r="B1691" s="351"/>
      <c r="C1691" s="350"/>
      <c r="D1691" s="352"/>
      <c r="E1691" s="352"/>
      <c r="F1691" s="353"/>
      <c r="G1691" s="354"/>
      <c r="H1691" s="350"/>
      <c r="I1691" s="355"/>
      <c r="J1691" s="354"/>
      <c r="K1691" s="351"/>
    </row>
    <row r="1692">
      <c r="A1692" s="356"/>
      <c r="B1692" s="357"/>
      <c r="C1692" s="356"/>
      <c r="D1692" s="358"/>
      <c r="E1692" s="358"/>
      <c r="F1692" s="359"/>
      <c r="G1692" s="360"/>
      <c r="H1692" s="356"/>
      <c r="I1692" s="361"/>
      <c r="J1692" s="360"/>
      <c r="K1692" s="357"/>
    </row>
    <row r="1693">
      <c r="A1693" s="350"/>
      <c r="B1693" s="351"/>
      <c r="C1693" s="350"/>
      <c r="D1693" s="352"/>
      <c r="E1693" s="352"/>
      <c r="F1693" s="353"/>
      <c r="G1693" s="354"/>
      <c r="H1693" s="350"/>
      <c r="I1693" s="355"/>
      <c r="J1693" s="354"/>
      <c r="K1693" s="351"/>
    </row>
    <row r="1694">
      <c r="A1694" s="356"/>
      <c r="B1694" s="357"/>
      <c r="C1694" s="356"/>
      <c r="D1694" s="358"/>
      <c r="E1694" s="358"/>
      <c r="F1694" s="359"/>
      <c r="G1694" s="360"/>
      <c r="H1694" s="356"/>
      <c r="I1694" s="361"/>
      <c r="J1694" s="360"/>
      <c r="K1694" s="357"/>
    </row>
    <row r="1695">
      <c r="A1695" s="350"/>
      <c r="B1695" s="351"/>
      <c r="C1695" s="350"/>
      <c r="D1695" s="352"/>
      <c r="E1695" s="352"/>
      <c r="F1695" s="353"/>
      <c r="G1695" s="354"/>
      <c r="H1695" s="350"/>
      <c r="I1695" s="355"/>
      <c r="J1695" s="354"/>
      <c r="K1695" s="351"/>
    </row>
    <row r="1696">
      <c r="A1696" s="356"/>
      <c r="B1696" s="357"/>
      <c r="C1696" s="356"/>
      <c r="D1696" s="358"/>
      <c r="E1696" s="358"/>
      <c r="F1696" s="359"/>
      <c r="G1696" s="360"/>
      <c r="H1696" s="356"/>
      <c r="I1696" s="361"/>
      <c r="J1696" s="360"/>
      <c r="K1696" s="357"/>
    </row>
    <row r="1697">
      <c r="A1697" s="350"/>
      <c r="B1697" s="351"/>
      <c r="C1697" s="350"/>
      <c r="D1697" s="352"/>
      <c r="E1697" s="352"/>
      <c r="F1697" s="353"/>
      <c r="G1697" s="354"/>
      <c r="H1697" s="350"/>
      <c r="I1697" s="355"/>
      <c r="J1697" s="354"/>
      <c r="K1697" s="351"/>
    </row>
    <row r="1698">
      <c r="A1698" s="356"/>
      <c r="B1698" s="357"/>
      <c r="C1698" s="356"/>
      <c r="D1698" s="358"/>
      <c r="E1698" s="358"/>
      <c r="F1698" s="359"/>
      <c r="G1698" s="360"/>
      <c r="H1698" s="356"/>
      <c r="I1698" s="361"/>
      <c r="J1698" s="360"/>
      <c r="K1698" s="357"/>
    </row>
    <row r="1699">
      <c r="A1699" s="350"/>
      <c r="B1699" s="351"/>
      <c r="C1699" s="350"/>
      <c r="D1699" s="352"/>
      <c r="E1699" s="352"/>
      <c r="F1699" s="353"/>
      <c r="G1699" s="354"/>
      <c r="H1699" s="350"/>
      <c r="I1699" s="355"/>
      <c r="J1699" s="354"/>
      <c r="K1699" s="351"/>
    </row>
    <row r="1700">
      <c r="A1700" s="356"/>
      <c r="B1700" s="357"/>
      <c r="C1700" s="356"/>
      <c r="D1700" s="358"/>
      <c r="E1700" s="358"/>
      <c r="F1700" s="359"/>
      <c r="G1700" s="360"/>
      <c r="H1700" s="356"/>
      <c r="I1700" s="361"/>
      <c r="J1700" s="360"/>
      <c r="K1700" s="357"/>
    </row>
    <row r="1701">
      <c r="A1701" s="350"/>
      <c r="B1701" s="351"/>
      <c r="C1701" s="350"/>
      <c r="D1701" s="352"/>
      <c r="E1701" s="352"/>
      <c r="F1701" s="353"/>
      <c r="G1701" s="354"/>
      <c r="H1701" s="350"/>
      <c r="I1701" s="355"/>
      <c r="J1701" s="354"/>
      <c r="K1701" s="351"/>
    </row>
    <row r="1702">
      <c r="A1702" s="356"/>
      <c r="B1702" s="357"/>
      <c r="C1702" s="356"/>
      <c r="D1702" s="358"/>
      <c r="E1702" s="358"/>
      <c r="F1702" s="359"/>
      <c r="G1702" s="360"/>
      <c r="H1702" s="356"/>
      <c r="I1702" s="361"/>
      <c r="J1702" s="360"/>
      <c r="K1702" s="357"/>
    </row>
    <row r="1703">
      <c r="A1703" s="350"/>
      <c r="B1703" s="351"/>
      <c r="C1703" s="350"/>
      <c r="D1703" s="352"/>
      <c r="E1703" s="352"/>
      <c r="F1703" s="353"/>
      <c r="G1703" s="354"/>
      <c r="H1703" s="350"/>
      <c r="I1703" s="355"/>
      <c r="J1703" s="354"/>
      <c r="K1703" s="351"/>
    </row>
    <row r="1704">
      <c r="A1704" s="356"/>
      <c r="B1704" s="357"/>
      <c r="C1704" s="356"/>
      <c r="D1704" s="358"/>
      <c r="E1704" s="358"/>
      <c r="F1704" s="359"/>
      <c r="G1704" s="360"/>
      <c r="H1704" s="356"/>
      <c r="I1704" s="361"/>
      <c r="J1704" s="360"/>
      <c r="K1704" s="357"/>
    </row>
    <row r="1705">
      <c r="A1705" s="350"/>
      <c r="B1705" s="351"/>
      <c r="C1705" s="350"/>
      <c r="D1705" s="352"/>
      <c r="E1705" s="352"/>
      <c r="F1705" s="353"/>
      <c r="G1705" s="354"/>
      <c r="H1705" s="350"/>
      <c r="I1705" s="355"/>
      <c r="J1705" s="354"/>
      <c r="K1705" s="351"/>
    </row>
    <row r="1706">
      <c r="A1706" s="356"/>
      <c r="B1706" s="357"/>
      <c r="C1706" s="356"/>
      <c r="D1706" s="358"/>
      <c r="E1706" s="358"/>
      <c r="F1706" s="359"/>
      <c r="G1706" s="360"/>
      <c r="H1706" s="356"/>
      <c r="I1706" s="361"/>
      <c r="J1706" s="360"/>
      <c r="K1706" s="357"/>
    </row>
    <row r="1707">
      <c r="A1707" s="350"/>
      <c r="B1707" s="351"/>
      <c r="C1707" s="350"/>
      <c r="D1707" s="352"/>
      <c r="E1707" s="352"/>
      <c r="F1707" s="353"/>
      <c r="G1707" s="354"/>
      <c r="H1707" s="350"/>
      <c r="I1707" s="355"/>
      <c r="J1707" s="354"/>
      <c r="K1707" s="351"/>
    </row>
    <row r="1708">
      <c r="A1708" s="356"/>
      <c r="B1708" s="357"/>
      <c r="C1708" s="356"/>
      <c r="D1708" s="358"/>
      <c r="E1708" s="358"/>
      <c r="F1708" s="359"/>
      <c r="G1708" s="360"/>
      <c r="H1708" s="356"/>
      <c r="I1708" s="361"/>
      <c r="J1708" s="360"/>
      <c r="K1708" s="357"/>
    </row>
    <row r="1709">
      <c r="A1709" s="350"/>
      <c r="B1709" s="351"/>
      <c r="C1709" s="350"/>
      <c r="D1709" s="352"/>
      <c r="E1709" s="352"/>
      <c r="F1709" s="353"/>
      <c r="G1709" s="354"/>
      <c r="H1709" s="350"/>
      <c r="I1709" s="355"/>
      <c r="J1709" s="354"/>
      <c r="K1709" s="351"/>
    </row>
    <row r="1710">
      <c r="A1710" s="356"/>
      <c r="B1710" s="357"/>
      <c r="C1710" s="356"/>
      <c r="D1710" s="358"/>
      <c r="E1710" s="358"/>
      <c r="F1710" s="359"/>
      <c r="G1710" s="360"/>
      <c r="H1710" s="356"/>
      <c r="I1710" s="361"/>
      <c r="J1710" s="360"/>
      <c r="K1710" s="357"/>
    </row>
    <row r="1711">
      <c r="A1711" s="350"/>
      <c r="B1711" s="351"/>
      <c r="C1711" s="350"/>
      <c r="D1711" s="352"/>
      <c r="E1711" s="352"/>
      <c r="F1711" s="353"/>
      <c r="G1711" s="354"/>
      <c r="H1711" s="350"/>
      <c r="I1711" s="355"/>
      <c r="J1711" s="354"/>
      <c r="K1711" s="351"/>
    </row>
    <row r="1712">
      <c r="A1712" s="356"/>
      <c r="B1712" s="357"/>
      <c r="C1712" s="356"/>
      <c r="D1712" s="358"/>
      <c r="E1712" s="358"/>
      <c r="F1712" s="359"/>
      <c r="G1712" s="360"/>
      <c r="H1712" s="356"/>
      <c r="I1712" s="361"/>
      <c r="J1712" s="360"/>
      <c r="K1712" s="357"/>
    </row>
    <row r="1713">
      <c r="A1713" s="350"/>
      <c r="B1713" s="351"/>
      <c r="C1713" s="350"/>
      <c r="D1713" s="352"/>
      <c r="E1713" s="352"/>
      <c r="F1713" s="353"/>
      <c r="G1713" s="354"/>
      <c r="H1713" s="350"/>
      <c r="I1713" s="355"/>
      <c r="J1713" s="354"/>
      <c r="K1713" s="351"/>
    </row>
    <row r="1714">
      <c r="A1714" s="356"/>
      <c r="B1714" s="357"/>
      <c r="C1714" s="356"/>
      <c r="D1714" s="358"/>
      <c r="E1714" s="358"/>
      <c r="F1714" s="359"/>
      <c r="G1714" s="360"/>
      <c r="H1714" s="356"/>
      <c r="I1714" s="361"/>
      <c r="J1714" s="360"/>
      <c r="K1714" s="357"/>
    </row>
    <row r="1715">
      <c r="A1715" s="350"/>
      <c r="B1715" s="351"/>
      <c r="C1715" s="350"/>
      <c r="D1715" s="352"/>
      <c r="E1715" s="352"/>
      <c r="F1715" s="353"/>
      <c r="G1715" s="354"/>
      <c r="H1715" s="350"/>
      <c r="I1715" s="355"/>
      <c r="J1715" s="354"/>
      <c r="K1715" s="351"/>
    </row>
    <row r="1716">
      <c r="A1716" s="356"/>
      <c r="B1716" s="357"/>
      <c r="C1716" s="356"/>
      <c r="D1716" s="358"/>
      <c r="E1716" s="358"/>
      <c r="F1716" s="359"/>
      <c r="G1716" s="360"/>
      <c r="H1716" s="356"/>
      <c r="I1716" s="361"/>
      <c r="J1716" s="360"/>
      <c r="K1716" s="357"/>
    </row>
    <row r="1717">
      <c r="A1717" s="350"/>
      <c r="B1717" s="351"/>
      <c r="C1717" s="350"/>
      <c r="D1717" s="352"/>
      <c r="E1717" s="352"/>
      <c r="F1717" s="353"/>
      <c r="G1717" s="354"/>
      <c r="H1717" s="350"/>
      <c r="I1717" s="355"/>
      <c r="J1717" s="354"/>
      <c r="K1717" s="351"/>
    </row>
    <row r="1718">
      <c r="A1718" s="356"/>
      <c r="B1718" s="357"/>
      <c r="C1718" s="356"/>
      <c r="D1718" s="358"/>
      <c r="E1718" s="358"/>
      <c r="F1718" s="359"/>
      <c r="G1718" s="360"/>
      <c r="H1718" s="356"/>
      <c r="I1718" s="361"/>
      <c r="J1718" s="360"/>
      <c r="K1718" s="357"/>
    </row>
    <row r="1719">
      <c r="A1719" s="350"/>
      <c r="B1719" s="351"/>
      <c r="C1719" s="350"/>
      <c r="D1719" s="352"/>
      <c r="E1719" s="352"/>
      <c r="F1719" s="353"/>
      <c r="G1719" s="354"/>
      <c r="H1719" s="350"/>
      <c r="I1719" s="355"/>
      <c r="J1719" s="354"/>
      <c r="K1719" s="351"/>
    </row>
    <row r="1720">
      <c r="A1720" s="356"/>
      <c r="B1720" s="357"/>
      <c r="C1720" s="356"/>
      <c r="D1720" s="358"/>
      <c r="E1720" s="358"/>
      <c r="F1720" s="359"/>
      <c r="G1720" s="360"/>
      <c r="H1720" s="356"/>
      <c r="I1720" s="361"/>
      <c r="J1720" s="360"/>
      <c r="K1720" s="357"/>
    </row>
    <row r="1721">
      <c r="A1721" s="350"/>
      <c r="B1721" s="351"/>
      <c r="C1721" s="350"/>
      <c r="D1721" s="352"/>
      <c r="E1721" s="352"/>
      <c r="F1721" s="353"/>
      <c r="G1721" s="354"/>
      <c r="H1721" s="350"/>
      <c r="I1721" s="355"/>
      <c r="J1721" s="354"/>
      <c r="K1721" s="351"/>
    </row>
    <row r="1722">
      <c r="A1722" s="356"/>
      <c r="B1722" s="357"/>
      <c r="C1722" s="356"/>
      <c r="D1722" s="358"/>
      <c r="E1722" s="358"/>
      <c r="F1722" s="359"/>
      <c r="G1722" s="360"/>
      <c r="H1722" s="356"/>
      <c r="I1722" s="361"/>
      <c r="J1722" s="360"/>
      <c r="K1722" s="357"/>
    </row>
    <row r="1723">
      <c r="A1723" s="350"/>
      <c r="B1723" s="351"/>
      <c r="C1723" s="350"/>
      <c r="D1723" s="352"/>
      <c r="E1723" s="352"/>
      <c r="F1723" s="353"/>
      <c r="G1723" s="354"/>
      <c r="H1723" s="350"/>
      <c r="I1723" s="355"/>
      <c r="J1723" s="354"/>
      <c r="K1723" s="351"/>
    </row>
    <row r="1724">
      <c r="A1724" s="356"/>
      <c r="B1724" s="357"/>
      <c r="C1724" s="356"/>
      <c r="D1724" s="358"/>
      <c r="E1724" s="358"/>
      <c r="F1724" s="359"/>
      <c r="G1724" s="360"/>
      <c r="H1724" s="356"/>
      <c r="I1724" s="361"/>
      <c r="J1724" s="360"/>
      <c r="K1724" s="357"/>
    </row>
    <row r="1725">
      <c r="A1725" s="350"/>
      <c r="B1725" s="351"/>
      <c r="C1725" s="350"/>
      <c r="D1725" s="352"/>
      <c r="E1725" s="352"/>
      <c r="F1725" s="353"/>
      <c r="G1725" s="354"/>
      <c r="H1725" s="350"/>
      <c r="I1725" s="355"/>
      <c r="J1725" s="354"/>
      <c r="K1725" s="351"/>
    </row>
    <row r="1726">
      <c r="A1726" s="356"/>
      <c r="B1726" s="357"/>
      <c r="C1726" s="356"/>
      <c r="D1726" s="358"/>
      <c r="E1726" s="358"/>
      <c r="F1726" s="359"/>
      <c r="G1726" s="360"/>
      <c r="H1726" s="356"/>
      <c r="I1726" s="361"/>
      <c r="J1726" s="360"/>
      <c r="K1726" s="357"/>
    </row>
    <row r="1727">
      <c r="A1727" s="350"/>
      <c r="B1727" s="351"/>
      <c r="C1727" s="350"/>
      <c r="D1727" s="352"/>
      <c r="E1727" s="352"/>
      <c r="F1727" s="353"/>
      <c r="G1727" s="354"/>
      <c r="H1727" s="350"/>
      <c r="I1727" s="355"/>
      <c r="J1727" s="354"/>
      <c r="K1727" s="351"/>
    </row>
    <row r="1728">
      <c r="A1728" s="356"/>
      <c r="B1728" s="357"/>
      <c r="C1728" s="356"/>
      <c r="D1728" s="358"/>
      <c r="E1728" s="358"/>
      <c r="F1728" s="359"/>
      <c r="G1728" s="360"/>
      <c r="H1728" s="356"/>
      <c r="I1728" s="361"/>
      <c r="J1728" s="360"/>
      <c r="K1728" s="357"/>
    </row>
    <row r="1729">
      <c r="A1729" s="350"/>
      <c r="B1729" s="351"/>
      <c r="C1729" s="350"/>
      <c r="D1729" s="352"/>
      <c r="E1729" s="352"/>
      <c r="F1729" s="353"/>
      <c r="G1729" s="354"/>
      <c r="H1729" s="350"/>
      <c r="I1729" s="355"/>
      <c r="J1729" s="354"/>
      <c r="K1729" s="351"/>
    </row>
    <row r="1730">
      <c r="A1730" s="356"/>
      <c r="B1730" s="357"/>
      <c r="C1730" s="356"/>
      <c r="D1730" s="358"/>
      <c r="E1730" s="358"/>
      <c r="F1730" s="359"/>
      <c r="G1730" s="360"/>
      <c r="H1730" s="356"/>
      <c r="I1730" s="361"/>
      <c r="J1730" s="360"/>
      <c r="K1730" s="357"/>
    </row>
    <row r="1731">
      <c r="A1731" s="350"/>
      <c r="B1731" s="351"/>
      <c r="C1731" s="350"/>
      <c r="D1731" s="352"/>
      <c r="E1731" s="352"/>
      <c r="F1731" s="353"/>
      <c r="G1731" s="354"/>
      <c r="H1731" s="350"/>
      <c r="I1731" s="355"/>
      <c r="J1731" s="354"/>
      <c r="K1731" s="351"/>
    </row>
    <row r="1732">
      <c r="A1732" s="356"/>
      <c r="B1732" s="357"/>
      <c r="C1732" s="356"/>
      <c r="D1732" s="358"/>
      <c r="E1732" s="358"/>
      <c r="F1732" s="359"/>
      <c r="G1732" s="360"/>
      <c r="H1732" s="356"/>
      <c r="I1732" s="361"/>
      <c r="J1732" s="360"/>
      <c r="K1732" s="357"/>
    </row>
    <row r="1733">
      <c r="A1733" s="350"/>
      <c r="B1733" s="351"/>
      <c r="C1733" s="350"/>
      <c r="D1733" s="352"/>
      <c r="E1733" s="352"/>
      <c r="F1733" s="353"/>
      <c r="G1733" s="354"/>
      <c r="H1733" s="350"/>
      <c r="I1733" s="355"/>
      <c r="J1733" s="354"/>
      <c r="K1733" s="351"/>
    </row>
    <row r="1734">
      <c r="A1734" s="356"/>
      <c r="B1734" s="357"/>
      <c r="C1734" s="356"/>
      <c r="D1734" s="358"/>
      <c r="E1734" s="358"/>
      <c r="F1734" s="359"/>
      <c r="G1734" s="360"/>
      <c r="H1734" s="356"/>
      <c r="I1734" s="361"/>
      <c r="J1734" s="360"/>
      <c r="K1734" s="357"/>
    </row>
    <row r="1735">
      <c r="A1735" s="350"/>
      <c r="B1735" s="351"/>
      <c r="C1735" s="350"/>
      <c r="D1735" s="352"/>
      <c r="E1735" s="352"/>
      <c r="F1735" s="353"/>
      <c r="G1735" s="354"/>
      <c r="H1735" s="350"/>
      <c r="I1735" s="355"/>
      <c r="J1735" s="354"/>
      <c r="K1735" s="351"/>
    </row>
    <row r="1736">
      <c r="A1736" s="356"/>
      <c r="B1736" s="357"/>
      <c r="C1736" s="356"/>
      <c r="D1736" s="358"/>
      <c r="E1736" s="358"/>
      <c r="F1736" s="359"/>
      <c r="G1736" s="360"/>
      <c r="H1736" s="356"/>
      <c r="I1736" s="361"/>
      <c r="J1736" s="360"/>
      <c r="K1736" s="357"/>
    </row>
    <row r="1737">
      <c r="A1737" s="350"/>
      <c r="B1737" s="351"/>
      <c r="C1737" s="350"/>
      <c r="D1737" s="352"/>
      <c r="E1737" s="352"/>
      <c r="F1737" s="353"/>
      <c r="G1737" s="354"/>
      <c r="H1737" s="350"/>
      <c r="I1737" s="355"/>
      <c r="J1737" s="354"/>
      <c r="K1737" s="351"/>
    </row>
    <row r="1738">
      <c r="A1738" s="356"/>
      <c r="B1738" s="357"/>
      <c r="C1738" s="356"/>
      <c r="D1738" s="358"/>
      <c r="E1738" s="358"/>
      <c r="F1738" s="359"/>
      <c r="G1738" s="360"/>
      <c r="H1738" s="356"/>
      <c r="I1738" s="361"/>
      <c r="J1738" s="360"/>
      <c r="K1738" s="357"/>
    </row>
    <row r="1739">
      <c r="A1739" s="350"/>
      <c r="B1739" s="351"/>
      <c r="C1739" s="350"/>
      <c r="D1739" s="352"/>
      <c r="E1739" s="352"/>
      <c r="F1739" s="353"/>
      <c r="G1739" s="354"/>
      <c r="H1739" s="350"/>
      <c r="I1739" s="355"/>
      <c r="J1739" s="354"/>
      <c r="K1739" s="351"/>
    </row>
    <row r="1740">
      <c r="A1740" s="356"/>
      <c r="B1740" s="357"/>
      <c r="C1740" s="356"/>
      <c r="D1740" s="358"/>
      <c r="E1740" s="358"/>
      <c r="F1740" s="359"/>
      <c r="G1740" s="360"/>
      <c r="H1740" s="356"/>
      <c r="I1740" s="361"/>
      <c r="J1740" s="360"/>
      <c r="K1740" s="357"/>
    </row>
    <row r="1741">
      <c r="A1741" s="350"/>
      <c r="B1741" s="351"/>
      <c r="C1741" s="350"/>
      <c r="D1741" s="352"/>
      <c r="E1741" s="352"/>
      <c r="F1741" s="353"/>
      <c r="G1741" s="354"/>
      <c r="H1741" s="350"/>
      <c r="I1741" s="355"/>
      <c r="J1741" s="354"/>
      <c r="K1741" s="351"/>
    </row>
    <row r="1742">
      <c r="A1742" s="356"/>
      <c r="B1742" s="357"/>
      <c r="C1742" s="356"/>
      <c r="D1742" s="358"/>
      <c r="E1742" s="358"/>
      <c r="F1742" s="359"/>
      <c r="G1742" s="360"/>
      <c r="H1742" s="356"/>
      <c r="I1742" s="361"/>
      <c r="J1742" s="360"/>
      <c r="K1742" s="357"/>
    </row>
    <row r="1743">
      <c r="A1743" s="350"/>
      <c r="B1743" s="351"/>
      <c r="C1743" s="350"/>
      <c r="D1743" s="352"/>
      <c r="E1743" s="352"/>
      <c r="F1743" s="353"/>
      <c r="G1743" s="354"/>
      <c r="H1743" s="350"/>
      <c r="I1743" s="355"/>
      <c r="J1743" s="354"/>
      <c r="K1743" s="351"/>
    </row>
    <row r="1744">
      <c r="A1744" s="356"/>
      <c r="B1744" s="357"/>
      <c r="C1744" s="356"/>
      <c r="D1744" s="358"/>
      <c r="E1744" s="358"/>
      <c r="F1744" s="359"/>
      <c r="G1744" s="360"/>
      <c r="H1744" s="356"/>
      <c r="I1744" s="361"/>
      <c r="J1744" s="360"/>
      <c r="K1744" s="357"/>
    </row>
    <row r="1745">
      <c r="A1745" s="350"/>
      <c r="B1745" s="351"/>
      <c r="C1745" s="350"/>
      <c r="D1745" s="352"/>
      <c r="E1745" s="352"/>
      <c r="F1745" s="353"/>
      <c r="G1745" s="354"/>
      <c r="H1745" s="350"/>
      <c r="I1745" s="355"/>
      <c r="J1745" s="354"/>
      <c r="K1745" s="351"/>
    </row>
    <row r="1746">
      <c r="A1746" s="356"/>
      <c r="B1746" s="357"/>
      <c r="C1746" s="356"/>
      <c r="D1746" s="358"/>
      <c r="E1746" s="358"/>
      <c r="F1746" s="359"/>
      <c r="G1746" s="360"/>
      <c r="H1746" s="356"/>
      <c r="I1746" s="361"/>
      <c r="J1746" s="360"/>
      <c r="K1746" s="357"/>
    </row>
    <row r="1747">
      <c r="A1747" s="350"/>
      <c r="B1747" s="351"/>
      <c r="C1747" s="350"/>
      <c r="D1747" s="352"/>
      <c r="E1747" s="352"/>
      <c r="F1747" s="353"/>
      <c r="G1747" s="354"/>
      <c r="H1747" s="350"/>
      <c r="I1747" s="355"/>
      <c r="J1747" s="354"/>
      <c r="K1747" s="351"/>
    </row>
    <row r="1748">
      <c r="A1748" s="356"/>
      <c r="B1748" s="357"/>
      <c r="C1748" s="356"/>
      <c r="D1748" s="358"/>
      <c r="E1748" s="358"/>
      <c r="F1748" s="359"/>
      <c r="G1748" s="360"/>
      <c r="H1748" s="356"/>
      <c r="I1748" s="361"/>
      <c r="J1748" s="360"/>
      <c r="K1748" s="357"/>
    </row>
    <row r="1749">
      <c r="A1749" s="350"/>
      <c r="B1749" s="351"/>
      <c r="C1749" s="350"/>
      <c r="D1749" s="352"/>
      <c r="E1749" s="352"/>
      <c r="F1749" s="353"/>
      <c r="G1749" s="354"/>
      <c r="H1749" s="350"/>
      <c r="I1749" s="355"/>
      <c r="J1749" s="354"/>
      <c r="K1749" s="351"/>
    </row>
    <row r="1750">
      <c r="A1750" s="356"/>
      <c r="B1750" s="357"/>
      <c r="C1750" s="356"/>
      <c r="D1750" s="358"/>
      <c r="E1750" s="358"/>
      <c r="F1750" s="359"/>
      <c r="G1750" s="360"/>
      <c r="H1750" s="356"/>
      <c r="I1750" s="361"/>
      <c r="J1750" s="360"/>
      <c r="K1750" s="357"/>
    </row>
    <row r="1751">
      <c r="A1751" s="350"/>
      <c r="B1751" s="351"/>
      <c r="C1751" s="350"/>
      <c r="D1751" s="352"/>
      <c r="E1751" s="352"/>
      <c r="F1751" s="353"/>
      <c r="G1751" s="354"/>
      <c r="H1751" s="350"/>
      <c r="I1751" s="355"/>
      <c r="J1751" s="354"/>
      <c r="K1751" s="351"/>
    </row>
    <row r="1752">
      <c r="A1752" s="356"/>
      <c r="B1752" s="357"/>
      <c r="C1752" s="356"/>
      <c r="D1752" s="358"/>
      <c r="E1752" s="358"/>
      <c r="F1752" s="359"/>
      <c r="G1752" s="360"/>
      <c r="H1752" s="356"/>
      <c r="I1752" s="361"/>
      <c r="J1752" s="360"/>
      <c r="K1752" s="357"/>
    </row>
    <row r="1753">
      <c r="A1753" s="350"/>
      <c r="B1753" s="351"/>
      <c r="C1753" s="350"/>
      <c r="D1753" s="352"/>
      <c r="E1753" s="352"/>
      <c r="F1753" s="353"/>
      <c r="G1753" s="354"/>
      <c r="H1753" s="350"/>
      <c r="I1753" s="355"/>
      <c r="J1753" s="354"/>
      <c r="K1753" s="351"/>
    </row>
    <row r="1754">
      <c r="A1754" s="356"/>
      <c r="B1754" s="357"/>
      <c r="C1754" s="356"/>
      <c r="D1754" s="358"/>
      <c r="E1754" s="358"/>
      <c r="F1754" s="359"/>
      <c r="G1754" s="360"/>
      <c r="H1754" s="356"/>
      <c r="I1754" s="361"/>
      <c r="J1754" s="360"/>
      <c r="K1754" s="357"/>
    </row>
    <row r="1755">
      <c r="A1755" s="350"/>
      <c r="B1755" s="351"/>
      <c r="C1755" s="350"/>
      <c r="D1755" s="352"/>
      <c r="E1755" s="352"/>
      <c r="F1755" s="353"/>
      <c r="G1755" s="354"/>
      <c r="H1755" s="350"/>
      <c r="I1755" s="355"/>
      <c r="J1755" s="354"/>
      <c r="K1755" s="351"/>
    </row>
    <row r="1756">
      <c r="A1756" s="356"/>
      <c r="B1756" s="357"/>
      <c r="C1756" s="356"/>
      <c r="D1756" s="358"/>
      <c r="E1756" s="358"/>
      <c r="F1756" s="359"/>
      <c r="G1756" s="360"/>
      <c r="H1756" s="356"/>
      <c r="I1756" s="361"/>
      <c r="J1756" s="360"/>
      <c r="K1756" s="357"/>
    </row>
    <row r="1757">
      <c r="A1757" s="350"/>
      <c r="B1757" s="351"/>
      <c r="C1757" s="350"/>
      <c r="D1757" s="352"/>
      <c r="E1757" s="352"/>
      <c r="F1757" s="353"/>
      <c r="G1757" s="354"/>
      <c r="H1757" s="350"/>
      <c r="I1757" s="355"/>
      <c r="J1757" s="354"/>
      <c r="K1757" s="351"/>
    </row>
    <row r="1758">
      <c r="A1758" s="356"/>
      <c r="B1758" s="357"/>
      <c r="C1758" s="356"/>
      <c r="D1758" s="358"/>
      <c r="E1758" s="358"/>
      <c r="F1758" s="359"/>
      <c r="G1758" s="360"/>
      <c r="H1758" s="356"/>
      <c r="I1758" s="361"/>
      <c r="J1758" s="360"/>
      <c r="K1758" s="357"/>
    </row>
    <row r="1759">
      <c r="A1759" s="350"/>
      <c r="B1759" s="351"/>
      <c r="C1759" s="350"/>
      <c r="D1759" s="352"/>
      <c r="E1759" s="352"/>
      <c r="F1759" s="353"/>
      <c r="G1759" s="354"/>
      <c r="H1759" s="350"/>
      <c r="I1759" s="355"/>
      <c r="J1759" s="354"/>
      <c r="K1759" s="351"/>
    </row>
    <row r="1760">
      <c r="A1760" s="356"/>
      <c r="B1760" s="357"/>
      <c r="C1760" s="356"/>
      <c r="D1760" s="358"/>
      <c r="E1760" s="358"/>
      <c r="F1760" s="359"/>
      <c r="G1760" s="360"/>
      <c r="H1760" s="356"/>
      <c r="I1760" s="361"/>
      <c r="J1760" s="360"/>
      <c r="K1760" s="357"/>
    </row>
    <row r="1761">
      <c r="A1761" s="350"/>
      <c r="B1761" s="351"/>
      <c r="C1761" s="350"/>
      <c r="D1761" s="352"/>
      <c r="E1761" s="352"/>
      <c r="F1761" s="353"/>
      <c r="G1761" s="354"/>
      <c r="H1761" s="350"/>
      <c r="I1761" s="355"/>
      <c r="J1761" s="354"/>
      <c r="K1761" s="351"/>
    </row>
    <row r="1762">
      <c r="A1762" s="356"/>
      <c r="B1762" s="357"/>
      <c r="C1762" s="356"/>
      <c r="D1762" s="358"/>
      <c r="E1762" s="358"/>
      <c r="F1762" s="359"/>
      <c r="G1762" s="360"/>
      <c r="H1762" s="356"/>
      <c r="I1762" s="361"/>
      <c r="J1762" s="360"/>
      <c r="K1762" s="357"/>
    </row>
    <row r="1763">
      <c r="A1763" s="350"/>
      <c r="B1763" s="351"/>
      <c r="C1763" s="350"/>
      <c r="D1763" s="352"/>
      <c r="E1763" s="352"/>
      <c r="F1763" s="353"/>
      <c r="G1763" s="354"/>
      <c r="H1763" s="350"/>
      <c r="I1763" s="355"/>
      <c r="J1763" s="354"/>
      <c r="K1763" s="351"/>
    </row>
    <row r="1764">
      <c r="A1764" s="356"/>
      <c r="B1764" s="357"/>
      <c r="C1764" s="356"/>
      <c r="D1764" s="358"/>
      <c r="E1764" s="358"/>
      <c r="F1764" s="359"/>
      <c r="G1764" s="360"/>
      <c r="H1764" s="356"/>
      <c r="I1764" s="361"/>
      <c r="J1764" s="360"/>
      <c r="K1764" s="357"/>
    </row>
    <row r="1765">
      <c r="A1765" s="350"/>
      <c r="B1765" s="351"/>
      <c r="C1765" s="350"/>
      <c r="D1765" s="352"/>
      <c r="E1765" s="352"/>
      <c r="F1765" s="353"/>
      <c r="G1765" s="354"/>
      <c r="H1765" s="350"/>
      <c r="I1765" s="355"/>
      <c r="J1765" s="354"/>
      <c r="K1765" s="351"/>
    </row>
    <row r="1766">
      <c r="A1766" s="356"/>
      <c r="B1766" s="357"/>
      <c r="C1766" s="356"/>
      <c r="D1766" s="358"/>
      <c r="E1766" s="358"/>
      <c r="F1766" s="359"/>
      <c r="G1766" s="360"/>
      <c r="H1766" s="356"/>
      <c r="I1766" s="361"/>
      <c r="J1766" s="360"/>
      <c r="K1766" s="357"/>
    </row>
    <row r="1767">
      <c r="A1767" s="350"/>
      <c r="B1767" s="351"/>
      <c r="C1767" s="350"/>
      <c r="D1767" s="352"/>
      <c r="E1767" s="352"/>
      <c r="F1767" s="353"/>
      <c r="G1767" s="354"/>
      <c r="H1767" s="350"/>
      <c r="I1767" s="355"/>
      <c r="J1767" s="354"/>
      <c r="K1767" s="351"/>
    </row>
    <row r="1768">
      <c r="A1768" s="356"/>
      <c r="B1768" s="357"/>
      <c r="C1768" s="356"/>
      <c r="D1768" s="358"/>
      <c r="E1768" s="358"/>
      <c r="F1768" s="359"/>
      <c r="G1768" s="360"/>
      <c r="H1768" s="356"/>
      <c r="I1768" s="361"/>
      <c r="J1768" s="360"/>
      <c r="K1768" s="357"/>
    </row>
    <row r="1769">
      <c r="A1769" s="350"/>
      <c r="B1769" s="351"/>
      <c r="C1769" s="350"/>
      <c r="D1769" s="352"/>
      <c r="E1769" s="352"/>
      <c r="F1769" s="353"/>
      <c r="G1769" s="354"/>
      <c r="H1769" s="350"/>
      <c r="I1769" s="355"/>
      <c r="J1769" s="354"/>
      <c r="K1769" s="351"/>
    </row>
    <row r="1770">
      <c r="A1770" s="356"/>
      <c r="B1770" s="357"/>
      <c r="C1770" s="356"/>
      <c r="D1770" s="358"/>
      <c r="E1770" s="358"/>
      <c r="F1770" s="359"/>
      <c r="G1770" s="360"/>
      <c r="H1770" s="356"/>
      <c r="I1770" s="361"/>
      <c r="J1770" s="360"/>
      <c r="K1770" s="357"/>
    </row>
    <row r="1771">
      <c r="A1771" s="350"/>
      <c r="B1771" s="351"/>
      <c r="C1771" s="350"/>
      <c r="D1771" s="352"/>
      <c r="E1771" s="352"/>
      <c r="F1771" s="353"/>
      <c r="G1771" s="354"/>
      <c r="H1771" s="350"/>
      <c r="I1771" s="355"/>
      <c r="J1771" s="354"/>
      <c r="K1771" s="351"/>
    </row>
    <row r="1772">
      <c r="A1772" s="356"/>
      <c r="B1772" s="357"/>
      <c r="C1772" s="356"/>
      <c r="D1772" s="358"/>
      <c r="E1772" s="358"/>
      <c r="F1772" s="359"/>
      <c r="G1772" s="360"/>
      <c r="H1772" s="356"/>
      <c r="I1772" s="361"/>
      <c r="J1772" s="360"/>
      <c r="K1772" s="357"/>
    </row>
    <row r="1773">
      <c r="A1773" s="350"/>
      <c r="B1773" s="351"/>
      <c r="C1773" s="350"/>
      <c r="D1773" s="352"/>
      <c r="E1773" s="352"/>
      <c r="F1773" s="353"/>
      <c r="G1773" s="354"/>
      <c r="H1773" s="350"/>
      <c r="I1773" s="355"/>
      <c r="J1773" s="354"/>
      <c r="K1773" s="351"/>
    </row>
    <row r="1774">
      <c r="A1774" s="356"/>
      <c r="B1774" s="357"/>
      <c r="C1774" s="356"/>
      <c r="D1774" s="358"/>
      <c r="E1774" s="358"/>
      <c r="F1774" s="359"/>
      <c r="G1774" s="360"/>
      <c r="H1774" s="356"/>
      <c r="I1774" s="361"/>
      <c r="J1774" s="360"/>
      <c r="K1774" s="357"/>
    </row>
    <row r="1775">
      <c r="A1775" s="350"/>
      <c r="B1775" s="351"/>
      <c r="C1775" s="350"/>
      <c r="D1775" s="352"/>
      <c r="E1775" s="352"/>
      <c r="F1775" s="353"/>
      <c r="G1775" s="354"/>
      <c r="H1775" s="350"/>
      <c r="I1775" s="355"/>
      <c r="J1775" s="354"/>
      <c r="K1775" s="351"/>
    </row>
    <row r="1776">
      <c r="A1776" s="356"/>
      <c r="B1776" s="357"/>
      <c r="C1776" s="356"/>
      <c r="D1776" s="358"/>
      <c r="E1776" s="358"/>
      <c r="F1776" s="359"/>
      <c r="G1776" s="360"/>
      <c r="H1776" s="356"/>
      <c r="I1776" s="361"/>
      <c r="J1776" s="360"/>
      <c r="K1776" s="357"/>
    </row>
    <row r="1777">
      <c r="A1777" s="350"/>
      <c r="B1777" s="351"/>
      <c r="C1777" s="350"/>
      <c r="D1777" s="352"/>
      <c r="E1777" s="352"/>
      <c r="F1777" s="353"/>
      <c r="G1777" s="354"/>
      <c r="H1777" s="350"/>
      <c r="I1777" s="355"/>
      <c r="J1777" s="354"/>
      <c r="K1777" s="351"/>
    </row>
    <row r="1778">
      <c r="A1778" s="356"/>
      <c r="B1778" s="357"/>
      <c r="C1778" s="356"/>
      <c r="D1778" s="358"/>
      <c r="E1778" s="358"/>
      <c r="F1778" s="359"/>
      <c r="G1778" s="360"/>
      <c r="H1778" s="356"/>
      <c r="I1778" s="361"/>
      <c r="J1778" s="360"/>
      <c r="K1778" s="357"/>
    </row>
    <row r="1779">
      <c r="A1779" s="350"/>
      <c r="B1779" s="351"/>
      <c r="C1779" s="350"/>
      <c r="D1779" s="352"/>
      <c r="E1779" s="352"/>
      <c r="F1779" s="353"/>
      <c r="G1779" s="354"/>
      <c r="H1779" s="350"/>
      <c r="I1779" s="355"/>
      <c r="J1779" s="354"/>
      <c r="K1779" s="351"/>
    </row>
    <row r="1780">
      <c r="A1780" s="356"/>
      <c r="B1780" s="357"/>
      <c r="C1780" s="356"/>
      <c r="D1780" s="358"/>
      <c r="E1780" s="358"/>
      <c r="F1780" s="359"/>
      <c r="G1780" s="360"/>
      <c r="H1780" s="356"/>
      <c r="I1780" s="361"/>
      <c r="J1780" s="360"/>
      <c r="K1780" s="357"/>
    </row>
    <row r="1781">
      <c r="A1781" s="350"/>
      <c r="B1781" s="351"/>
      <c r="C1781" s="350"/>
      <c r="D1781" s="352"/>
      <c r="E1781" s="352"/>
      <c r="F1781" s="353"/>
      <c r="G1781" s="354"/>
      <c r="H1781" s="350"/>
      <c r="I1781" s="355"/>
      <c r="J1781" s="354"/>
      <c r="K1781" s="351"/>
    </row>
    <row r="1782">
      <c r="A1782" s="356"/>
      <c r="B1782" s="357"/>
      <c r="C1782" s="356"/>
      <c r="D1782" s="358"/>
      <c r="E1782" s="358"/>
      <c r="F1782" s="359"/>
      <c r="G1782" s="360"/>
      <c r="H1782" s="356"/>
      <c r="I1782" s="361"/>
      <c r="J1782" s="360"/>
      <c r="K1782" s="357"/>
    </row>
    <row r="1783">
      <c r="A1783" s="350"/>
      <c r="B1783" s="351"/>
      <c r="C1783" s="350"/>
      <c r="D1783" s="352"/>
      <c r="E1783" s="352"/>
      <c r="F1783" s="353"/>
      <c r="G1783" s="354"/>
      <c r="H1783" s="350"/>
      <c r="I1783" s="355"/>
      <c r="J1783" s="354"/>
      <c r="K1783" s="351"/>
    </row>
    <row r="1784">
      <c r="A1784" s="356"/>
      <c r="B1784" s="357"/>
      <c r="C1784" s="356"/>
      <c r="D1784" s="358"/>
      <c r="E1784" s="358"/>
      <c r="F1784" s="359"/>
      <c r="G1784" s="360"/>
      <c r="H1784" s="356"/>
      <c r="I1784" s="361"/>
      <c r="J1784" s="360"/>
      <c r="K1784" s="357"/>
    </row>
    <row r="1785">
      <c r="A1785" s="350"/>
      <c r="B1785" s="351"/>
      <c r="C1785" s="350"/>
      <c r="D1785" s="352"/>
      <c r="E1785" s="352"/>
      <c r="F1785" s="353"/>
      <c r="G1785" s="354"/>
      <c r="H1785" s="350"/>
      <c r="I1785" s="355"/>
      <c r="J1785" s="354"/>
      <c r="K1785" s="351"/>
    </row>
    <row r="1786">
      <c r="A1786" s="356"/>
      <c r="B1786" s="357"/>
      <c r="C1786" s="356"/>
      <c r="D1786" s="358"/>
      <c r="E1786" s="358"/>
      <c r="F1786" s="359"/>
      <c r="G1786" s="360"/>
      <c r="H1786" s="356"/>
      <c r="I1786" s="361"/>
      <c r="J1786" s="360"/>
      <c r="K1786" s="357"/>
    </row>
    <row r="1787">
      <c r="A1787" s="350"/>
      <c r="B1787" s="351"/>
      <c r="C1787" s="350"/>
      <c r="D1787" s="352"/>
      <c r="E1787" s="352"/>
      <c r="F1787" s="353"/>
      <c r="G1787" s="354"/>
      <c r="H1787" s="350"/>
      <c r="I1787" s="355"/>
      <c r="J1787" s="354"/>
      <c r="K1787" s="351"/>
    </row>
    <row r="1788">
      <c r="A1788" s="356"/>
      <c r="B1788" s="357"/>
      <c r="C1788" s="356"/>
      <c r="D1788" s="358"/>
      <c r="E1788" s="358"/>
      <c r="F1788" s="359"/>
      <c r="G1788" s="360"/>
      <c r="H1788" s="356"/>
      <c r="I1788" s="361"/>
      <c r="J1788" s="360"/>
      <c r="K1788" s="357"/>
    </row>
    <row r="1789">
      <c r="A1789" s="350"/>
      <c r="B1789" s="351"/>
      <c r="C1789" s="350"/>
      <c r="D1789" s="352"/>
      <c r="E1789" s="352"/>
      <c r="F1789" s="353"/>
      <c r="G1789" s="354"/>
      <c r="H1789" s="350"/>
      <c r="I1789" s="355"/>
      <c r="J1789" s="354"/>
      <c r="K1789" s="351"/>
    </row>
    <row r="1790">
      <c r="A1790" s="356"/>
      <c r="B1790" s="357"/>
      <c r="C1790" s="356"/>
      <c r="D1790" s="358"/>
      <c r="E1790" s="358"/>
      <c r="F1790" s="359"/>
      <c r="G1790" s="360"/>
      <c r="H1790" s="356"/>
      <c r="I1790" s="361"/>
      <c r="J1790" s="360"/>
      <c r="K1790" s="357"/>
    </row>
    <row r="1791">
      <c r="A1791" s="350"/>
      <c r="B1791" s="351"/>
      <c r="C1791" s="350"/>
      <c r="D1791" s="352"/>
      <c r="E1791" s="352"/>
      <c r="F1791" s="353"/>
      <c r="G1791" s="354"/>
      <c r="H1791" s="350"/>
      <c r="I1791" s="355"/>
      <c r="J1791" s="354"/>
      <c r="K1791" s="351"/>
    </row>
    <row r="1792">
      <c r="A1792" s="356"/>
      <c r="B1792" s="357"/>
      <c r="C1792" s="356"/>
      <c r="D1792" s="358"/>
      <c r="E1792" s="358"/>
      <c r="F1792" s="359"/>
      <c r="G1792" s="360"/>
      <c r="H1792" s="356"/>
      <c r="I1792" s="361"/>
      <c r="J1792" s="360"/>
      <c r="K1792" s="357"/>
    </row>
    <row r="1793">
      <c r="A1793" s="350"/>
      <c r="B1793" s="351"/>
      <c r="C1793" s="350"/>
      <c r="D1793" s="352"/>
      <c r="E1793" s="352"/>
      <c r="F1793" s="353"/>
      <c r="G1793" s="354"/>
      <c r="H1793" s="350"/>
      <c r="I1793" s="355"/>
      <c r="J1793" s="354"/>
      <c r="K1793" s="351"/>
    </row>
    <row r="1794">
      <c r="A1794" s="356"/>
      <c r="B1794" s="357"/>
      <c r="C1794" s="356"/>
      <c r="D1794" s="358"/>
      <c r="E1794" s="358"/>
      <c r="F1794" s="359"/>
      <c r="G1794" s="360"/>
      <c r="H1794" s="356"/>
      <c r="I1794" s="361"/>
      <c r="J1794" s="360"/>
      <c r="K1794" s="357"/>
    </row>
    <row r="1795">
      <c r="A1795" s="350"/>
      <c r="B1795" s="351"/>
      <c r="C1795" s="350"/>
      <c r="D1795" s="352"/>
      <c r="E1795" s="352"/>
      <c r="F1795" s="353"/>
      <c r="G1795" s="354"/>
      <c r="H1795" s="350"/>
      <c r="I1795" s="355"/>
      <c r="J1795" s="354"/>
      <c r="K1795" s="351"/>
    </row>
    <row r="1796">
      <c r="A1796" s="356"/>
      <c r="B1796" s="357"/>
      <c r="C1796" s="356"/>
      <c r="D1796" s="358"/>
      <c r="E1796" s="358"/>
      <c r="F1796" s="359"/>
      <c r="G1796" s="360"/>
      <c r="H1796" s="356"/>
      <c r="I1796" s="361"/>
      <c r="J1796" s="360"/>
      <c r="K1796" s="357"/>
    </row>
    <row r="1797">
      <c r="A1797" s="350"/>
      <c r="B1797" s="351"/>
      <c r="C1797" s="350"/>
      <c r="D1797" s="352"/>
      <c r="E1797" s="352"/>
      <c r="F1797" s="353"/>
      <c r="G1797" s="354"/>
      <c r="H1797" s="350"/>
      <c r="I1797" s="355"/>
      <c r="J1797" s="354"/>
      <c r="K1797" s="351"/>
    </row>
    <row r="1798">
      <c r="A1798" s="356"/>
      <c r="B1798" s="357"/>
      <c r="C1798" s="356"/>
      <c r="D1798" s="358"/>
      <c r="E1798" s="358"/>
      <c r="F1798" s="359"/>
      <c r="G1798" s="360"/>
      <c r="H1798" s="356"/>
      <c r="I1798" s="361"/>
      <c r="J1798" s="360"/>
      <c r="K1798" s="357"/>
    </row>
    <row r="1799">
      <c r="A1799" s="350"/>
      <c r="B1799" s="351"/>
      <c r="C1799" s="350"/>
      <c r="D1799" s="352"/>
      <c r="E1799" s="352"/>
      <c r="F1799" s="353"/>
      <c r="G1799" s="354"/>
      <c r="H1799" s="350"/>
      <c r="I1799" s="355"/>
      <c r="J1799" s="354"/>
      <c r="K1799" s="351"/>
    </row>
    <row r="1800">
      <c r="A1800" s="356"/>
      <c r="B1800" s="357"/>
      <c r="C1800" s="356"/>
      <c r="D1800" s="358"/>
      <c r="E1800" s="358"/>
      <c r="F1800" s="359"/>
      <c r="G1800" s="360"/>
      <c r="H1800" s="356"/>
      <c r="I1800" s="361"/>
      <c r="J1800" s="360"/>
      <c r="K1800" s="357"/>
    </row>
    <row r="1801">
      <c r="A1801" s="350"/>
      <c r="B1801" s="351"/>
      <c r="C1801" s="350"/>
      <c r="D1801" s="352"/>
      <c r="E1801" s="352"/>
      <c r="F1801" s="353"/>
      <c r="G1801" s="354"/>
      <c r="H1801" s="350"/>
      <c r="I1801" s="355"/>
      <c r="J1801" s="354"/>
      <c r="K1801" s="351"/>
    </row>
    <row r="1802">
      <c r="A1802" s="356"/>
      <c r="B1802" s="357"/>
      <c r="C1802" s="356"/>
      <c r="D1802" s="358"/>
      <c r="E1802" s="358"/>
      <c r="F1802" s="359"/>
      <c r="G1802" s="360"/>
      <c r="H1802" s="356"/>
      <c r="I1802" s="361"/>
      <c r="J1802" s="360"/>
      <c r="K1802" s="357"/>
    </row>
    <row r="1803">
      <c r="A1803" s="350"/>
      <c r="B1803" s="351"/>
      <c r="C1803" s="350"/>
      <c r="D1803" s="352"/>
      <c r="E1803" s="352"/>
      <c r="F1803" s="353"/>
      <c r="G1803" s="354"/>
      <c r="H1803" s="350"/>
      <c r="I1803" s="355"/>
      <c r="J1803" s="354"/>
      <c r="K1803" s="351"/>
    </row>
    <row r="1804">
      <c r="A1804" s="356"/>
      <c r="B1804" s="357"/>
      <c r="C1804" s="356"/>
      <c r="D1804" s="358"/>
      <c r="E1804" s="358"/>
      <c r="F1804" s="359"/>
      <c r="G1804" s="360"/>
      <c r="H1804" s="356"/>
      <c r="I1804" s="361"/>
      <c r="J1804" s="360"/>
      <c r="K1804" s="357"/>
    </row>
    <row r="1805">
      <c r="A1805" s="350"/>
      <c r="B1805" s="351"/>
      <c r="C1805" s="350"/>
      <c r="D1805" s="352"/>
      <c r="E1805" s="352"/>
      <c r="F1805" s="353"/>
      <c r="G1805" s="354"/>
      <c r="H1805" s="350"/>
      <c r="I1805" s="355"/>
      <c r="J1805" s="354"/>
      <c r="K1805" s="351"/>
    </row>
    <row r="1806">
      <c r="A1806" s="356"/>
      <c r="B1806" s="357"/>
      <c r="C1806" s="356"/>
      <c r="D1806" s="358"/>
      <c r="E1806" s="358"/>
      <c r="F1806" s="359"/>
      <c r="G1806" s="360"/>
      <c r="H1806" s="356"/>
      <c r="I1806" s="361"/>
      <c r="J1806" s="360"/>
      <c r="K1806" s="357"/>
    </row>
    <row r="1807">
      <c r="A1807" s="350"/>
      <c r="B1807" s="351"/>
      <c r="C1807" s="350"/>
      <c r="D1807" s="352"/>
      <c r="E1807" s="352"/>
      <c r="F1807" s="353"/>
      <c r="G1807" s="354"/>
      <c r="H1807" s="350"/>
      <c r="I1807" s="355"/>
      <c r="J1807" s="354"/>
      <c r="K1807" s="351"/>
    </row>
    <row r="1808">
      <c r="A1808" s="356"/>
      <c r="B1808" s="357"/>
      <c r="C1808" s="356"/>
      <c r="D1808" s="358"/>
      <c r="E1808" s="358"/>
      <c r="F1808" s="359"/>
      <c r="G1808" s="360"/>
      <c r="H1808" s="356"/>
      <c r="I1808" s="361"/>
      <c r="J1808" s="360"/>
      <c r="K1808" s="357"/>
    </row>
    <row r="1809">
      <c r="A1809" s="350"/>
      <c r="B1809" s="351"/>
      <c r="C1809" s="350"/>
      <c r="D1809" s="352"/>
      <c r="E1809" s="352"/>
      <c r="F1809" s="353"/>
      <c r="G1809" s="354"/>
      <c r="H1809" s="350"/>
      <c r="I1809" s="355"/>
      <c r="J1809" s="354"/>
      <c r="K1809" s="351"/>
    </row>
    <row r="1810">
      <c r="A1810" s="356"/>
      <c r="B1810" s="357"/>
      <c r="C1810" s="356"/>
      <c r="D1810" s="358"/>
      <c r="E1810" s="358"/>
      <c r="F1810" s="359"/>
      <c r="G1810" s="360"/>
      <c r="H1810" s="356"/>
      <c r="I1810" s="361"/>
      <c r="J1810" s="360"/>
      <c r="K1810" s="357"/>
    </row>
    <row r="1811">
      <c r="A1811" s="350"/>
      <c r="B1811" s="351"/>
      <c r="C1811" s="350"/>
      <c r="D1811" s="352"/>
      <c r="E1811" s="352"/>
      <c r="F1811" s="353"/>
      <c r="G1811" s="354"/>
      <c r="H1811" s="350"/>
      <c r="I1811" s="355"/>
      <c r="J1811" s="354"/>
      <c r="K1811" s="351"/>
    </row>
    <row r="1812">
      <c r="A1812" s="356"/>
      <c r="B1812" s="357"/>
      <c r="C1812" s="356"/>
      <c r="D1812" s="358"/>
      <c r="E1812" s="358"/>
      <c r="F1812" s="359"/>
      <c r="G1812" s="360"/>
      <c r="H1812" s="356"/>
      <c r="I1812" s="361"/>
      <c r="J1812" s="360"/>
      <c r="K1812" s="357"/>
    </row>
    <row r="1813">
      <c r="A1813" s="350"/>
      <c r="B1813" s="351"/>
      <c r="C1813" s="350"/>
      <c r="D1813" s="352"/>
      <c r="E1813" s="352"/>
      <c r="F1813" s="353"/>
      <c r="G1813" s="354"/>
      <c r="H1813" s="350"/>
      <c r="I1813" s="355"/>
      <c r="J1813" s="354"/>
      <c r="K1813" s="351"/>
    </row>
    <row r="1814">
      <c r="A1814" s="356"/>
      <c r="B1814" s="357"/>
      <c r="C1814" s="356"/>
      <c r="D1814" s="358"/>
      <c r="E1814" s="358"/>
      <c r="F1814" s="359"/>
      <c r="G1814" s="360"/>
      <c r="H1814" s="356"/>
      <c r="I1814" s="361"/>
      <c r="J1814" s="360"/>
      <c r="K1814" s="357"/>
    </row>
    <row r="1815">
      <c r="A1815" s="350"/>
      <c r="B1815" s="351"/>
      <c r="C1815" s="350"/>
      <c r="D1815" s="352"/>
      <c r="E1815" s="352"/>
      <c r="F1815" s="353"/>
      <c r="G1815" s="354"/>
      <c r="H1815" s="350"/>
      <c r="I1815" s="355"/>
      <c r="J1815" s="354"/>
      <c r="K1815" s="351"/>
    </row>
    <row r="1816">
      <c r="A1816" s="356"/>
      <c r="B1816" s="357"/>
      <c r="C1816" s="356"/>
      <c r="D1816" s="358"/>
      <c r="E1816" s="358"/>
      <c r="F1816" s="359"/>
      <c r="G1816" s="360"/>
      <c r="H1816" s="356"/>
      <c r="I1816" s="361"/>
      <c r="J1816" s="360"/>
      <c r="K1816" s="357"/>
    </row>
    <row r="1817">
      <c r="A1817" s="350"/>
      <c r="B1817" s="351"/>
      <c r="C1817" s="350"/>
      <c r="D1817" s="352"/>
      <c r="E1817" s="352"/>
      <c r="F1817" s="353"/>
      <c r="G1817" s="354"/>
      <c r="H1817" s="350"/>
      <c r="I1817" s="355"/>
      <c r="J1817" s="354"/>
      <c r="K1817" s="351"/>
    </row>
    <row r="1818">
      <c r="A1818" s="356"/>
      <c r="B1818" s="357"/>
      <c r="C1818" s="356"/>
      <c r="D1818" s="358"/>
      <c r="E1818" s="358"/>
      <c r="F1818" s="359"/>
      <c r="G1818" s="360"/>
      <c r="H1818" s="356"/>
      <c r="I1818" s="361"/>
      <c r="J1818" s="360"/>
      <c r="K1818" s="357"/>
    </row>
    <row r="1819">
      <c r="A1819" s="350"/>
      <c r="B1819" s="351"/>
      <c r="C1819" s="350"/>
      <c r="D1819" s="352"/>
      <c r="E1819" s="352"/>
      <c r="F1819" s="353"/>
      <c r="G1819" s="354"/>
      <c r="H1819" s="350"/>
      <c r="I1819" s="355"/>
      <c r="J1819" s="354"/>
      <c r="K1819" s="351"/>
    </row>
    <row r="1820">
      <c r="A1820" s="356"/>
      <c r="B1820" s="357"/>
      <c r="C1820" s="356"/>
      <c r="D1820" s="358"/>
      <c r="E1820" s="358"/>
      <c r="F1820" s="359"/>
      <c r="G1820" s="360"/>
      <c r="H1820" s="356"/>
      <c r="I1820" s="361"/>
      <c r="J1820" s="360"/>
      <c r="K1820" s="357"/>
    </row>
    <row r="1821">
      <c r="A1821" s="350"/>
      <c r="B1821" s="351"/>
      <c r="C1821" s="350"/>
      <c r="D1821" s="352"/>
      <c r="E1821" s="352"/>
      <c r="F1821" s="353"/>
      <c r="G1821" s="354"/>
      <c r="H1821" s="350"/>
      <c r="I1821" s="355"/>
      <c r="J1821" s="354"/>
      <c r="K1821" s="351"/>
    </row>
    <row r="1822">
      <c r="A1822" s="356"/>
      <c r="B1822" s="357"/>
      <c r="C1822" s="356"/>
      <c r="D1822" s="358"/>
      <c r="E1822" s="358"/>
      <c r="F1822" s="359"/>
      <c r="G1822" s="360"/>
      <c r="H1822" s="356"/>
      <c r="I1822" s="361"/>
      <c r="J1822" s="360"/>
      <c r="K1822" s="357"/>
    </row>
    <row r="1823">
      <c r="A1823" s="350"/>
      <c r="B1823" s="351"/>
      <c r="C1823" s="350"/>
      <c r="D1823" s="352"/>
      <c r="E1823" s="352"/>
      <c r="F1823" s="353"/>
      <c r="G1823" s="354"/>
      <c r="H1823" s="350"/>
      <c r="I1823" s="355"/>
      <c r="J1823" s="354"/>
      <c r="K1823" s="351"/>
    </row>
    <row r="1824">
      <c r="A1824" s="356"/>
      <c r="B1824" s="357"/>
      <c r="C1824" s="356"/>
      <c r="D1824" s="358"/>
      <c r="E1824" s="358"/>
      <c r="F1824" s="359"/>
      <c r="G1824" s="360"/>
      <c r="H1824" s="356"/>
      <c r="I1824" s="361"/>
      <c r="J1824" s="360"/>
      <c r="K1824" s="357"/>
    </row>
    <row r="1825">
      <c r="A1825" s="350"/>
      <c r="B1825" s="351"/>
      <c r="C1825" s="350"/>
      <c r="D1825" s="352"/>
      <c r="E1825" s="352"/>
      <c r="F1825" s="353"/>
      <c r="G1825" s="354"/>
      <c r="H1825" s="350"/>
      <c r="I1825" s="355"/>
      <c r="J1825" s="354"/>
      <c r="K1825" s="351"/>
    </row>
    <row r="1826">
      <c r="A1826" s="356"/>
      <c r="B1826" s="357"/>
      <c r="C1826" s="356"/>
      <c r="D1826" s="358"/>
      <c r="E1826" s="358"/>
      <c r="F1826" s="359"/>
      <c r="G1826" s="360"/>
      <c r="H1826" s="356"/>
      <c r="I1826" s="361"/>
      <c r="J1826" s="360"/>
      <c r="K1826" s="357"/>
    </row>
    <row r="1827">
      <c r="A1827" s="350"/>
      <c r="B1827" s="351"/>
      <c r="C1827" s="350"/>
      <c r="D1827" s="352"/>
      <c r="E1827" s="352"/>
      <c r="F1827" s="353"/>
      <c r="G1827" s="354"/>
      <c r="H1827" s="350"/>
      <c r="I1827" s="355"/>
      <c r="J1827" s="354"/>
      <c r="K1827" s="351"/>
    </row>
    <row r="1828">
      <c r="A1828" s="356"/>
      <c r="B1828" s="357"/>
      <c r="C1828" s="356"/>
      <c r="D1828" s="358"/>
      <c r="E1828" s="358"/>
      <c r="F1828" s="359"/>
      <c r="G1828" s="360"/>
      <c r="H1828" s="356"/>
      <c r="I1828" s="361"/>
      <c r="J1828" s="360"/>
      <c r="K1828" s="357"/>
    </row>
    <row r="1829">
      <c r="A1829" s="350"/>
      <c r="B1829" s="351"/>
      <c r="C1829" s="350"/>
      <c r="D1829" s="352"/>
      <c r="E1829" s="352"/>
      <c r="F1829" s="353"/>
      <c r="G1829" s="354"/>
      <c r="H1829" s="350"/>
      <c r="I1829" s="355"/>
      <c r="J1829" s="354"/>
      <c r="K1829" s="351"/>
    </row>
    <row r="1830">
      <c r="A1830" s="356"/>
      <c r="B1830" s="357"/>
      <c r="C1830" s="356"/>
      <c r="D1830" s="358"/>
      <c r="E1830" s="358"/>
      <c r="F1830" s="359"/>
      <c r="G1830" s="360"/>
      <c r="H1830" s="356"/>
      <c r="I1830" s="361"/>
      <c r="J1830" s="360"/>
      <c r="K1830" s="357"/>
    </row>
    <row r="1831">
      <c r="A1831" s="350"/>
      <c r="B1831" s="351"/>
      <c r="C1831" s="350"/>
      <c r="D1831" s="352"/>
      <c r="E1831" s="352"/>
      <c r="F1831" s="353"/>
      <c r="G1831" s="354"/>
      <c r="H1831" s="350"/>
      <c r="I1831" s="355"/>
      <c r="J1831" s="354"/>
      <c r="K1831" s="351"/>
    </row>
    <row r="1832">
      <c r="A1832" s="356"/>
      <c r="B1832" s="357"/>
      <c r="C1832" s="356"/>
      <c r="D1832" s="358"/>
      <c r="E1832" s="358"/>
      <c r="F1832" s="359"/>
      <c r="G1832" s="360"/>
      <c r="H1832" s="356"/>
      <c r="I1832" s="361"/>
      <c r="J1832" s="360"/>
      <c r="K1832" s="357"/>
    </row>
    <row r="1833">
      <c r="A1833" s="350"/>
      <c r="B1833" s="351"/>
      <c r="C1833" s="350"/>
      <c r="D1833" s="352"/>
      <c r="E1833" s="352"/>
      <c r="F1833" s="353"/>
      <c r="G1833" s="354"/>
      <c r="H1833" s="350"/>
      <c r="I1833" s="355"/>
      <c r="J1833" s="354"/>
      <c r="K1833" s="351"/>
    </row>
    <row r="1834">
      <c r="A1834" s="356"/>
      <c r="B1834" s="357"/>
      <c r="C1834" s="356"/>
      <c r="D1834" s="358"/>
      <c r="E1834" s="358"/>
      <c r="F1834" s="359"/>
      <c r="G1834" s="360"/>
      <c r="H1834" s="356"/>
      <c r="I1834" s="361"/>
      <c r="J1834" s="360"/>
      <c r="K1834" s="357"/>
    </row>
    <row r="1835">
      <c r="A1835" s="350"/>
      <c r="B1835" s="351"/>
      <c r="C1835" s="350"/>
      <c r="D1835" s="352"/>
      <c r="E1835" s="352"/>
      <c r="F1835" s="353"/>
      <c r="G1835" s="354"/>
      <c r="H1835" s="350"/>
      <c r="I1835" s="355"/>
      <c r="J1835" s="354"/>
      <c r="K1835" s="351"/>
    </row>
    <row r="1836">
      <c r="A1836" s="356"/>
      <c r="B1836" s="357"/>
      <c r="C1836" s="356"/>
      <c r="D1836" s="358"/>
      <c r="E1836" s="358"/>
      <c r="F1836" s="359"/>
      <c r="G1836" s="360"/>
      <c r="H1836" s="356"/>
      <c r="I1836" s="361"/>
      <c r="J1836" s="360"/>
      <c r="K1836" s="357"/>
    </row>
    <row r="1837">
      <c r="A1837" s="350"/>
      <c r="B1837" s="351"/>
      <c r="C1837" s="350"/>
      <c r="D1837" s="352"/>
      <c r="E1837" s="352"/>
      <c r="F1837" s="353"/>
      <c r="G1837" s="354"/>
      <c r="H1837" s="350"/>
      <c r="I1837" s="355"/>
      <c r="J1837" s="354"/>
      <c r="K1837" s="351"/>
    </row>
    <row r="1838">
      <c r="A1838" s="356"/>
      <c r="B1838" s="357"/>
      <c r="C1838" s="356"/>
      <c r="D1838" s="358"/>
      <c r="E1838" s="358"/>
      <c r="F1838" s="359"/>
      <c r="G1838" s="360"/>
      <c r="H1838" s="356"/>
      <c r="I1838" s="361"/>
      <c r="J1838" s="360"/>
      <c r="K1838" s="357"/>
    </row>
    <row r="1839">
      <c r="A1839" s="350"/>
      <c r="B1839" s="351"/>
      <c r="C1839" s="350"/>
      <c r="D1839" s="352"/>
      <c r="E1839" s="352"/>
      <c r="F1839" s="353"/>
      <c r="G1839" s="354"/>
      <c r="H1839" s="350"/>
      <c r="I1839" s="355"/>
      <c r="J1839" s="354"/>
      <c r="K1839" s="351"/>
    </row>
    <row r="1840">
      <c r="A1840" s="356"/>
      <c r="B1840" s="357"/>
      <c r="C1840" s="356"/>
      <c r="D1840" s="358"/>
      <c r="E1840" s="358"/>
      <c r="F1840" s="359"/>
      <c r="G1840" s="360"/>
      <c r="H1840" s="356"/>
      <c r="I1840" s="361"/>
      <c r="J1840" s="360"/>
      <c r="K1840" s="357"/>
    </row>
    <row r="1841">
      <c r="A1841" s="350"/>
      <c r="B1841" s="351"/>
      <c r="C1841" s="350"/>
      <c r="D1841" s="352"/>
      <c r="E1841" s="352"/>
      <c r="F1841" s="353"/>
      <c r="G1841" s="354"/>
      <c r="H1841" s="350"/>
      <c r="I1841" s="355"/>
      <c r="J1841" s="354"/>
      <c r="K1841" s="351"/>
    </row>
    <row r="1842">
      <c r="A1842" s="356"/>
      <c r="B1842" s="357"/>
      <c r="C1842" s="356"/>
      <c r="D1842" s="358"/>
      <c r="E1842" s="358"/>
      <c r="F1842" s="359"/>
      <c r="G1842" s="360"/>
      <c r="H1842" s="356"/>
      <c r="I1842" s="361"/>
      <c r="J1842" s="360"/>
      <c r="K1842" s="357"/>
    </row>
    <row r="1843">
      <c r="A1843" s="350"/>
      <c r="B1843" s="351"/>
      <c r="C1843" s="350"/>
      <c r="D1843" s="352"/>
      <c r="E1843" s="352"/>
      <c r="F1843" s="353"/>
      <c r="G1843" s="354"/>
      <c r="H1843" s="350"/>
      <c r="I1843" s="355"/>
      <c r="J1843" s="354"/>
      <c r="K1843" s="351"/>
    </row>
    <row r="1844">
      <c r="A1844" s="356"/>
      <c r="B1844" s="357"/>
      <c r="C1844" s="356"/>
      <c r="D1844" s="358"/>
      <c r="E1844" s="358"/>
      <c r="F1844" s="359"/>
      <c r="G1844" s="360"/>
      <c r="H1844" s="356"/>
      <c r="I1844" s="361"/>
      <c r="J1844" s="360"/>
      <c r="K1844" s="357"/>
    </row>
    <row r="1845">
      <c r="A1845" s="350"/>
      <c r="B1845" s="351"/>
      <c r="C1845" s="350"/>
      <c r="D1845" s="352"/>
      <c r="E1845" s="352"/>
      <c r="F1845" s="353"/>
      <c r="G1845" s="354"/>
      <c r="H1845" s="350"/>
      <c r="I1845" s="355"/>
      <c r="J1845" s="354"/>
      <c r="K1845" s="351"/>
    </row>
    <row r="1846">
      <c r="A1846" s="356"/>
      <c r="B1846" s="357"/>
      <c r="C1846" s="356"/>
      <c r="D1846" s="358"/>
      <c r="E1846" s="358"/>
      <c r="F1846" s="359"/>
      <c r="G1846" s="360"/>
      <c r="H1846" s="356"/>
      <c r="I1846" s="361"/>
      <c r="J1846" s="360"/>
      <c r="K1846" s="357"/>
    </row>
    <row r="1847">
      <c r="A1847" s="350"/>
      <c r="B1847" s="351"/>
      <c r="C1847" s="350"/>
      <c r="D1847" s="352"/>
      <c r="E1847" s="352"/>
      <c r="F1847" s="353"/>
      <c r="G1847" s="354"/>
      <c r="H1847" s="350"/>
      <c r="I1847" s="355"/>
      <c r="J1847" s="354"/>
      <c r="K1847" s="351"/>
    </row>
    <row r="1848">
      <c r="A1848" s="356"/>
      <c r="B1848" s="357"/>
      <c r="C1848" s="356"/>
      <c r="D1848" s="358"/>
      <c r="E1848" s="358"/>
      <c r="F1848" s="359"/>
      <c r="G1848" s="360"/>
      <c r="H1848" s="356"/>
      <c r="I1848" s="361"/>
      <c r="J1848" s="360"/>
      <c r="K1848" s="357"/>
    </row>
    <row r="1849">
      <c r="A1849" s="350"/>
      <c r="B1849" s="351"/>
      <c r="C1849" s="350"/>
      <c r="D1849" s="352"/>
      <c r="E1849" s="352"/>
      <c r="F1849" s="353"/>
      <c r="G1849" s="354"/>
      <c r="H1849" s="350"/>
      <c r="I1849" s="355"/>
      <c r="J1849" s="354"/>
      <c r="K1849" s="351"/>
    </row>
    <row r="1850">
      <c r="A1850" s="356"/>
      <c r="B1850" s="357"/>
      <c r="C1850" s="356"/>
      <c r="D1850" s="358"/>
      <c r="E1850" s="358"/>
      <c r="F1850" s="359"/>
      <c r="G1850" s="360"/>
      <c r="H1850" s="356"/>
      <c r="I1850" s="361"/>
      <c r="J1850" s="360"/>
      <c r="K1850" s="357"/>
    </row>
    <row r="1851">
      <c r="A1851" s="350"/>
      <c r="B1851" s="351"/>
      <c r="C1851" s="350"/>
      <c r="D1851" s="352"/>
      <c r="E1851" s="352"/>
      <c r="F1851" s="353"/>
      <c r="G1851" s="354"/>
      <c r="H1851" s="350"/>
      <c r="I1851" s="355"/>
      <c r="J1851" s="354"/>
      <c r="K1851" s="351"/>
    </row>
    <row r="1852">
      <c r="A1852" s="356"/>
      <c r="B1852" s="357"/>
      <c r="C1852" s="356"/>
      <c r="D1852" s="358"/>
      <c r="E1852" s="358"/>
      <c r="F1852" s="359"/>
      <c r="G1852" s="360"/>
      <c r="H1852" s="356"/>
      <c r="I1852" s="361"/>
      <c r="J1852" s="360"/>
      <c r="K1852" s="357"/>
    </row>
    <row r="1853">
      <c r="A1853" s="350"/>
      <c r="B1853" s="351"/>
      <c r="C1853" s="350"/>
      <c r="D1853" s="352"/>
      <c r="E1853" s="352"/>
      <c r="F1853" s="353"/>
      <c r="G1853" s="354"/>
      <c r="H1853" s="350"/>
      <c r="I1853" s="355"/>
      <c r="J1853" s="354"/>
      <c r="K1853" s="351"/>
    </row>
    <row r="1854">
      <c r="A1854" s="356"/>
      <c r="B1854" s="357"/>
      <c r="C1854" s="356"/>
      <c r="D1854" s="358"/>
      <c r="E1854" s="358"/>
      <c r="F1854" s="359"/>
      <c r="G1854" s="360"/>
      <c r="H1854" s="356"/>
      <c r="I1854" s="361"/>
      <c r="J1854" s="360"/>
      <c r="K1854" s="357"/>
    </row>
    <row r="1855">
      <c r="A1855" s="350"/>
      <c r="B1855" s="351"/>
      <c r="C1855" s="350"/>
      <c r="D1855" s="352"/>
      <c r="E1855" s="352"/>
      <c r="F1855" s="353"/>
      <c r="G1855" s="354"/>
      <c r="H1855" s="350"/>
      <c r="I1855" s="355"/>
      <c r="J1855" s="354"/>
      <c r="K1855" s="351"/>
    </row>
    <row r="1856">
      <c r="A1856" s="356"/>
      <c r="B1856" s="357"/>
      <c r="C1856" s="356"/>
      <c r="D1856" s="358"/>
      <c r="E1856" s="358"/>
      <c r="F1856" s="359"/>
      <c r="G1856" s="360"/>
      <c r="H1856" s="356"/>
      <c r="I1856" s="361"/>
      <c r="J1856" s="360"/>
      <c r="K1856" s="357"/>
    </row>
    <row r="1857">
      <c r="A1857" s="350"/>
      <c r="B1857" s="351"/>
      <c r="C1857" s="350"/>
      <c r="D1857" s="352"/>
      <c r="E1857" s="352"/>
      <c r="F1857" s="353"/>
      <c r="G1857" s="354"/>
      <c r="H1857" s="350"/>
      <c r="I1857" s="355"/>
      <c r="J1857" s="354"/>
      <c r="K1857" s="351"/>
    </row>
    <row r="1858">
      <c r="A1858" s="356"/>
      <c r="B1858" s="357"/>
      <c r="C1858" s="356"/>
      <c r="D1858" s="358"/>
      <c r="E1858" s="358"/>
      <c r="F1858" s="359"/>
      <c r="G1858" s="360"/>
      <c r="H1858" s="356"/>
      <c r="I1858" s="361"/>
      <c r="J1858" s="360"/>
      <c r="K1858" s="357"/>
    </row>
    <row r="1859">
      <c r="A1859" s="350"/>
      <c r="B1859" s="351"/>
      <c r="C1859" s="350"/>
      <c r="D1859" s="352"/>
      <c r="E1859" s="352"/>
      <c r="F1859" s="353"/>
      <c r="G1859" s="354"/>
      <c r="H1859" s="350"/>
      <c r="I1859" s="355"/>
      <c r="J1859" s="354"/>
      <c r="K1859" s="351"/>
    </row>
    <row r="1860">
      <c r="A1860" s="356"/>
      <c r="B1860" s="357"/>
      <c r="C1860" s="356"/>
      <c r="D1860" s="358"/>
      <c r="E1860" s="358"/>
      <c r="F1860" s="359"/>
      <c r="G1860" s="360"/>
      <c r="H1860" s="356"/>
      <c r="I1860" s="361"/>
      <c r="J1860" s="360"/>
      <c r="K1860" s="357"/>
    </row>
    <row r="1861">
      <c r="A1861" s="350"/>
      <c r="B1861" s="351"/>
      <c r="C1861" s="350"/>
      <c r="D1861" s="352"/>
      <c r="E1861" s="352"/>
      <c r="F1861" s="353"/>
      <c r="G1861" s="354"/>
      <c r="H1861" s="350"/>
      <c r="I1861" s="355"/>
      <c r="J1861" s="354"/>
      <c r="K1861" s="351"/>
    </row>
    <row r="1862">
      <c r="A1862" s="356"/>
      <c r="B1862" s="357"/>
      <c r="C1862" s="356"/>
      <c r="D1862" s="358"/>
      <c r="E1862" s="358"/>
      <c r="F1862" s="359"/>
      <c r="G1862" s="360"/>
      <c r="H1862" s="356"/>
      <c r="I1862" s="361"/>
      <c r="J1862" s="360"/>
      <c r="K1862" s="357"/>
    </row>
    <row r="1863">
      <c r="A1863" s="350"/>
      <c r="B1863" s="351"/>
      <c r="C1863" s="350"/>
      <c r="D1863" s="352"/>
      <c r="E1863" s="352"/>
      <c r="F1863" s="353"/>
      <c r="G1863" s="354"/>
      <c r="H1863" s="350"/>
      <c r="I1863" s="355"/>
      <c r="J1863" s="354"/>
      <c r="K1863" s="351"/>
    </row>
    <row r="1864">
      <c r="A1864" s="356"/>
      <c r="B1864" s="357"/>
      <c r="C1864" s="356"/>
      <c r="D1864" s="358"/>
      <c r="E1864" s="358"/>
      <c r="F1864" s="359"/>
      <c r="G1864" s="360"/>
      <c r="H1864" s="356"/>
      <c r="I1864" s="361"/>
      <c r="J1864" s="360"/>
      <c r="K1864" s="357"/>
    </row>
    <row r="1865">
      <c r="A1865" s="350"/>
      <c r="B1865" s="351"/>
      <c r="C1865" s="350"/>
      <c r="D1865" s="352"/>
      <c r="E1865" s="352"/>
      <c r="F1865" s="353"/>
      <c r="G1865" s="354"/>
      <c r="H1865" s="350"/>
      <c r="I1865" s="355"/>
      <c r="J1865" s="354"/>
      <c r="K1865" s="351"/>
    </row>
    <row r="1866">
      <c r="A1866" s="356"/>
      <c r="B1866" s="357"/>
      <c r="C1866" s="356"/>
      <c r="D1866" s="358"/>
      <c r="E1866" s="358"/>
      <c r="F1866" s="359"/>
      <c r="G1866" s="360"/>
      <c r="H1866" s="356"/>
      <c r="I1866" s="361"/>
      <c r="J1866" s="360"/>
      <c r="K1866" s="357"/>
    </row>
    <row r="1867">
      <c r="A1867" s="350"/>
      <c r="B1867" s="351"/>
      <c r="C1867" s="350"/>
      <c r="D1867" s="352"/>
      <c r="E1867" s="352"/>
      <c r="F1867" s="353"/>
      <c r="G1867" s="354"/>
      <c r="H1867" s="350"/>
      <c r="I1867" s="355"/>
      <c r="J1867" s="354"/>
      <c r="K1867" s="351"/>
    </row>
    <row r="1868">
      <c r="A1868" s="356"/>
      <c r="B1868" s="357"/>
      <c r="C1868" s="356"/>
      <c r="D1868" s="358"/>
      <c r="E1868" s="358"/>
      <c r="F1868" s="359"/>
      <c r="G1868" s="360"/>
      <c r="H1868" s="356"/>
      <c r="I1868" s="361"/>
      <c r="J1868" s="360"/>
      <c r="K1868" s="357"/>
    </row>
    <row r="1869">
      <c r="A1869" s="350"/>
      <c r="B1869" s="351"/>
      <c r="C1869" s="350"/>
      <c r="D1869" s="352"/>
      <c r="E1869" s="352"/>
      <c r="F1869" s="353"/>
      <c r="G1869" s="354"/>
      <c r="H1869" s="350"/>
      <c r="I1869" s="355"/>
      <c r="J1869" s="354"/>
      <c r="K1869" s="351"/>
    </row>
    <row r="1870">
      <c r="A1870" s="356"/>
      <c r="B1870" s="357"/>
      <c r="C1870" s="356"/>
      <c r="D1870" s="358"/>
      <c r="E1870" s="358"/>
      <c r="F1870" s="359"/>
      <c r="G1870" s="360"/>
      <c r="H1870" s="356"/>
      <c r="I1870" s="361"/>
      <c r="J1870" s="360"/>
      <c r="K1870" s="357"/>
    </row>
    <row r="1871">
      <c r="A1871" s="350"/>
      <c r="B1871" s="351"/>
      <c r="C1871" s="350"/>
      <c r="D1871" s="352"/>
      <c r="E1871" s="352"/>
      <c r="F1871" s="353"/>
      <c r="G1871" s="354"/>
      <c r="H1871" s="350"/>
      <c r="I1871" s="355"/>
      <c r="J1871" s="354"/>
      <c r="K1871" s="351"/>
    </row>
    <row r="1872">
      <c r="A1872" s="356"/>
      <c r="B1872" s="357"/>
      <c r="C1872" s="356"/>
      <c r="D1872" s="358"/>
      <c r="E1872" s="358"/>
      <c r="F1872" s="359"/>
      <c r="G1872" s="360"/>
      <c r="H1872" s="356"/>
      <c r="I1872" s="361"/>
      <c r="J1872" s="360"/>
      <c r="K1872" s="357"/>
    </row>
    <row r="1873">
      <c r="A1873" s="350"/>
      <c r="B1873" s="351"/>
      <c r="C1873" s="350"/>
      <c r="D1873" s="352"/>
      <c r="E1873" s="352"/>
      <c r="F1873" s="353"/>
      <c r="G1873" s="354"/>
      <c r="H1873" s="350"/>
      <c r="I1873" s="355"/>
      <c r="J1873" s="354"/>
      <c r="K1873" s="351"/>
    </row>
    <row r="1874">
      <c r="A1874" s="356"/>
      <c r="B1874" s="357"/>
      <c r="C1874" s="356"/>
      <c r="D1874" s="358"/>
      <c r="E1874" s="358"/>
      <c r="F1874" s="359"/>
      <c r="G1874" s="360"/>
      <c r="H1874" s="356"/>
      <c r="I1874" s="361"/>
      <c r="J1874" s="360"/>
      <c r="K1874" s="357"/>
    </row>
    <row r="1875">
      <c r="A1875" s="350"/>
      <c r="B1875" s="351"/>
      <c r="C1875" s="350"/>
      <c r="D1875" s="352"/>
      <c r="E1875" s="352"/>
      <c r="F1875" s="353"/>
      <c r="G1875" s="354"/>
      <c r="H1875" s="350"/>
      <c r="I1875" s="355"/>
      <c r="J1875" s="354"/>
      <c r="K1875" s="351"/>
    </row>
    <row r="1876">
      <c r="A1876" s="356"/>
      <c r="B1876" s="357"/>
      <c r="C1876" s="356"/>
      <c r="D1876" s="358"/>
      <c r="E1876" s="358"/>
      <c r="F1876" s="359"/>
      <c r="G1876" s="360"/>
      <c r="H1876" s="356"/>
      <c r="I1876" s="361"/>
      <c r="J1876" s="360"/>
      <c r="K1876" s="357"/>
    </row>
    <row r="1877">
      <c r="A1877" s="350"/>
      <c r="B1877" s="351"/>
      <c r="C1877" s="350"/>
      <c r="D1877" s="352"/>
      <c r="E1877" s="352"/>
      <c r="F1877" s="353"/>
      <c r="G1877" s="354"/>
      <c r="H1877" s="350"/>
      <c r="I1877" s="355"/>
      <c r="J1877" s="354"/>
      <c r="K1877" s="351"/>
    </row>
    <row r="1878">
      <c r="A1878" s="356"/>
      <c r="B1878" s="357"/>
      <c r="C1878" s="356"/>
      <c r="D1878" s="358"/>
      <c r="E1878" s="358"/>
      <c r="F1878" s="359"/>
      <c r="G1878" s="360"/>
      <c r="H1878" s="356"/>
      <c r="I1878" s="361"/>
      <c r="J1878" s="360"/>
      <c r="K1878" s="357"/>
    </row>
    <row r="1879">
      <c r="A1879" s="350"/>
      <c r="B1879" s="351"/>
      <c r="C1879" s="350"/>
      <c r="D1879" s="352"/>
      <c r="E1879" s="352"/>
      <c r="F1879" s="353"/>
      <c r="G1879" s="354"/>
      <c r="H1879" s="350"/>
      <c r="I1879" s="355"/>
      <c r="J1879" s="354"/>
      <c r="K1879" s="351"/>
    </row>
    <row r="1880">
      <c r="A1880" s="356"/>
      <c r="B1880" s="357"/>
      <c r="C1880" s="356"/>
      <c r="D1880" s="358"/>
      <c r="E1880" s="358"/>
      <c r="F1880" s="359"/>
      <c r="G1880" s="360"/>
      <c r="H1880" s="356"/>
      <c r="I1880" s="361"/>
      <c r="J1880" s="360"/>
      <c r="K1880" s="357"/>
    </row>
    <row r="1881">
      <c r="A1881" s="350"/>
      <c r="B1881" s="351"/>
      <c r="C1881" s="350"/>
      <c r="D1881" s="352"/>
      <c r="E1881" s="352"/>
      <c r="F1881" s="353"/>
      <c r="G1881" s="354"/>
      <c r="H1881" s="350"/>
      <c r="I1881" s="355"/>
      <c r="J1881" s="354"/>
      <c r="K1881" s="351"/>
    </row>
    <row r="1882">
      <c r="A1882" s="356"/>
      <c r="B1882" s="357"/>
      <c r="C1882" s="356"/>
      <c r="D1882" s="358"/>
      <c r="E1882" s="358"/>
      <c r="F1882" s="359"/>
      <c r="G1882" s="360"/>
      <c r="H1882" s="356"/>
      <c r="I1882" s="361"/>
      <c r="J1882" s="360"/>
      <c r="K1882" s="357"/>
    </row>
    <row r="1883">
      <c r="A1883" s="350"/>
      <c r="B1883" s="351"/>
      <c r="C1883" s="350"/>
      <c r="D1883" s="352"/>
      <c r="E1883" s="352"/>
      <c r="F1883" s="353"/>
      <c r="G1883" s="354"/>
      <c r="H1883" s="350"/>
      <c r="I1883" s="355"/>
      <c r="J1883" s="354"/>
      <c r="K1883" s="351"/>
    </row>
    <row r="1884">
      <c r="A1884" s="356"/>
      <c r="B1884" s="357"/>
      <c r="C1884" s="356"/>
      <c r="D1884" s="358"/>
      <c r="E1884" s="358"/>
      <c r="F1884" s="359"/>
      <c r="G1884" s="360"/>
      <c r="H1884" s="356"/>
      <c r="I1884" s="361"/>
      <c r="J1884" s="360"/>
      <c r="K1884" s="357"/>
    </row>
    <row r="1885">
      <c r="A1885" s="350"/>
      <c r="B1885" s="351"/>
      <c r="C1885" s="350"/>
      <c r="D1885" s="352"/>
      <c r="E1885" s="352"/>
      <c r="F1885" s="353"/>
      <c r="G1885" s="354"/>
      <c r="H1885" s="350"/>
      <c r="I1885" s="355"/>
      <c r="J1885" s="354"/>
      <c r="K1885" s="351"/>
    </row>
    <row r="1886">
      <c r="A1886" s="356"/>
      <c r="B1886" s="357"/>
      <c r="C1886" s="356"/>
      <c r="D1886" s="358"/>
      <c r="E1886" s="358"/>
      <c r="F1886" s="359"/>
      <c r="G1886" s="360"/>
      <c r="H1886" s="356"/>
      <c r="I1886" s="361"/>
      <c r="J1886" s="360"/>
      <c r="K1886" s="357"/>
    </row>
    <row r="1887">
      <c r="A1887" s="350"/>
      <c r="B1887" s="351"/>
      <c r="C1887" s="350"/>
      <c r="D1887" s="352"/>
      <c r="E1887" s="352"/>
      <c r="F1887" s="353"/>
      <c r="G1887" s="354"/>
      <c r="H1887" s="350"/>
      <c r="I1887" s="355"/>
      <c r="J1887" s="354"/>
      <c r="K1887" s="351"/>
    </row>
    <row r="1888">
      <c r="A1888" s="356"/>
      <c r="B1888" s="357"/>
      <c r="C1888" s="356"/>
      <c r="D1888" s="358"/>
      <c r="E1888" s="358"/>
      <c r="F1888" s="359"/>
      <c r="G1888" s="360"/>
      <c r="H1888" s="356"/>
      <c r="I1888" s="361"/>
      <c r="J1888" s="360"/>
      <c r="K1888" s="357"/>
    </row>
    <row r="1889">
      <c r="A1889" s="350"/>
      <c r="B1889" s="351"/>
      <c r="C1889" s="350"/>
      <c r="D1889" s="352"/>
      <c r="E1889" s="352"/>
      <c r="F1889" s="353"/>
      <c r="G1889" s="354"/>
      <c r="H1889" s="350"/>
      <c r="I1889" s="355"/>
      <c r="J1889" s="354"/>
      <c r="K1889" s="351"/>
    </row>
    <row r="1890">
      <c r="A1890" s="356"/>
      <c r="B1890" s="357"/>
      <c r="C1890" s="356"/>
      <c r="D1890" s="358"/>
      <c r="E1890" s="358"/>
      <c r="F1890" s="359"/>
      <c r="G1890" s="360"/>
      <c r="H1890" s="356"/>
      <c r="I1890" s="361"/>
      <c r="J1890" s="360"/>
      <c r="K1890" s="357"/>
    </row>
    <row r="1891">
      <c r="A1891" s="350"/>
      <c r="B1891" s="351"/>
      <c r="C1891" s="350"/>
      <c r="D1891" s="352"/>
      <c r="E1891" s="352"/>
      <c r="F1891" s="353"/>
      <c r="G1891" s="354"/>
      <c r="H1891" s="350"/>
      <c r="I1891" s="355"/>
      <c r="J1891" s="354"/>
      <c r="K1891" s="351"/>
    </row>
    <row r="1892">
      <c r="A1892" s="356"/>
      <c r="B1892" s="357"/>
      <c r="C1892" s="356"/>
      <c r="D1892" s="358"/>
      <c r="E1892" s="358"/>
      <c r="F1892" s="359"/>
      <c r="G1892" s="360"/>
      <c r="H1892" s="356"/>
      <c r="I1892" s="361"/>
      <c r="J1892" s="360"/>
      <c r="K1892" s="357"/>
    </row>
    <row r="1893">
      <c r="A1893" s="350"/>
      <c r="B1893" s="351"/>
      <c r="C1893" s="350"/>
      <c r="D1893" s="352"/>
      <c r="E1893" s="352"/>
      <c r="F1893" s="353"/>
      <c r="G1893" s="354"/>
      <c r="H1893" s="350"/>
      <c r="I1893" s="355"/>
      <c r="J1893" s="354"/>
      <c r="K1893" s="351"/>
    </row>
    <row r="1894">
      <c r="A1894" s="356"/>
      <c r="B1894" s="357"/>
      <c r="C1894" s="356"/>
      <c r="D1894" s="358"/>
      <c r="E1894" s="358"/>
      <c r="F1894" s="359"/>
      <c r="G1894" s="360"/>
      <c r="H1894" s="356"/>
      <c r="I1894" s="361"/>
      <c r="J1894" s="360"/>
      <c r="K1894" s="357"/>
    </row>
    <row r="1895">
      <c r="A1895" s="350"/>
      <c r="B1895" s="351"/>
      <c r="C1895" s="350"/>
      <c r="D1895" s="352"/>
      <c r="E1895" s="352"/>
      <c r="F1895" s="353"/>
      <c r="G1895" s="354"/>
      <c r="H1895" s="350"/>
      <c r="I1895" s="355"/>
      <c r="J1895" s="354"/>
      <c r="K1895" s="351"/>
    </row>
    <row r="1896">
      <c r="A1896" s="356"/>
      <c r="B1896" s="357"/>
      <c r="C1896" s="356"/>
      <c r="D1896" s="358"/>
      <c r="E1896" s="358"/>
      <c r="F1896" s="359"/>
      <c r="G1896" s="360"/>
      <c r="H1896" s="356"/>
      <c r="I1896" s="361"/>
      <c r="J1896" s="360"/>
      <c r="K1896" s="357"/>
    </row>
    <row r="1897">
      <c r="A1897" s="350"/>
      <c r="B1897" s="351"/>
      <c r="C1897" s="350"/>
      <c r="D1897" s="352"/>
      <c r="E1897" s="352"/>
      <c r="F1897" s="353"/>
      <c r="G1897" s="354"/>
      <c r="H1897" s="350"/>
      <c r="I1897" s="355"/>
      <c r="J1897" s="354"/>
      <c r="K1897" s="351"/>
    </row>
    <row r="1898">
      <c r="A1898" s="356"/>
      <c r="B1898" s="357"/>
      <c r="C1898" s="356"/>
      <c r="D1898" s="358"/>
      <c r="E1898" s="358"/>
      <c r="F1898" s="359"/>
      <c r="G1898" s="360"/>
      <c r="H1898" s="356"/>
      <c r="I1898" s="361"/>
      <c r="J1898" s="360"/>
      <c r="K1898" s="357"/>
    </row>
    <row r="1899">
      <c r="A1899" s="350"/>
      <c r="B1899" s="351"/>
      <c r="C1899" s="350"/>
      <c r="D1899" s="352"/>
      <c r="E1899" s="352"/>
      <c r="F1899" s="353"/>
      <c r="G1899" s="354"/>
      <c r="H1899" s="350"/>
      <c r="I1899" s="355"/>
      <c r="J1899" s="354"/>
      <c r="K1899" s="351"/>
    </row>
    <row r="1900">
      <c r="A1900" s="356"/>
      <c r="B1900" s="357"/>
      <c r="C1900" s="356"/>
      <c r="D1900" s="358"/>
      <c r="E1900" s="358"/>
      <c r="F1900" s="359"/>
      <c r="G1900" s="360"/>
      <c r="H1900" s="356"/>
      <c r="I1900" s="361"/>
      <c r="J1900" s="360"/>
      <c r="K1900" s="357"/>
    </row>
    <row r="1901">
      <c r="A1901" s="350"/>
      <c r="B1901" s="351"/>
      <c r="C1901" s="350"/>
      <c r="D1901" s="352"/>
      <c r="E1901" s="352"/>
      <c r="F1901" s="353"/>
      <c r="G1901" s="354"/>
      <c r="H1901" s="350"/>
      <c r="I1901" s="355"/>
      <c r="J1901" s="354"/>
      <c r="K1901" s="351"/>
    </row>
    <row r="1902">
      <c r="A1902" s="356"/>
      <c r="B1902" s="357"/>
      <c r="C1902" s="356"/>
      <c r="D1902" s="358"/>
      <c r="E1902" s="358"/>
      <c r="F1902" s="359"/>
      <c r="G1902" s="360"/>
      <c r="H1902" s="356"/>
      <c r="I1902" s="361"/>
      <c r="J1902" s="360"/>
      <c r="K1902" s="357"/>
    </row>
    <row r="1903">
      <c r="A1903" s="350"/>
      <c r="B1903" s="351"/>
      <c r="C1903" s="350"/>
      <c r="D1903" s="352"/>
      <c r="E1903" s="352"/>
      <c r="F1903" s="353"/>
      <c r="G1903" s="354"/>
      <c r="H1903" s="350"/>
      <c r="I1903" s="355"/>
      <c r="J1903" s="354"/>
      <c r="K1903" s="351"/>
    </row>
    <row r="1904">
      <c r="A1904" s="356"/>
      <c r="B1904" s="357"/>
      <c r="C1904" s="356"/>
      <c r="D1904" s="358"/>
      <c r="E1904" s="358"/>
      <c r="F1904" s="359"/>
      <c r="G1904" s="360"/>
      <c r="H1904" s="356"/>
      <c r="I1904" s="361"/>
      <c r="J1904" s="360"/>
      <c r="K1904" s="357"/>
    </row>
    <row r="1905">
      <c r="A1905" s="350"/>
      <c r="B1905" s="351"/>
      <c r="C1905" s="350"/>
      <c r="D1905" s="352"/>
      <c r="E1905" s="352"/>
      <c r="F1905" s="353"/>
      <c r="G1905" s="354"/>
      <c r="H1905" s="350"/>
      <c r="I1905" s="355"/>
      <c r="J1905" s="354"/>
      <c r="K1905" s="351"/>
    </row>
    <row r="1906">
      <c r="A1906" s="356"/>
      <c r="B1906" s="357"/>
      <c r="C1906" s="356"/>
      <c r="D1906" s="358"/>
      <c r="E1906" s="358"/>
      <c r="F1906" s="359"/>
      <c r="G1906" s="360"/>
      <c r="H1906" s="356"/>
      <c r="I1906" s="361"/>
      <c r="J1906" s="360"/>
      <c r="K1906" s="357"/>
    </row>
    <row r="1907">
      <c r="A1907" s="350"/>
      <c r="B1907" s="351"/>
      <c r="C1907" s="350"/>
      <c r="D1907" s="352"/>
      <c r="E1907" s="352"/>
      <c r="F1907" s="353"/>
      <c r="G1907" s="354"/>
      <c r="H1907" s="350"/>
      <c r="I1907" s="355"/>
      <c r="J1907" s="354"/>
      <c r="K1907" s="351"/>
    </row>
    <row r="1908">
      <c r="A1908" s="356"/>
      <c r="B1908" s="357"/>
      <c r="C1908" s="356"/>
      <c r="D1908" s="358"/>
      <c r="E1908" s="358"/>
      <c r="F1908" s="359"/>
      <c r="G1908" s="360"/>
      <c r="H1908" s="356"/>
      <c r="I1908" s="361"/>
      <c r="J1908" s="360"/>
      <c r="K1908" s="357"/>
    </row>
    <row r="1909">
      <c r="A1909" s="350"/>
      <c r="B1909" s="351"/>
      <c r="C1909" s="350"/>
      <c r="D1909" s="352"/>
      <c r="E1909" s="352"/>
      <c r="F1909" s="353"/>
      <c r="G1909" s="354"/>
      <c r="H1909" s="350"/>
      <c r="I1909" s="355"/>
      <c r="J1909" s="354"/>
      <c r="K1909" s="351"/>
    </row>
    <row r="1910">
      <c r="A1910" s="356"/>
      <c r="B1910" s="357"/>
      <c r="C1910" s="356"/>
      <c r="D1910" s="358"/>
      <c r="E1910" s="358"/>
      <c r="F1910" s="359"/>
      <c r="G1910" s="360"/>
      <c r="H1910" s="356"/>
      <c r="I1910" s="361"/>
      <c r="J1910" s="360"/>
      <c r="K1910" s="357"/>
    </row>
    <row r="1911">
      <c r="A1911" s="350"/>
      <c r="B1911" s="351"/>
      <c r="C1911" s="350"/>
      <c r="D1911" s="352"/>
      <c r="E1911" s="352"/>
      <c r="F1911" s="353"/>
      <c r="G1911" s="354"/>
      <c r="H1911" s="350"/>
      <c r="I1911" s="355"/>
      <c r="J1911" s="354"/>
      <c r="K1911" s="351"/>
    </row>
    <row r="1912">
      <c r="A1912" s="356"/>
      <c r="B1912" s="357"/>
      <c r="C1912" s="356"/>
      <c r="D1912" s="358"/>
      <c r="E1912" s="358"/>
      <c r="F1912" s="359"/>
      <c r="G1912" s="360"/>
      <c r="H1912" s="356"/>
      <c r="I1912" s="361"/>
      <c r="J1912" s="360"/>
      <c r="K1912" s="357"/>
    </row>
    <row r="1913">
      <c r="A1913" s="350"/>
      <c r="B1913" s="351"/>
      <c r="C1913" s="350"/>
      <c r="D1913" s="352"/>
      <c r="E1913" s="352"/>
      <c r="F1913" s="353"/>
      <c r="G1913" s="354"/>
      <c r="H1913" s="350"/>
      <c r="I1913" s="355"/>
      <c r="J1913" s="354"/>
      <c r="K1913" s="351"/>
    </row>
    <row r="1914">
      <c r="A1914" s="356"/>
      <c r="B1914" s="357"/>
      <c r="C1914" s="356"/>
      <c r="D1914" s="358"/>
      <c r="E1914" s="358"/>
      <c r="F1914" s="359"/>
      <c r="G1914" s="360"/>
      <c r="H1914" s="356"/>
      <c r="I1914" s="361"/>
      <c r="J1914" s="360"/>
      <c r="K1914" s="357"/>
    </row>
    <row r="1915">
      <c r="A1915" s="350"/>
      <c r="B1915" s="351"/>
      <c r="C1915" s="350"/>
      <c r="D1915" s="352"/>
      <c r="E1915" s="352"/>
      <c r="F1915" s="353"/>
      <c r="G1915" s="354"/>
      <c r="H1915" s="350"/>
      <c r="I1915" s="355"/>
      <c r="J1915" s="354"/>
      <c r="K1915" s="351"/>
    </row>
    <row r="1916">
      <c r="A1916" s="356"/>
      <c r="B1916" s="357"/>
      <c r="C1916" s="356"/>
      <c r="D1916" s="358"/>
      <c r="E1916" s="358"/>
      <c r="F1916" s="359"/>
      <c r="G1916" s="360"/>
      <c r="H1916" s="356"/>
      <c r="I1916" s="361"/>
      <c r="J1916" s="360"/>
      <c r="K1916" s="357"/>
    </row>
    <row r="1917">
      <c r="A1917" s="350"/>
      <c r="B1917" s="351"/>
      <c r="C1917" s="350"/>
      <c r="D1917" s="352"/>
      <c r="E1917" s="352"/>
      <c r="F1917" s="353"/>
      <c r="G1917" s="354"/>
      <c r="H1917" s="350"/>
      <c r="I1917" s="355"/>
      <c r="J1917" s="354"/>
      <c r="K1917" s="351"/>
    </row>
    <row r="1918">
      <c r="A1918" s="356"/>
      <c r="B1918" s="357"/>
      <c r="C1918" s="356"/>
      <c r="D1918" s="358"/>
      <c r="E1918" s="358"/>
      <c r="F1918" s="359"/>
      <c r="G1918" s="360"/>
      <c r="H1918" s="356"/>
      <c r="I1918" s="361"/>
      <c r="J1918" s="360"/>
      <c r="K1918" s="357"/>
    </row>
    <row r="1919">
      <c r="A1919" s="350"/>
      <c r="B1919" s="351"/>
      <c r="C1919" s="350"/>
      <c r="D1919" s="352"/>
      <c r="E1919" s="352"/>
      <c r="F1919" s="353"/>
      <c r="G1919" s="354"/>
      <c r="H1919" s="350"/>
      <c r="I1919" s="355"/>
      <c r="J1919" s="354"/>
      <c r="K1919" s="351"/>
    </row>
    <row r="1920">
      <c r="A1920" s="356"/>
      <c r="B1920" s="357"/>
      <c r="C1920" s="356"/>
      <c r="D1920" s="358"/>
      <c r="E1920" s="358"/>
      <c r="F1920" s="359"/>
      <c r="G1920" s="360"/>
      <c r="H1920" s="356"/>
      <c r="I1920" s="361"/>
      <c r="J1920" s="360"/>
      <c r="K1920" s="357"/>
    </row>
    <row r="1921">
      <c r="A1921" s="350"/>
      <c r="B1921" s="351"/>
      <c r="C1921" s="350"/>
      <c r="D1921" s="352"/>
      <c r="E1921" s="352"/>
      <c r="F1921" s="353"/>
      <c r="G1921" s="354"/>
      <c r="H1921" s="350"/>
      <c r="I1921" s="355"/>
      <c r="J1921" s="354"/>
      <c r="K1921" s="351"/>
    </row>
    <row r="1922">
      <c r="A1922" s="356"/>
      <c r="B1922" s="357"/>
      <c r="C1922" s="356"/>
      <c r="D1922" s="358"/>
      <c r="E1922" s="358"/>
      <c r="F1922" s="359"/>
      <c r="G1922" s="360"/>
      <c r="H1922" s="356"/>
      <c r="I1922" s="361"/>
      <c r="J1922" s="360"/>
      <c r="K1922" s="357"/>
    </row>
    <row r="1923">
      <c r="A1923" s="350"/>
      <c r="B1923" s="351"/>
      <c r="C1923" s="350"/>
      <c r="D1923" s="352"/>
      <c r="E1923" s="352"/>
      <c r="F1923" s="353"/>
      <c r="G1923" s="354"/>
      <c r="H1923" s="350"/>
      <c r="I1923" s="355"/>
      <c r="J1923" s="354"/>
      <c r="K1923" s="351"/>
    </row>
    <row r="1924">
      <c r="A1924" s="356"/>
      <c r="B1924" s="357"/>
      <c r="C1924" s="356"/>
      <c r="D1924" s="358"/>
      <c r="E1924" s="358"/>
      <c r="F1924" s="359"/>
      <c r="G1924" s="360"/>
      <c r="H1924" s="356"/>
      <c r="I1924" s="361"/>
      <c r="J1924" s="360"/>
      <c r="K1924" s="357"/>
    </row>
    <row r="1925">
      <c r="A1925" s="350"/>
      <c r="B1925" s="351"/>
      <c r="C1925" s="350"/>
      <c r="D1925" s="352"/>
      <c r="E1925" s="352"/>
      <c r="F1925" s="353"/>
      <c r="G1925" s="354"/>
      <c r="H1925" s="350"/>
      <c r="I1925" s="355"/>
      <c r="J1925" s="354"/>
      <c r="K1925" s="351"/>
    </row>
    <row r="1926">
      <c r="A1926" s="356"/>
      <c r="B1926" s="357"/>
      <c r="C1926" s="356"/>
      <c r="D1926" s="358"/>
      <c r="E1926" s="358"/>
      <c r="F1926" s="359"/>
      <c r="G1926" s="360"/>
      <c r="H1926" s="356"/>
      <c r="I1926" s="361"/>
      <c r="J1926" s="360"/>
      <c r="K1926" s="357"/>
    </row>
    <row r="1927">
      <c r="A1927" s="350"/>
      <c r="B1927" s="351"/>
      <c r="C1927" s="350"/>
      <c r="D1927" s="352"/>
      <c r="E1927" s="352"/>
      <c r="F1927" s="353"/>
      <c r="G1927" s="354"/>
      <c r="H1927" s="350"/>
      <c r="I1927" s="355"/>
      <c r="J1927" s="354"/>
      <c r="K1927" s="351"/>
    </row>
    <row r="1928">
      <c r="A1928" s="356"/>
      <c r="B1928" s="357"/>
      <c r="C1928" s="356"/>
      <c r="D1928" s="358"/>
      <c r="E1928" s="358"/>
      <c r="F1928" s="359"/>
      <c r="G1928" s="360"/>
      <c r="H1928" s="356"/>
      <c r="I1928" s="361"/>
      <c r="J1928" s="360"/>
      <c r="K1928" s="357"/>
    </row>
    <row r="1929">
      <c r="A1929" s="350"/>
      <c r="B1929" s="351"/>
      <c r="C1929" s="350"/>
      <c r="D1929" s="352"/>
      <c r="E1929" s="352"/>
      <c r="F1929" s="353"/>
      <c r="G1929" s="354"/>
      <c r="H1929" s="350"/>
      <c r="I1929" s="355"/>
      <c r="J1929" s="354"/>
      <c r="K1929" s="351"/>
    </row>
    <row r="1930">
      <c r="A1930" s="356"/>
      <c r="B1930" s="357"/>
      <c r="C1930" s="356"/>
      <c r="D1930" s="358"/>
      <c r="E1930" s="358"/>
      <c r="F1930" s="359"/>
      <c r="G1930" s="360"/>
      <c r="H1930" s="356"/>
      <c r="I1930" s="361"/>
      <c r="J1930" s="360"/>
      <c r="K1930" s="357"/>
    </row>
    <row r="1931">
      <c r="A1931" s="350"/>
      <c r="B1931" s="351"/>
      <c r="C1931" s="350"/>
      <c r="D1931" s="352"/>
      <c r="E1931" s="352"/>
      <c r="F1931" s="353"/>
      <c r="G1931" s="354"/>
      <c r="H1931" s="350"/>
      <c r="I1931" s="355"/>
      <c r="J1931" s="354"/>
      <c r="K1931" s="351"/>
    </row>
    <row r="1932">
      <c r="A1932" s="356"/>
      <c r="B1932" s="357"/>
      <c r="C1932" s="356"/>
      <c r="D1932" s="358"/>
      <c r="E1932" s="358"/>
      <c r="F1932" s="359"/>
      <c r="G1932" s="360"/>
      <c r="H1932" s="356"/>
      <c r="I1932" s="361"/>
      <c r="J1932" s="360"/>
      <c r="K1932" s="357"/>
    </row>
    <row r="1933">
      <c r="A1933" s="350"/>
      <c r="B1933" s="351"/>
      <c r="C1933" s="350"/>
      <c r="D1933" s="352"/>
      <c r="E1933" s="352"/>
      <c r="F1933" s="353"/>
      <c r="G1933" s="354"/>
      <c r="H1933" s="350"/>
      <c r="I1933" s="355"/>
      <c r="J1933" s="354"/>
      <c r="K1933" s="351"/>
    </row>
    <row r="1934">
      <c r="A1934" s="356"/>
      <c r="B1934" s="357"/>
      <c r="C1934" s="356"/>
      <c r="D1934" s="358"/>
      <c r="E1934" s="358"/>
      <c r="F1934" s="359"/>
      <c r="G1934" s="360"/>
      <c r="H1934" s="356"/>
      <c r="I1934" s="361"/>
      <c r="J1934" s="360"/>
      <c r="K1934" s="357"/>
    </row>
    <row r="1935">
      <c r="A1935" s="350"/>
      <c r="B1935" s="351"/>
      <c r="C1935" s="350"/>
      <c r="D1935" s="352"/>
      <c r="E1935" s="352"/>
      <c r="F1935" s="353"/>
      <c r="G1935" s="354"/>
      <c r="H1935" s="350"/>
      <c r="I1935" s="355"/>
      <c r="J1935" s="354"/>
      <c r="K1935" s="351"/>
    </row>
    <row r="1936">
      <c r="A1936" s="356"/>
      <c r="B1936" s="357"/>
      <c r="C1936" s="356"/>
      <c r="D1936" s="358"/>
      <c r="E1936" s="358"/>
      <c r="F1936" s="359"/>
      <c r="G1936" s="360"/>
      <c r="H1936" s="356"/>
      <c r="I1936" s="361"/>
      <c r="J1936" s="360"/>
      <c r="K1936" s="357"/>
    </row>
    <row r="1937">
      <c r="A1937" s="350"/>
      <c r="B1937" s="351"/>
      <c r="C1937" s="350"/>
      <c r="D1937" s="352"/>
      <c r="E1937" s="352"/>
      <c r="F1937" s="353"/>
      <c r="G1937" s="354"/>
      <c r="H1937" s="350"/>
      <c r="I1937" s="355"/>
      <c r="J1937" s="354"/>
      <c r="K1937" s="351"/>
    </row>
    <row r="1938">
      <c r="A1938" s="356"/>
      <c r="B1938" s="357"/>
      <c r="C1938" s="356"/>
      <c r="D1938" s="358"/>
      <c r="E1938" s="358"/>
      <c r="F1938" s="359"/>
      <c r="G1938" s="360"/>
      <c r="H1938" s="356"/>
      <c r="I1938" s="361"/>
      <c r="J1938" s="360"/>
      <c r="K1938" s="357"/>
    </row>
    <row r="1939">
      <c r="A1939" s="350"/>
      <c r="B1939" s="351"/>
      <c r="C1939" s="350"/>
      <c r="D1939" s="352"/>
      <c r="E1939" s="352"/>
      <c r="F1939" s="353"/>
      <c r="G1939" s="354"/>
      <c r="H1939" s="350"/>
      <c r="I1939" s="355"/>
      <c r="J1939" s="354"/>
      <c r="K1939" s="351"/>
    </row>
    <row r="1940">
      <c r="A1940" s="356"/>
      <c r="B1940" s="357"/>
      <c r="C1940" s="356"/>
      <c r="D1940" s="358"/>
      <c r="E1940" s="358"/>
      <c r="F1940" s="359"/>
      <c r="G1940" s="360"/>
      <c r="H1940" s="356"/>
      <c r="I1940" s="361"/>
      <c r="J1940" s="360"/>
      <c r="K1940" s="357"/>
    </row>
    <row r="1941">
      <c r="A1941" s="350"/>
      <c r="B1941" s="351"/>
      <c r="C1941" s="350"/>
      <c r="D1941" s="352"/>
      <c r="E1941" s="352"/>
      <c r="F1941" s="353"/>
      <c r="G1941" s="354"/>
      <c r="H1941" s="350"/>
      <c r="I1941" s="355"/>
      <c r="J1941" s="354"/>
      <c r="K1941" s="351"/>
    </row>
    <row r="1942">
      <c r="A1942" s="356"/>
      <c r="B1942" s="357"/>
      <c r="C1942" s="356"/>
      <c r="D1942" s="358"/>
      <c r="E1942" s="358"/>
      <c r="F1942" s="359"/>
      <c r="G1942" s="360"/>
      <c r="H1942" s="356"/>
      <c r="I1942" s="361"/>
      <c r="J1942" s="360"/>
      <c r="K1942" s="357"/>
    </row>
    <row r="1943">
      <c r="A1943" s="350"/>
      <c r="B1943" s="351"/>
      <c r="C1943" s="350"/>
      <c r="D1943" s="352"/>
      <c r="E1943" s="352"/>
      <c r="F1943" s="353"/>
      <c r="G1943" s="354"/>
      <c r="H1943" s="350"/>
      <c r="I1943" s="355"/>
      <c r="J1943" s="354"/>
      <c r="K1943" s="351"/>
    </row>
    <row r="1944">
      <c r="A1944" s="356"/>
      <c r="B1944" s="357"/>
      <c r="C1944" s="356"/>
      <c r="D1944" s="358"/>
      <c r="E1944" s="358"/>
      <c r="F1944" s="359"/>
      <c r="G1944" s="360"/>
      <c r="H1944" s="356"/>
      <c r="I1944" s="361"/>
      <c r="J1944" s="360"/>
      <c r="K1944" s="357"/>
    </row>
    <row r="1945">
      <c r="A1945" s="350"/>
      <c r="B1945" s="351"/>
      <c r="C1945" s="350"/>
      <c r="D1945" s="352"/>
      <c r="E1945" s="352"/>
      <c r="F1945" s="353"/>
      <c r="G1945" s="354"/>
      <c r="H1945" s="350"/>
      <c r="I1945" s="355"/>
      <c r="J1945" s="354"/>
      <c r="K1945" s="351"/>
    </row>
    <row r="1946">
      <c r="A1946" s="356"/>
      <c r="B1946" s="357"/>
      <c r="C1946" s="356"/>
      <c r="D1946" s="358"/>
      <c r="E1946" s="358"/>
      <c r="F1946" s="359"/>
      <c r="G1946" s="360"/>
      <c r="H1946" s="356"/>
      <c r="I1946" s="361"/>
      <c r="J1946" s="360"/>
      <c r="K1946" s="357"/>
    </row>
    <row r="1947">
      <c r="A1947" s="350"/>
      <c r="B1947" s="351"/>
      <c r="C1947" s="350"/>
      <c r="D1947" s="352"/>
      <c r="E1947" s="352"/>
      <c r="F1947" s="353"/>
      <c r="G1947" s="354"/>
      <c r="H1947" s="350"/>
      <c r="I1947" s="355"/>
      <c r="J1947" s="354"/>
      <c r="K1947" s="351"/>
    </row>
    <row r="1948">
      <c r="A1948" s="356"/>
      <c r="B1948" s="357"/>
      <c r="C1948" s="356"/>
      <c r="D1948" s="358"/>
      <c r="E1948" s="358"/>
      <c r="F1948" s="359"/>
      <c r="G1948" s="360"/>
      <c r="H1948" s="356"/>
      <c r="I1948" s="361"/>
      <c r="J1948" s="360"/>
      <c r="K1948" s="357"/>
    </row>
    <row r="1949">
      <c r="A1949" s="350"/>
      <c r="B1949" s="351"/>
      <c r="C1949" s="350"/>
      <c r="D1949" s="352"/>
      <c r="E1949" s="352"/>
      <c r="F1949" s="353"/>
      <c r="G1949" s="354"/>
      <c r="H1949" s="350"/>
      <c r="I1949" s="355"/>
      <c r="J1949" s="354"/>
      <c r="K1949" s="351"/>
    </row>
    <row r="1950">
      <c r="A1950" s="356"/>
      <c r="B1950" s="357"/>
      <c r="C1950" s="356"/>
      <c r="D1950" s="358"/>
      <c r="E1950" s="358"/>
      <c r="F1950" s="359"/>
      <c r="G1950" s="360"/>
      <c r="H1950" s="356"/>
      <c r="I1950" s="361"/>
      <c r="J1950" s="360"/>
      <c r="K1950" s="357"/>
    </row>
    <row r="1951">
      <c r="A1951" s="350"/>
      <c r="B1951" s="351"/>
      <c r="C1951" s="350"/>
      <c r="D1951" s="352"/>
      <c r="E1951" s="352"/>
      <c r="F1951" s="353"/>
      <c r="G1951" s="354"/>
      <c r="H1951" s="350"/>
      <c r="I1951" s="355"/>
      <c r="J1951" s="354"/>
      <c r="K1951" s="351"/>
    </row>
    <row r="1952">
      <c r="A1952" s="356"/>
      <c r="B1952" s="357"/>
      <c r="C1952" s="356"/>
      <c r="D1952" s="358"/>
      <c r="E1952" s="358"/>
      <c r="F1952" s="359"/>
      <c r="G1952" s="360"/>
      <c r="H1952" s="356"/>
      <c r="I1952" s="361"/>
      <c r="J1952" s="360"/>
      <c r="K1952" s="357"/>
    </row>
    <row r="1953">
      <c r="A1953" s="350"/>
      <c r="B1953" s="351"/>
      <c r="C1953" s="350"/>
      <c r="D1953" s="352"/>
      <c r="E1953" s="352"/>
      <c r="F1953" s="353"/>
      <c r="G1953" s="354"/>
      <c r="H1953" s="350"/>
      <c r="I1953" s="355"/>
      <c r="J1953" s="354"/>
      <c r="K1953" s="351"/>
    </row>
    <row r="1954">
      <c r="A1954" s="356"/>
      <c r="B1954" s="357"/>
      <c r="C1954" s="356"/>
      <c r="D1954" s="358"/>
      <c r="E1954" s="358"/>
      <c r="F1954" s="359"/>
      <c r="G1954" s="360"/>
      <c r="H1954" s="356"/>
      <c r="I1954" s="361"/>
      <c r="J1954" s="360"/>
      <c r="K1954" s="357"/>
    </row>
    <row r="1955">
      <c r="A1955" s="350"/>
      <c r="B1955" s="351"/>
      <c r="C1955" s="350"/>
      <c r="D1955" s="352"/>
      <c r="E1955" s="352"/>
      <c r="F1955" s="353"/>
      <c r="G1955" s="354"/>
      <c r="H1955" s="350"/>
      <c r="I1955" s="355"/>
      <c r="J1955" s="354"/>
      <c r="K1955" s="351"/>
    </row>
    <row r="1956">
      <c r="A1956" s="356"/>
      <c r="B1956" s="357"/>
      <c r="C1956" s="356"/>
      <c r="D1956" s="358"/>
      <c r="E1956" s="358"/>
      <c r="F1956" s="359"/>
      <c r="G1956" s="360"/>
      <c r="H1956" s="356"/>
      <c r="I1956" s="361"/>
      <c r="J1956" s="360"/>
      <c r="K1956" s="357"/>
    </row>
    <row r="1957">
      <c r="A1957" s="350"/>
      <c r="B1957" s="351"/>
      <c r="C1957" s="350"/>
      <c r="D1957" s="352"/>
      <c r="E1957" s="352"/>
      <c r="F1957" s="353"/>
      <c r="G1957" s="354"/>
      <c r="H1957" s="350"/>
      <c r="I1957" s="355"/>
      <c r="J1957" s="354"/>
      <c r="K1957" s="351"/>
    </row>
    <row r="1958">
      <c r="A1958" s="356"/>
      <c r="B1958" s="357"/>
      <c r="C1958" s="356"/>
      <c r="D1958" s="358"/>
      <c r="E1958" s="358"/>
      <c r="F1958" s="359"/>
      <c r="G1958" s="360"/>
      <c r="H1958" s="356"/>
      <c r="I1958" s="361"/>
      <c r="J1958" s="360"/>
      <c r="K1958" s="357"/>
    </row>
    <row r="1959">
      <c r="A1959" s="350"/>
      <c r="B1959" s="351"/>
      <c r="C1959" s="350"/>
      <c r="D1959" s="352"/>
      <c r="E1959" s="352"/>
      <c r="F1959" s="353"/>
      <c r="G1959" s="354"/>
      <c r="H1959" s="350"/>
      <c r="I1959" s="355"/>
      <c r="J1959" s="354"/>
      <c r="K1959" s="351"/>
    </row>
    <row r="1960">
      <c r="A1960" s="356"/>
      <c r="B1960" s="357"/>
      <c r="C1960" s="356"/>
      <c r="D1960" s="358"/>
      <c r="E1960" s="358"/>
      <c r="F1960" s="359"/>
      <c r="G1960" s="360"/>
      <c r="H1960" s="356"/>
      <c r="I1960" s="361"/>
      <c r="J1960" s="360"/>
      <c r="K1960" s="357"/>
    </row>
    <row r="1961">
      <c r="A1961" s="350"/>
      <c r="B1961" s="351"/>
      <c r="C1961" s="350"/>
      <c r="D1961" s="352"/>
      <c r="E1961" s="352"/>
      <c r="F1961" s="353"/>
      <c r="G1961" s="354"/>
      <c r="H1961" s="350"/>
      <c r="I1961" s="355"/>
      <c r="J1961" s="354"/>
      <c r="K1961" s="351"/>
    </row>
    <row r="1962">
      <c r="A1962" s="356"/>
      <c r="B1962" s="357"/>
      <c r="C1962" s="356"/>
      <c r="D1962" s="358"/>
      <c r="E1962" s="358"/>
      <c r="F1962" s="359"/>
      <c r="G1962" s="360"/>
      <c r="H1962" s="356"/>
      <c r="I1962" s="361"/>
      <c r="J1962" s="360"/>
      <c r="K1962" s="357"/>
    </row>
    <row r="1963">
      <c r="A1963" s="350"/>
      <c r="B1963" s="351"/>
      <c r="C1963" s="350"/>
      <c r="D1963" s="352"/>
      <c r="E1963" s="352"/>
      <c r="F1963" s="353"/>
      <c r="G1963" s="354"/>
      <c r="H1963" s="350"/>
      <c r="I1963" s="355"/>
      <c r="J1963" s="354"/>
      <c r="K1963" s="351"/>
    </row>
    <row r="1964">
      <c r="A1964" s="356"/>
      <c r="B1964" s="357"/>
      <c r="C1964" s="356"/>
      <c r="D1964" s="358"/>
      <c r="E1964" s="358"/>
      <c r="F1964" s="359"/>
      <c r="G1964" s="360"/>
      <c r="H1964" s="356"/>
      <c r="I1964" s="361"/>
      <c r="J1964" s="360"/>
      <c r="K1964" s="357"/>
    </row>
    <row r="1965">
      <c r="A1965" s="350"/>
      <c r="B1965" s="351"/>
      <c r="C1965" s="350"/>
      <c r="D1965" s="352"/>
      <c r="E1965" s="352"/>
      <c r="F1965" s="353"/>
      <c r="G1965" s="354"/>
      <c r="H1965" s="350"/>
      <c r="I1965" s="355"/>
      <c r="J1965" s="354"/>
      <c r="K1965" s="351"/>
    </row>
    <row r="1966">
      <c r="A1966" s="356"/>
      <c r="B1966" s="357"/>
      <c r="C1966" s="356"/>
      <c r="D1966" s="358"/>
      <c r="E1966" s="358"/>
      <c r="F1966" s="359"/>
      <c r="G1966" s="360"/>
      <c r="H1966" s="356"/>
      <c r="I1966" s="361"/>
      <c r="J1966" s="360"/>
      <c r="K1966" s="357"/>
    </row>
    <row r="1967">
      <c r="A1967" s="350"/>
      <c r="B1967" s="351"/>
      <c r="C1967" s="350"/>
      <c r="D1967" s="352"/>
      <c r="E1967" s="352"/>
      <c r="F1967" s="353"/>
      <c r="G1967" s="354"/>
      <c r="H1967" s="350"/>
      <c r="I1967" s="355"/>
      <c r="J1967" s="354"/>
      <c r="K1967" s="351"/>
    </row>
    <row r="1968">
      <c r="A1968" s="356"/>
      <c r="B1968" s="357"/>
      <c r="C1968" s="356"/>
      <c r="D1968" s="358"/>
      <c r="E1968" s="358"/>
      <c r="F1968" s="359"/>
      <c r="G1968" s="360"/>
      <c r="H1968" s="356"/>
      <c r="I1968" s="361"/>
      <c r="J1968" s="360"/>
      <c r="K1968" s="357"/>
    </row>
    <row r="1969">
      <c r="A1969" s="350"/>
      <c r="B1969" s="351"/>
      <c r="C1969" s="350"/>
      <c r="D1969" s="352"/>
      <c r="E1969" s="352"/>
      <c r="F1969" s="353"/>
      <c r="G1969" s="354"/>
      <c r="H1969" s="350"/>
      <c r="I1969" s="355"/>
      <c r="J1969" s="354"/>
      <c r="K1969" s="351"/>
    </row>
    <row r="1970">
      <c r="A1970" s="356"/>
      <c r="B1970" s="357"/>
      <c r="C1970" s="356"/>
      <c r="D1970" s="358"/>
      <c r="E1970" s="358"/>
      <c r="F1970" s="359"/>
      <c r="G1970" s="360"/>
      <c r="H1970" s="356"/>
      <c r="I1970" s="361"/>
      <c r="J1970" s="360"/>
      <c r="K1970" s="357"/>
    </row>
    <row r="1971">
      <c r="A1971" s="350"/>
      <c r="B1971" s="351"/>
      <c r="C1971" s="350"/>
      <c r="D1971" s="352"/>
      <c r="E1971" s="352"/>
      <c r="F1971" s="353"/>
      <c r="G1971" s="354"/>
      <c r="H1971" s="350"/>
      <c r="I1971" s="355"/>
      <c r="J1971" s="354"/>
      <c r="K1971" s="351"/>
    </row>
    <row r="1972">
      <c r="A1972" s="356"/>
      <c r="B1972" s="357"/>
      <c r="C1972" s="356"/>
      <c r="D1972" s="358"/>
      <c r="E1972" s="358"/>
      <c r="F1972" s="359"/>
      <c r="G1972" s="360"/>
      <c r="H1972" s="356"/>
      <c r="I1972" s="361"/>
      <c r="J1972" s="360"/>
      <c r="K1972" s="357"/>
    </row>
    <row r="1973">
      <c r="A1973" s="350"/>
      <c r="B1973" s="351"/>
      <c r="C1973" s="350"/>
      <c r="D1973" s="352"/>
      <c r="E1973" s="352"/>
      <c r="F1973" s="353"/>
      <c r="G1973" s="354"/>
      <c r="H1973" s="350"/>
      <c r="I1973" s="355"/>
      <c r="J1973" s="354"/>
      <c r="K1973" s="351"/>
    </row>
    <row r="1974">
      <c r="A1974" s="356"/>
      <c r="B1974" s="357"/>
      <c r="C1974" s="356"/>
      <c r="D1974" s="358"/>
      <c r="E1974" s="358"/>
      <c r="F1974" s="359"/>
      <c r="G1974" s="360"/>
      <c r="H1974" s="356"/>
      <c r="I1974" s="361"/>
      <c r="J1974" s="360"/>
      <c r="K1974" s="357"/>
    </row>
    <row r="1975">
      <c r="A1975" s="350"/>
      <c r="B1975" s="351"/>
      <c r="C1975" s="350"/>
      <c r="D1975" s="352"/>
      <c r="E1975" s="352"/>
      <c r="F1975" s="353"/>
      <c r="G1975" s="354"/>
      <c r="H1975" s="350"/>
      <c r="I1975" s="355"/>
      <c r="J1975" s="354"/>
      <c r="K1975" s="351"/>
    </row>
    <row r="1976">
      <c r="A1976" s="356"/>
      <c r="B1976" s="357"/>
      <c r="C1976" s="356"/>
      <c r="D1976" s="358"/>
      <c r="E1976" s="358"/>
      <c r="F1976" s="359"/>
      <c r="G1976" s="360"/>
      <c r="H1976" s="356"/>
      <c r="I1976" s="361"/>
      <c r="J1976" s="360"/>
      <c r="K1976" s="357"/>
    </row>
    <row r="1977">
      <c r="A1977" s="350"/>
      <c r="B1977" s="351"/>
      <c r="C1977" s="350"/>
      <c r="D1977" s="352"/>
      <c r="E1977" s="352"/>
      <c r="F1977" s="353"/>
      <c r="G1977" s="354"/>
      <c r="H1977" s="350"/>
      <c r="I1977" s="355"/>
      <c r="J1977" s="354"/>
      <c r="K1977" s="351"/>
    </row>
    <row r="1978">
      <c r="A1978" s="356"/>
      <c r="B1978" s="357"/>
      <c r="C1978" s="356"/>
      <c r="D1978" s="358"/>
      <c r="E1978" s="358"/>
      <c r="F1978" s="359"/>
      <c r="G1978" s="360"/>
      <c r="H1978" s="356"/>
      <c r="I1978" s="361"/>
      <c r="J1978" s="360"/>
      <c r="K1978" s="357"/>
    </row>
    <row r="1979">
      <c r="A1979" s="350"/>
      <c r="B1979" s="351"/>
      <c r="C1979" s="350"/>
      <c r="D1979" s="352"/>
      <c r="E1979" s="352"/>
      <c r="F1979" s="353"/>
      <c r="G1979" s="354"/>
      <c r="H1979" s="350"/>
      <c r="I1979" s="355"/>
      <c r="J1979" s="354"/>
      <c r="K1979" s="351"/>
    </row>
    <row r="1980">
      <c r="A1980" s="356"/>
      <c r="B1980" s="357"/>
      <c r="C1980" s="356"/>
      <c r="D1980" s="358"/>
      <c r="E1980" s="358"/>
      <c r="F1980" s="359"/>
      <c r="G1980" s="360"/>
      <c r="H1980" s="356"/>
      <c r="I1980" s="361"/>
      <c r="J1980" s="360"/>
      <c r="K1980" s="357"/>
    </row>
    <row r="1981">
      <c r="A1981" s="350"/>
      <c r="B1981" s="351"/>
      <c r="C1981" s="350"/>
      <c r="D1981" s="352"/>
      <c r="E1981" s="352"/>
      <c r="F1981" s="353"/>
      <c r="G1981" s="354"/>
      <c r="H1981" s="350"/>
      <c r="I1981" s="355"/>
      <c r="J1981" s="354"/>
      <c r="K1981" s="351"/>
    </row>
    <row r="1982">
      <c r="A1982" s="356"/>
      <c r="B1982" s="357"/>
      <c r="C1982" s="356"/>
      <c r="D1982" s="358"/>
      <c r="E1982" s="358"/>
      <c r="F1982" s="359"/>
      <c r="G1982" s="360"/>
      <c r="H1982" s="356"/>
      <c r="I1982" s="361"/>
      <c r="J1982" s="360"/>
      <c r="K1982" s="357"/>
    </row>
    <row r="1983">
      <c r="A1983" s="350"/>
      <c r="B1983" s="351"/>
      <c r="C1983" s="350"/>
      <c r="D1983" s="352"/>
      <c r="E1983" s="352"/>
      <c r="F1983" s="353"/>
      <c r="G1983" s="354"/>
      <c r="H1983" s="350"/>
      <c r="I1983" s="355"/>
      <c r="J1983" s="354"/>
      <c r="K1983" s="351"/>
    </row>
    <row r="1984">
      <c r="A1984" s="356"/>
      <c r="B1984" s="357"/>
      <c r="C1984" s="356"/>
      <c r="D1984" s="358"/>
      <c r="E1984" s="358"/>
      <c r="F1984" s="359"/>
      <c r="G1984" s="360"/>
      <c r="H1984" s="356"/>
      <c r="I1984" s="361"/>
      <c r="J1984" s="360"/>
      <c r="K1984" s="357"/>
    </row>
    <row r="1985">
      <c r="A1985" s="350"/>
      <c r="B1985" s="351"/>
      <c r="C1985" s="350"/>
      <c r="D1985" s="352"/>
      <c r="E1985" s="352"/>
      <c r="F1985" s="353"/>
      <c r="G1985" s="354"/>
      <c r="H1985" s="350"/>
      <c r="I1985" s="355"/>
      <c r="J1985" s="354"/>
      <c r="K1985" s="351"/>
    </row>
    <row r="1986">
      <c r="A1986" s="356"/>
      <c r="B1986" s="357"/>
      <c r="C1986" s="356"/>
      <c r="D1986" s="358"/>
      <c r="E1986" s="358"/>
      <c r="F1986" s="359"/>
      <c r="G1986" s="360"/>
      <c r="H1986" s="356"/>
      <c r="I1986" s="361"/>
      <c r="J1986" s="360"/>
      <c r="K1986" s="357"/>
    </row>
    <row r="1987">
      <c r="A1987" s="350"/>
      <c r="B1987" s="351"/>
      <c r="C1987" s="350"/>
      <c r="D1987" s="352"/>
      <c r="E1987" s="352"/>
      <c r="F1987" s="353"/>
      <c r="G1987" s="354"/>
      <c r="H1987" s="350"/>
      <c r="I1987" s="355"/>
      <c r="J1987" s="354"/>
      <c r="K1987" s="351"/>
    </row>
    <row r="1988">
      <c r="A1988" s="356"/>
      <c r="B1988" s="357"/>
      <c r="C1988" s="356"/>
      <c r="D1988" s="358"/>
      <c r="E1988" s="358"/>
      <c r="F1988" s="359"/>
      <c r="G1988" s="360"/>
      <c r="H1988" s="356"/>
      <c r="I1988" s="361"/>
      <c r="J1988" s="360"/>
      <c r="K1988" s="357"/>
    </row>
  </sheetData>
  <autoFilter ref="$A$1:$K$1284">
    <sortState ref="A1:K1284">
      <sortCondition ref="A1:A1284"/>
      <sortCondition ref="G1:G1284"/>
      <sortCondition ref="C1:C1284"/>
      <sortCondition ref="J1:J1284"/>
      <sortCondition ref="E1:E1284"/>
    </sortState>
  </autoFilter>
  <dataValidations>
    <dataValidation type="list" allowBlank="1" showErrorMessage="1" sqref="K1608">
      <formula1>"CONTRATAÇÃO,RESOLVIDO,SINALIZADOR,GRAFISMO,CONTRATAÇÃO - DESCARGA,BORRACHARIA,GARANTIA"</formula1>
    </dataValidation>
    <dataValidation type="list" allowBlank="1" showErrorMessage="1" sqref="K2:K368 K369:AC369 K370:K1027 K1028:AD1028 K1029:K1076 K1078:K1111 K1112:AD1112 K1113:K1132 K1133:AD1134 K1135:K1170 K1171:AC1173 K1174 K1175:AC1177 K1178:K1233 K1235:K1262 V1262 W1605 AI1605 K1265:K1607 K1609:K1644">
      <formula1>"CONTRATAÇÃO,REPARADO - LIBERADA,SINALIZADOR,GRAFISMO,CONTRATAÇÃO - DESCARGA,BORRACHARIA,GARANTIA"</formula1>
    </dataValidation>
    <dataValidation type="list" allowBlank="1" showErrorMessage="1" sqref="K1234">
      <formula1>"CONTRATAÇÃO,REPARADO - LIBERADA,SINALIZADOR,GRAFISMO,CONTRATAÇÃO - DESCARGA,BORRACHARIA,GARANTIA,REPROVADA,APROVADA"</formula1>
    </dataValidation>
  </dataValidations>
  <hyperlinks>
    <hyperlink r:id="rId1" ref="A1235"/>
    <hyperlink r:id="rId2" ref="A1238"/>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5.25"/>
    <col customWidth="1" min="3" max="3" width="15.5"/>
    <col customWidth="1" min="4" max="4" width="22.25"/>
    <col customWidth="1" min="5" max="5" width="4.25"/>
    <col customWidth="1" min="6" max="6" width="19.13"/>
  </cols>
  <sheetData>
    <row r="1">
      <c r="A1" s="362" t="s">
        <v>4966</v>
      </c>
      <c r="B1" s="363" t="s">
        <v>4967</v>
      </c>
      <c r="C1" s="364" t="s">
        <v>4968</v>
      </c>
      <c r="D1" s="364" t="s">
        <v>4969</v>
      </c>
    </row>
    <row r="2">
      <c r="A2" s="365">
        <f>COUNT('VTR AGUARDANDO VISTORIA'!A:A)-A5</f>
        <v>482</v>
      </c>
      <c r="B2" s="366" t="str">
        <f>(SUMIF('VTR AGUARDANDO VISTORIA'!K:K,"&lt;&gt;CONTRATAÇÃO - DESCARGA",'VTR AGUARDANDO VISTORIA'!H:H))/A2</f>
        <v>#VALUE!</v>
      </c>
      <c r="C2" s="365">
        <f>COUNT('VTR PRONTA'!H:H)</f>
        <v>1606</v>
      </c>
      <c r="D2" s="367">
        <f>(SUMIF('VTR PRONTA'!K:K,"&lt;&gt;CONTRATAÇÃO - DESCARGA",'VTR PRONTA'!H:H))/C2</f>
        <v>9.689912827</v>
      </c>
    </row>
    <row r="3" ht="18.0" customHeight="1"/>
    <row r="4">
      <c r="A4" s="368" t="s">
        <v>4970</v>
      </c>
      <c r="B4" s="368" t="s">
        <v>4971</v>
      </c>
      <c r="C4" s="368" t="s">
        <v>4972</v>
      </c>
      <c r="D4" s="368" t="s">
        <v>4973</v>
      </c>
    </row>
    <row r="5">
      <c r="A5" s="369">
        <f>COUNTIF('VTR AGUARDANDO VISTORIA'!K:K,"CONTRATAÇÃO - DESCARGA")</f>
        <v>0</v>
      </c>
      <c r="B5" s="370">
        <f>IF(A5=0,0,(SUMIF('VTR AGUARDANDO VISTORIA'!K:K,"=CONTRATAÇÃO - DESCARGA",'VTR AGUARDANDO VISTORIA'!H:H))/A5)</f>
        <v>0</v>
      </c>
      <c r="C5" s="369">
        <f>COUNT('VTR DESCARGA'!H:H)</f>
        <v>46</v>
      </c>
      <c r="D5" s="370">
        <f>(SUMIF('VTR DESCARGA'!K:K,"=CONTRATAÇÃO - DESCARGA",'VTR DESCARGA'!H:H))/C5</f>
        <v>135.1304348</v>
      </c>
    </row>
    <row r="6" ht="21.0" customHeight="1"/>
  </sheetData>
  <drawing r:id="rId1"/>
</worksheet>
</file>