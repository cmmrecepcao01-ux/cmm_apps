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Plan1!$A$1:$AP$74</definedName>
  </definedNames>
  <calcPr calcId="145621"/>
</workbook>
</file>

<file path=xl/calcChain.xml><?xml version="1.0" encoding="utf-8"?>
<calcChain xmlns="http://schemas.openxmlformats.org/spreadsheetml/2006/main">
  <c r="AK38" i="1" l="1"/>
  <c r="AL38" i="1"/>
  <c r="AK37" i="1"/>
  <c r="AL37" i="1"/>
  <c r="AK34" i="1" l="1"/>
  <c r="AL34" i="1"/>
  <c r="AK33" i="1"/>
  <c r="AL33" i="1"/>
  <c r="AK35" i="1" l="1"/>
  <c r="AL35" i="1"/>
  <c r="AK31" i="1"/>
  <c r="AL31" i="1"/>
  <c r="AK30" i="1"/>
  <c r="AL30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2" i="1"/>
  <c r="AL36" i="1"/>
  <c r="AL39" i="1"/>
  <c r="AK39" i="1"/>
  <c r="AK22" i="1"/>
  <c r="AK23" i="1"/>
  <c r="AK24" i="1"/>
  <c r="AK25" i="1"/>
  <c r="AK26" i="1"/>
  <c r="AK27" i="1"/>
  <c r="AK28" i="1"/>
  <c r="AK29" i="1"/>
  <c r="AK32" i="1"/>
  <c r="AK36" i="1"/>
  <c r="AL21" i="1"/>
  <c r="AK21" i="1"/>
</calcChain>
</file>

<file path=xl/comments1.xml><?xml version="1.0" encoding="utf-8"?>
<comments xmlns="http://schemas.openxmlformats.org/spreadsheetml/2006/main">
  <authors>
    <author>VALDERLEY BRITO MOURA</author>
  </authors>
  <commentList>
    <comment ref="AF9" authorId="0">
      <text>
        <r>
          <rPr>
            <b/>
            <sz val="9"/>
            <color indexed="81"/>
            <rFont val="Tahoma"/>
            <charset val="1"/>
          </rPr>
          <t>VALDERLEY BRITO MOURA:</t>
        </r>
        <r>
          <rPr>
            <sz val="9"/>
            <color indexed="81"/>
            <rFont val="Tahoma"/>
            <charset val="1"/>
          </rPr>
          <t xml:space="preserve">
FM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P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S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E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E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Y1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W2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ESCALA DE VSTORIA DE 10 HORAS</t>
        </r>
      </text>
    </comment>
    <comment ref="P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D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C2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I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J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AB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G3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W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X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W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J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AF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3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V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W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X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</commentList>
</comments>
</file>

<file path=xl/sharedStrings.xml><?xml version="1.0" encoding="utf-8"?>
<sst xmlns="http://schemas.openxmlformats.org/spreadsheetml/2006/main" count="738" uniqueCount="133">
  <si>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</si>
  <si>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</si>
  <si>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</si>
  <si>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</si>
  <si>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</si>
  <si>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</si>
  <si>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</si>
  <si>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</si>
  <si>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</si>
  <si>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</si>
  <si>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</si>
  <si>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</si>
  <si>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</si>
  <si>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</si>
  <si>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</si>
  <si>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</si>
  <si>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</si>
  <si>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</si>
  <si>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</si>
  <si>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</si>
  <si>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</si>
  <si>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</si>
  <si>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</si>
  <si>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</si>
  <si>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CMM - SEÇÃO DE MANUTENÇÃO DE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</si>
  <si>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</si>
  <si>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</si>
  <si>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</si>
  <si>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</si>
  <si>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</si>
  <si>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</si>
  <si>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</si>
  <si>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</si>
  <si>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</si>
  <si>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</si>
  <si>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</si>
  <si>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</si>
  <si>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</si>
  <si>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</si>
  <si>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</si>
  <si>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</si>
  <si>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</si>
  <si>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144643-6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</si>
  <si>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</si>
  <si>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</si>
  <si>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</si>
  <si>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</si>
  <si>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</si>
  <si>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</si>
  <si>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</si>
  <si>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</si>
  <si>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</si>
  <si>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</si>
  <si>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</si>
  <si>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</si>
  <si>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</si>
  <si>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</si>
  <si>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</si>
  <si>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</si>
  <si>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</si>
  <si>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</si>
  <si>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</si>
  <si>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</si>
  <si>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</si>
  <si>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</si>
  <si>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</si>
  <si>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</si>
  <si>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</si>
  <si>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</si>
  <si>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</si>
  <si>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</si>
  <si>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</si>
  <si>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</si>
  <si>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LSV DOE SP Nº 203, de 21OUT24</t>
  </si>
  <si>
    <t>118860-7</t>
  </si>
  <si>
    <t>Brito</t>
  </si>
  <si>
    <t>Luciano</t>
  </si>
  <si>
    <t>107774-A</t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</si>
  <si>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</si>
  <si>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</si>
  <si>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</si>
  <si>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</si>
  <si>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</si>
  <si>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</si>
  <si>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</si>
  <si>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</si>
  <si>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t>VALDERLEY BRITO MOURA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</si>
  <si>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</si>
  <si>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</si>
  <si>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</si>
  <si>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</si>
  <si>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</si>
  <si>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</si>
  <si>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</si>
  <si>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</si>
  <si>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t>A</t>
  </si>
  <si>
    <t>LP</t>
  </si>
  <si>
    <t>F</t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</si>
  <si>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</si>
  <si>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</si>
  <si>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</si>
  <si>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</si>
  <si>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</si>
  <si>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</si>
  <si>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</si>
  <si>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</si>
  <si>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</si>
  <si>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</si>
  <si>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</si>
  <si>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</si>
  <si>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FÉRIAS EM 15ABR26 A 14MAI26 30 DIAS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</si>
  <si>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FOLGA MENSAL EM 07MAI26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</si>
  <si>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DE 04 A05MAI26 EAP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</si>
  <si>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DE 18 A 20MAI26 EAP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</si>
  <si>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DE 18 A 20MAI26 EAP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</si>
  <si>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CONVALESECENCIA A PARTIR DE 07MAI26 DE 01 DIA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</si>
  <si>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EAP DE 11 A 13MAI26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</si>
  <si>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 EM 08MAI26 VISTORIA EM SALTO - SP COM ESCALA ALTERADO DE 08H PARA 11H30 ÀS 21H30.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</si>
  <si>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LP DE 15 DIAS A PARTIR DE 18MAI26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</si>
  <si>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 LP DE 15 DIAS A PARTIR DE 18MAI26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</si>
  <si>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 FOLGA MENSAL EM 25MAI26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</si>
  <si>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FOLGA MENSAL EM 25MAI26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</si>
  <si>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FOLGA MENSAL EM 12MAI26// FOLGA MENSAL EM 26MAI26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</si>
  <si>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28MAI26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</si>
  <si>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DE 04 A05MAI26 EAP //  FOLGA MENSAL EM 28MAI26</t>
    </r>
  </si>
  <si>
    <t>MARCELO BARONE RODRIGUES</t>
  </si>
  <si>
    <t>CB PM Aux Seç Manut Frota</t>
  </si>
  <si>
    <t xml:space="preserve">  REBECA COSTA ANDRADE MELO</t>
  </si>
  <si>
    <t xml:space="preserve">  1º TEN PM Ch Seç Manut Frota int </t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</si>
  <si>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29MAI26</t>
    </r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</si>
  <si>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FOLGA MENSAL EM 27MAI26</t>
    </r>
  </si>
  <si>
    <t>LPLP</t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</si>
  <si>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DS EM 01 E 04MAI26 / / LP DE 05MAI26A 04JUL26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</si>
</sst>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2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0" xfId="21" applyFont="1" applyBorder="1" applyAlignment="1">
      <alignment horizontal="center" vertical="center"/>
    </xf>
    <xf numFmtId="0" fontId="3" fillId="4" borderId="7" xfId="1" applyFont="1" applyFill="1" applyBorder="1"/>
    <xf numFmtId="0" fontId="8" fillId="0" borderId="25" xfId="4" applyFont="1" applyFill="1" applyBorder="1" applyAlignment="1" applyProtection="1">
      <alignment horizontal="center" vertical="center"/>
    </xf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8" fillId="9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8" fillId="9" borderId="25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51" xfId="2" applyFont="1" applyFill="1" applyBorder="1" applyAlignment="1" applyProtection="1">
      <alignment horizontal="center"/>
      <protection locked="0"/>
    </xf>
    <xf numFmtId="0" fontId="2" fillId="2" borderId="50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15" fillId="9" borderId="19" xfId="1" applyNumberFormat="1" applyFont="1" applyFill="1" applyBorder="1" applyAlignment="1" applyProtection="1">
      <alignment horizontal="center" vertical="center"/>
    </xf>
    <xf numFmtId="0" fontId="15" fillId="9" borderId="19" xfId="1" applyNumberFormat="1" applyFont="1" applyFill="1" applyBorder="1" applyAlignment="1" applyProtection="1">
      <alignment horizontal="center" vertical="center"/>
      <protection locked="0"/>
    </xf>
    <xf numFmtId="0" fontId="20" fillId="9" borderId="19" xfId="1" applyNumberFormat="1" applyFont="1" applyFill="1" applyBorder="1" applyAlignment="1" applyProtection="1">
      <alignment horizontal="center" vertical="center"/>
    </xf>
    <xf numFmtId="0" fontId="20" fillId="9" borderId="19" xfId="1" applyNumberFormat="1" applyFont="1" applyFill="1" applyBorder="1" applyAlignment="1" applyProtection="1">
      <alignment horizontal="center" vertical="center"/>
      <protection locked="0"/>
    </xf>
    <xf numFmtId="0" fontId="23" fillId="0" borderId="19" xfId="4" applyFont="1" applyFill="1" applyBorder="1" applyAlignment="1" applyProtection="1">
      <alignment horizontal="center" vertical="center"/>
    </xf>
    <xf numFmtId="0" fontId="24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3" fillId="4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27" fillId="0" borderId="0" xfId="1" applyFont="1" applyFill="1" applyBorder="1" applyAlignment="1" applyProtection="1">
      <alignment horizont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98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5"/>
  <sheetViews>
    <sheetView tabSelected="1" topLeftCell="A7" zoomScale="110" zoomScaleNormal="110" workbookViewId="0">
      <selection activeCell="AN16" sqref="AN16:AP16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69"/>
      <c r="C2" s="171" t="s">
        <v>0</v>
      </c>
      <c r="D2" s="171"/>
      <c r="E2" s="171"/>
      <c r="F2" s="171"/>
      <c r="G2" s="172"/>
      <c r="H2" s="7"/>
      <c r="I2" s="173" t="s">
        <v>1</v>
      </c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5"/>
      <c r="AQ2" s="30"/>
    </row>
    <row r="3" spans="1:43" ht="23.25" x14ac:dyDescent="0.35">
      <c r="A3" s="6"/>
      <c r="B3" s="170"/>
      <c r="C3" s="8"/>
      <c r="D3" s="9" t="s">
        <v>2</v>
      </c>
      <c r="E3" s="10"/>
      <c r="F3" s="8"/>
      <c r="G3" s="11"/>
      <c r="H3" s="7"/>
      <c r="I3" s="176" t="s">
        <v>3</v>
      </c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8" t="s">
        <v>4</v>
      </c>
      <c r="Z3" s="179"/>
      <c r="AA3" s="179"/>
      <c r="AB3" s="179"/>
      <c r="AC3" s="179"/>
      <c r="AD3" s="179"/>
      <c r="AE3" s="179"/>
      <c r="AF3" s="179"/>
      <c r="AG3" s="179"/>
      <c r="AH3" s="180" t="s">
        <v>5</v>
      </c>
      <c r="AI3" s="181"/>
      <c r="AJ3" s="12"/>
      <c r="AK3" s="180" t="s">
        <v>6</v>
      </c>
      <c r="AL3" s="181"/>
      <c r="AM3" s="180" t="s">
        <v>7</v>
      </c>
      <c r="AN3" s="182"/>
      <c r="AO3" s="183"/>
      <c r="AP3" s="13" t="s">
        <v>8</v>
      </c>
    </row>
    <row r="4" spans="1:43" ht="24" customHeight="1" thickBot="1" x14ac:dyDescent="0.3">
      <c r="A4" s="6"/>
      <c r="B4" s="170"/>
      <c r="C4" s="187" t="s">
        <v>9</v>
      </c>
      <c r="D4" s="187"/>
      <c r="E4" s="187"/>
      <c r="F4" s="187"/>
      <c r="G4" s="188"/>
      <c r="H4" s="14" t="s">
        <v>10</v>
      </c>
      <c r="I4" s="184" t="s">
        <v>24</v>
      </c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6"/>
      <c r="Y4" s="185">
        <v>303024100</v>
      </c>
      <c r="Z4" s="185"/>
      <c r="AA4" s="185"/>
      <c r="AB4" s="185"/>
      <c r="AC4" s="185"/>
      <c r="AD4" s="185"/>
      <c r="AE4" s="185"/>
      <c r="AF4" s="185"/>
      <c r="AG4" s="185"/>
      <c r="AH4" s="189">
        <v>5</v>
      </c>
      <c r="AI4" s="190"/>
      <c r="AJ4" s="36">
        <v>9</v>
      </c>
      <c r="AK4" s="189">
        <v>2026</v>
      </c>
      <c r="AL4" s="185"/>
      <c r="AM4" s="191">
        <v>1</v>
      </c>
      <c r="AN4" s="192"/>
      <c r="AO4" s="193"/>
      <c r="AP4" s="62" t="s">
        <v>72</v>
      </c>
    </row>
    <row r="5" spans="1:43" ht="13.5" thickBot="1" x14ac:dyDescent="0.25">
      <c r="A5" s="1"/>
      <c r="B5" s="196" t="s">
        <v>23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8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57" t="s">
        <v>11</v>
      </c>
      <c r="C7" s="159" t="s">
        <v>12</v>
      </c>
      <c r="D7" s="159" t="s">
        <v>13</v>
      </c>
      <c r="E7" s="159" t="s">
        <v>14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99" t="s">
        <v>15</v>
      </c>
      <c r="AL7" s="199"/>
      <c r="AM7" s="199"/>
      <c r="AN7" s="159" t="s">
        <v>16</v>
      </c>
      <c r="AO7" s="159"/>
      <c r="AP7" s="194"/>
    </row>
    <row r="8" spans="1:43" ht="15" x14ac:dyDescent="0.2">
      <c r="A8" s="16"/>
      <c r="B8" s="158"/>
      <c r="C8" s="160"/>
      <c r="D8" s="160"/>
      <c r="E8" s="57">
        <v>1</v>
      </c>
      <c r="F8" s="57">
        <v>2</v>
      </c>
      <c r="G8" s="57">
        <v>3</v>
      </c>
      <c r="H8" s="58">
        <v>4</v>
      </c>
      <c r="I8" s="58">
        <v>5</v>
      </c>
      <c r="J8" s="58">
        <v>6</v>
      </c>
      <c r="K8" s="58">
        <v>7</v>
      </c>
      <c r="L8" s="58">
        <v>8</v>
      </c>
      <c r="M8" s="58">
        <v>9</v>
      </c>
      <c r="N8" s="58">
        <v>10</v>
      </c>
      <c r="O8" s="58">
        <v>11</v>
      </c>
      <c r="P8" s="58">
        <v>12</v>
      </c>
      <c r="Q8" s="58">
        <v>13</v>
      </c>
      <c r="R8" s="58">
        <v>14</v>
      </c>
      <c r="S8" s="58">
        <v>15</v>
      </c>
      <c r="T8" s="58">
        <v>16</v>
      </c>
      <c r="U8" s="58">
        <v>17</v>
      </c>
      <c r="V8" s="58">
        <v>18</v>
      </c>
      <c r="W8" s="58">
        <v>19</v>
      </c>
      <c r="X8" s="58">
        <v>20</v>
      </c>
      <c r="Y8" s="58">
        <v>21</v>
      </c>
      <c r="Z8" s="58">
        <v>22</v>
      </c>
      <c r="AA8" s="58">
        <v>23</v>
      </c>
      <c r="AB8" s="58">
        <v>24</v>
      </c>
      <c r="AC8" s="58">
        <v>25</v>
      </c>
      <c r="AD8" s="58">
        <v>26</v>
      </c>
      <c r="AE8" s="58">
        <v>27</v>
      </c>
      <c r="AF8" s="58">
        <v>28</v>
      </c>
      <c r="AG8" s="58">
        <v>29</v>
      </c>
      <c r="AH8" s="57">
        <v>30</v>
      </c>
      <c r="AI8" s="59">
        <v>31</v>
      </c>
      <c r="AJ8" s="37"/>
      <c r="AK8" s="39" t="s">
        <v>22</v>
      </c>
      <c r="AL8" s="200" t="s">
        <v>21</v>
      </c>
      <c r="AM8" s="200"/>
      <c r="AN8" s="160"/>
      <c r="AO8" s="160"/>
      <c r="AP8" s="195"/>
    </row>
    <row r="9" spans="1:43" ht="15.75" x14ac:dyDescent="0.2">
      <c r="A9" s="16"/>
      <c r="B9" s="47" t="s">
        <v>47</v>
      </c>
      <c r="C9" s="44" t="s">
        <v>25</v>
      </c>
      <c r="D9" s="41" t="s">
        <v>50</v>
      </c>
      <c r="E9" s="53">
        <v>2</v>
      </c>
      <c r="F9" s="76" t="s">
        <v>95</v>
      </c>
      <c r="G9" s="76" t="s">
        <v>95</v>
      </c>
      <c r="H9" s="53" t="s">
        <v>95</v>
      </c>
      <c r="I9" s="53">
        <v>2</v>
      </c>
      <c r="J9" s="54">
        <v>2</v>
      </c>
      <c r="K9" s="53">
        <v>2</v>
      </c>
      <c r="L9" s="53" t="s">
        <v>95</v>
      </c>
      <c r="M9" s="76" t="s">
        <v>95</v>
      </c>
      <c r="N9" s="76" t="s">
        <v>95</v>
      </c>
      <c r="O9" s="53">
        <v>2</v>
      </c>
      <c r="P9" s="53">
        <v>2</v>
      </c>
      <c r="Q9" s="54" t="s">
        <v>95</v>
      </c>
      <c r="R9" s="53">
        <v>2</v>
      </c>
      <c r="S9" s="53">
        <v>2</v>
      </c>
      <c r="T9" s="76" t="s">
        <v>95</v>
      </c>
      <c r="U9" s="76" t="s">
        <v>95</v>
      </c>
      <c r="V9" s="53" t="s">
        <v>95</v>
      </c>
      <c r="W9" s="53">
        <v>2</v>
      </c>
      <c r="X9" s="54">
        <v>2</v>
      </c>
      <c r="Y9" s="53">
        <v>2</v>
      </c>
      <c r="Z9" s="53" t="s">
        <v>95</v>
      </c>
      <c r="AA9" s="80" t="s">
        <v>95</v>
      </c>
      <c r="AB9" s="80" t="s">
        <v>95</v>
      </c>
      <c r="AC9" s="55">
        <v>2</v>
      </c>
      <c r="AD9" s="55">
        <v>2</v>
      </c>
      <c r="AE9" s="55" t="s">
        <v>95</v>
      </c>
      <c r="AF9" s="88" t="s">
        <v>95</v>
      </c>
      <c r="AG9" s="55">
        <v>2</v>
      </c>
      <c r="AH9" s="91" t="s">
        <v>95</v>
      </c>
      <c r="AI9" s="92" t="s">
        <v>95</v>
      </c>
      <c r="AJ9" s="37"/>
      <c r="AK9" s="39">
        <f>COUNTIF(E9:AI9,"0")*0+COUNTIF(E9:AI9,"1")*1+COUNTIF(E9:AI9,"2")*2+COUNTIF(E9:AI9,"3")*3</f>
        <v>28</v>
      </c>
      <c r="AL9" s="104">
        <f>COUNTIF(E9:AI9,"0")*1+COUNTIF(E9:AI9,"1")*1+COUNTIF(E9:AI9,"2")*1+COUNTIF(E9:AI9,"3")*1</f>
        <v>14</v>
      </c>
      <c r="AM9" s="104"/>
      <c r="AN9" s="161"/>
      <c r="AO9" s="162"/>
      <c r="AP9" s="163"/>
    </row>
    <row r="10" spans="1:43" ht="15.75" x14ac:dyDescent="0.2">
      <c r="A10" s="16"/>
      <c r="B10" s="47" t="s">
        <v>47</v>
      </c>
      <c r="C10" s="43" t="s">
        <v>26</v>
      </c>
      <c r="D10" s="41" t="s">
        <v>51</v>
      </c>
      <c r="E10" s="86" t="s">
        <v>95</v>
      </c>
      <c r="F10" s="76" t="s">
        <v>95</v>
      </c>
      <c r="G10" s="77" t="s">
        <v>95</v>
      </c>
      <c r="H10" s="53" t="s">
        <v>95</v>
      </c>
      <c r="I10" s="53">
        <v>1</v>
      </c>
      <c r="J10" s="54">
        <v>1</v>
      </c>
      <c r="K10" s="53">
        <v>1</v>
      </c>
      <c r="L10" s="53">
        <v>1</v>
      </c>
      <c r="M10" s="76" t="s">
        <v>95</v>
      </c>
      <c r="N10" s="76" t="s">
        <v>95</v>
      </c>
      <c r="O10" s="86">
        <v>1</v>
      </c>
      <c r="P10" s="86">
        <v>1</v>
      </c>
      <c r="Q10" s="86">
        <v>1</v>
      </c>
      <c r="R10" s="53">
        <v>1</v>
      </c>
      <c r="S10" s="53" t="s">
        <v>95</v>
      </c>
      <c r="T10" s="76" t="s">
        <v>95</v>
      </c>
      <c r="U10" s="76" t="s">
        <v>95</v>
      </c>
      <c r="V10" s="53" t="s">
        <v>95</v>
      </c>
      <c r="W10" s="53">
        <v>1</v>
      </c>
      <c r="X10" s="54">
        <v>1</v>
      </c>
      <c r="Y10" s="95">
        <v>1</v>
      </c>
      <c r="Z10" s="53">
        <v>1</v>
      </c>
      <c r="AA10" s="80" t="s">
        <v>95</v>
      </c>
      <c r="AB10" s="80" t="s">
        <v>95</v>
      </c>
      <c r="AC10" s="55" t="s">
        <v>95</v>
      </c>
      <c r="AD10" s="55">
        <v>1</v>
      </c>
      <c r="AE10" s="55">
        <v>1</v>
      </c>
      <c r="AF10" s="55">
        <v>1</v>
      </c>
      <c r="AG10" s="55">
        <v>1</v>
      </c>
      <c r="AH10" s="91" t="s">
        <v>95</v>
      </c>
      <c r="AI10" s="92" t="s">
        <v>95</v>
      </c>
      <c r="AJ10" s="37"/>
      <c r="AK10" s="39">
        <f t="shared" ref="AK10:AK20" si="0">COUNTIF(E10:AI10,"0")*0+COUNTIF(E10:AI10,"1")*1+COUNTIF(E10:AI10,"2")*2+COUNTIF(E10:AI10,"3")*3</f>
        <v>16</v>
      </c>
      <c r="AL10" s="104">
        <f t="shared" ref="AL10:AL20" si="1">COUNTIF(E10:AI10,"0")*1+COUNTIF(E10:AI10,"1")*1+COUNTIF(E10:AI10,"2")*1+COUNTIF(E10:AI10,"3")*1</f>
        <v>16</v>
      </c>
      <c r="AM10" s="104"/>
      <c r="AN10" s="161"/>
      <c r="AO10" s="162"/>
      <c r="AP10" s="163"/>
    </row>
    <row r="11" spans="1:43" ht="15.75" x14ac:dyDescent="0.2">
      <c r="A11" s="16"/>
      <c r="B11" s="47" t="s">
        <v>47</v>
      </c>
      <c r="C11" s="43" t="s">
        <v>74</v>
      </c>
      <c r="D11" s="41" t="s">
        <v>75</v>
      </c>
      <c r="E11" s="53">
        <v>2</v>
      </c>
      <c r="F11" s="76" t="s">
        <v>95</v>
      </c>
      <c r="G11" s="76" t="s">
        <v>95</v>
      </c>
      <c r="H11" s="53" t="s">
        <v>95</v>
      </c>
      <c r="I11" s="53">
        <v>2</v>
      </c>
      <c r="J11" s="54">
        <v>2</v>
      </c>
      <c r="K11" s="86" t="s">
        <v>95</v>
      </c>
      <c r="L11" s="54" t="s">
        <v>95</v>
      </c>
      <c r="M11" s="77" t="s">
        <v>95</v>
      </c>
      <c r="N11" s="77" t="s">
        <v>95</v>
      </c>
      <c r="O11" s="53" t="s">
        <v>95</v>
      </c>
      <c r="P11" s="53">
        <v>2</v>
      </c>
      <c r="Q11" s="54">
        <v>2</v>
      </c>
      <c r="R11" s="53">
        <v>2</v>
      </c>
      <c r="S11" s="86" t="s">
        <v>95</v>
      </c>
      <c r="T11" s="76" t="s">
        <v>95</v>
      </c>
      <c r="U11" s="76" t="s">
        <v>95</v>
      </c>
      <c r="V11" s="53" t="s">
        <v>95</v>
      </c>
      <c r="W11" s="53">
        <v>2</v>
      </c>
      <c r="X11" s="54">
        <v>2</v>
      </c>
      <c r="Y11" s="53">
        <v>2</v>
      </c>
      <c r="Z11" s="53" t="s">
        <v>95</v>
      </c>
      <c r="AA11" s="80" t="s">
        <v>95</v>
      </c>
      <c r="AB11" s="80" t="s">
        <v>95</v>
      </c>
      <c r="AC11" s="55">
        <v>2</v>
      </c>
      <c r="AD11" s="55">
        <v>2</v>
      </c>
      <c r="AE11" s="55">
        <v>2</v>
      </c>
      <c r="AF11" s="55">
        <v>2</v>
      </c>
      <c r="AG11" s="55" t="s">
        <v>95</v>
      </c>
      <c r="AH11" s="91" t="s">
        <v>95</v>
      </c>
      <c r="AI11" s="92" t="s">
        <v>95</v>
      </c>
      <c r="AJ11" s="37"/>
      <c r="AK11" s="69">
        <f t="shared" si="0"/>
        <v>26</v>
      </c>
      <c r="AL11" s="104">
        <f t="shared" ref="AL11:AL12" si="2">COUNTIF(E11:AI11,"0")*1+COUNTIF(E11:AI11,"1")*1+COUNTIF(E11:AI11,"2")*1+COUNTIF(E11:AI11,"3")*1</f>
        <v>13</v>
      </c>
      <c r="AM11" s="104"/>
      <c r="AN11" s="161"/>
      <c r="AO11" s="162"/>
      <c r="AP11" s="163"/>
    </row>
    <row r="12" spans="1:43" ht="15.75" x14ac:dyDescent="0.2">
      <c r="A12" s="16"/>
      <c r="B12" s="47" t="s">
        <v>47</v>
      </c>
      <c r="C12" s="43" t="s">
        <v>77</v>
      </c>
      <c r="D12" s="41" t="s">
        <v>76</v>
      </c>
      <c r="E12" s="53" t="s">
        <v>95</v>
      </c>
      <c r="F12" s="76" t="s">
        <v>95</v>
      </c>
      <c r="G12" s="76" t="s">
        <v>95</v>
      </c>
      <c r="H12" s="53">
        <v>2</v>
      </c>
      <c r="I12" s="53">
        <v>2</v>
      </c>
      <c r="J12" s="54" t="s">
        <v>95</v>
      </c>
      <c r="K12" s="53">
        <v>2</v>
      </c>
      <c r="L12" s="53">
        <v>2</v>
      </c>
      <c r="M12" s="76" t="s">
        <v>95</v>
      </c>
      <c r="N12" s="76" t="s">
        <v>95</v>
      </c>
      <c r="O12" s="53" t="s">
        <v>95</v>
      </c>
      <c r="P12" s="53">
        <v>2</v>
      </c>
      <c r="Q12" s="54">
        <v>2</v>
      </c>
      <c r="R12" s="53">
        <v>2</v>
      </c>
      <c r="S12" s="53" t="s">
        <v>95</v>
      </c>
      <c r="T12" s="76" t="s">
        <v>95</v>
      </c>
      <c r="U12" s="76" t="s">
        <v>95</v>
      </c>
      <c r="V12" s="53">
        <v>2</v>
      </c>
      <c r="W12" s="53">
        <v>2</v>
      </c>
      <c r="X12" s="54" t="s">
        <v>95</v>
      </c>
      <c r="Y12" s="53">
        <v>2</v>
      </c>
      <c r="Z12" s="53">
        <v>2</v>
      </c>
      <c r="AA12" s="80" t="s">
        <v>95</v>
      </c>
      <c r="AB12" s="80" t="s">
        <v>95</v>
      </c>
      <c r="AC12" s="55" t="s">
        <v>95</v>
      </c>
      <c r="AD12" s="55" t="s">
        <v>95</v>
      </c>
      <c r="AE12" s="88" t="s">
        <v>95</v>
      </c>
      <c r="AF12" s="55">
        <v>2</v>
      </c>
      <c r="AG12" s="55">
        <v>2</v>
      </c>
      <c r="AH12" s="91" t="s">
        <v>95</v>
      </c>
      <c r="AI12" s="92" t="s">
        <v>95</v>
      </c>
      <c r="AJ12" s="37"/>
      <c r="AK12" s="69">
        <f t="shared" si="0"/>
        <v>26</v>
      </c>
      <c r="AL12" s="104">
        <f t="shared" si="2"/>
        <v>13</v>
      </c>
      <c r="AM12" s="104"/>
      <c r="AN12" s="161"/>
      <c r="AO12" s="162"/>
      <c r="AP12" s="163"/>
    </row>
    <row r="13" spans="1:43" ht="15.75" x14ac:dyDescent="0.2">
      <c r="A13" s="16"/>
      <c r="B13" s="47" t="s">
        <v>48</v>
      </c>
      <c r="C13" s="43" t="s">
        <v>27</v>
      </c>
      <c r="D13" s="41" t="s">
        <v>52</v>
      </c>
      <c r="E13" s="53" t="s">
        <v>95</v>
      </c>
      <c r="F13" s="76" t="s">
        <v>95</v>
      </c>
      <c r="G13" s="76" t="s">
        <v>95</v>
      </c>
      <c r="H13" s="53">
        <v>2</v>
      </c>
      <c r="I13" s="53">
        <v>2</v>
      </c>
      <c r="J13" s="54" t="s">
        <v>95</v>
      </c>
      <c r="K13" s="53">
        <v>2</v>
      </c>
      <c r="L13" s="53">
        <v>2</v>
      </c>
      <c r="M13" s="76" t="s">
        <v>95</v>
      </c>
      <c r="N13" s="76" t="s">
        <v>95</v>
      </c>
      <c r="O13" s="53" t="s">
        <v>95</v>
      </c>
      <c r="P13" s="53">
        <v>2</v>
      </c>
      <c r="Q13" s="54">
        <v>2</v>
      </c>
      <c r="R13" s="54">
        <v>2</v>
      </c>
      <c r="S13" s="95" t="s">
        <v>95</v>
      </c>
      <c r="T13" s="76" t="s">
        <v>95</v>
      </c>
      <c r="U13" s="76" t="s">
        <v>95</v>
      </c>
      <c r="V13" s="53">
        <v>2</v>
      </c>
      <c r="W13" s="53">
        <v>2</v>
      </c>
      <c r="X13" s="54" t="s">
        <v>95</v>
      </c>
      <c r="Y13" s="53">
        <v>2</v>
      </c>
      <c r="Z13" s="96" t="s">
        <v>95</v>
      </c>
      <c r="AA13" s="80" t="s">
        <v>95</v>
      </c>
      <c r="AB13" s="80" t="s">
        <v>95</v>
      </c>
      <c r="AC13" s="55" t="s">
        <v>95</v>
      </c>
      <c r="AD13" s="55">
        <v>2</v>
      </c>
      <c r="AE13" s="55">
        <v>2</v>
      </c>
      <c r="AF13" s="55">
        <v>2</v>
      </c>
      <c r="AG13" s="55" t="s">
        <v>95</v>
      </c>
      <c r="AH13" s="91" t="s">
        <v>95</v>
      </c>
      <c r="AI13" s="92" t="s">
        <v>95</v>
      </c>
      <c r="AJ13" s="37"/>
      <c r="AK13" s="39">
        <f t="shared" si="0"/>
        <v>26</v>
      </c>
      <c r="AL13" s="104">
        <f t="shared" si="1"/>
        <v>13</v>
      </c>
      <c r="AM13" s="104"/>
      <c r="AN13" s="161"/>
      <c r="AO13" s="162"/>
      <c r="AP13" s="163"/>
    </row>
    <row r="14" spans="1:43" ht="15.75" x14ac:dyDescent="0.2">
      <c r="A14" s="16"/>
      <c r="B14" s="47" t="s">
        <v>48</v>
      </c>
      <c r="C14" s="43" t="s">
        <v>28</v>
      </c>
      <c r="D14" s="41" t="s">
        <v>53</v>
      </c>
      <c r="E14" s="53">
        <v>2</v>
      </c>
      <c r="F14" s="76" t="s">
        <v>95</v>
      </c>
      <c r="G14" s="76" t="s">
        <v>95</v>
      </c>
      <c r="H14" s="54" t="s">
        <v>95</v>
      </c>
      <c r="I14" s="53">
        <v>2</v>
      </c>
      <c r="J14" s="54">
        <v>2</v>
      </c>
      <c r="K14" s="86" t="s">
        <v>95</v>
      </c>
      <c r="L14" s="53" t="s">
        <v>95</v>
      </c>
      <c r="M14" s="76" t="s">
        <v>95</v>
      </c>
      <c r="N14" s="76" t="s">
        <v>95</v>
      </c>
      <c r="O14" s="54">
        <v>2</v>
      </c>
      <c r="P14" s="53">
        <v>2</v>
      </c>
      <c r="Q14" s="54" t="s">
        <v>95</v>
      </c>
      <c r="R14" s="53">
        <v>2</v>
      </c>
      <c r="S14" s="53">
        <v>2</v>
      </c>
      <c r="T14" s="76" t="s">
        <v>95</v>
      </c>
      <c r="U14" s="76" t="s">
        <v>95</v>
      </c>
      <c r="V14" s="53">
        <v>2</v>
      </c>
      <c r="W14" s="53">
        <v>2</v>
      </c>
      <c r="X14" s="54">
        <v>2</v>
      </c>
      <c r="Y14" s="53" t="s">
        <v>95</v>
      </c>
      <c r="Z14" s="53" t="s">
        <v>95</v>
      </c>
      <c r="AA14" s="80" t="s">
        <v>95</v>
      </c>
      <c r="AB14" s="80" t="s">
        <v>95</v>
      </c>
      <c r="AC14" s="55">
        <v>2</v>
      </c>
      <c r="AD14" s="55">
        <v>2</v>
      </c>
      <c r="AE14" s="55" t="s">
        <v>95</v>
      </c>
      <c r="AF14" s="55">
        <v>2</v>
      </c>
      <c r="AG14" s="55">
        <v>2</v>
      </c>
      <c r="AH14" s="91" t="s">
        <v>95</v>
      </c>
      <c r="AI14" s="92" t="s">
        <v>95</v>
      </c>
      <c r="AJ14" s="37"/>
      <c r="AK14" s="39">
        <f t="shared" si="0"/>
        <v>28</v>
      </c>
      <c r="AL14" s="104">
        <f t="shared" si="1"/>
        <v>14</v>
      </c>
      <c r="AM14" s="104"/>
      <c r="AN14" s="161"/>
      <c r="AO14" s="162"/>
      <c r="AP14" s="163"/>
    </row>
    <row r="15" spans="1:43" ht="15.75" x14ac:dyDescent="0.2">
      <c r="A15" s="16"/>
      <c r="B15" s="47" t="s">
        <v>48</v>
      </c>
      <c r="C15" s="43" t="s">
        <v>29</v>
      </c>
      <c r="D15" s="41" t="s">
        <v>54</v>
      </c>
      <c r="E15" s="53" t="s">
        <v>95</v>
      </c>
      <c r="F15" s="76" t="s">
        <v>95</v>
      </c>
      <c r="G15" s="76" t="s">
        <v>95</v>
      </c>
      <c r="H15" s="53">
        <v>2</v>
      </c>
      <c r="I15" s="53">
        <v>2</v>
      </c>
      <c r="J15" s="54" t="s">
        <v>95</v>
      </c>
      <c r="K15" s="54">
        <v>2</v>
      </c>
      <c r="L15" s="54">
        <v>2</v>
      </c>
      <c r="M15" s="77" t="s">
        <v>95</v>
      </c>
      <c r="N15" s="77" t="s">
        <v>95</v>
      </c>
      <c r="O15" s="54" t="s">
        <v>95</v>
      </c>
      <c r="P15" s="54">
        <v>2</v>
      </c>
      <c r="Q15" s="54">
        <v>2</v>
      </c>
      <c r="R15" s="54">
        <v>2</v>
      </c>
      <c r="S15" s="53" t="s">
        <v>95</v>
      </c>
      <c r="T15" s="76" t="s">
        <v>95</v>
      </c>
      <c r="U15" s="76" t="s">
        <v>95</v>
      </c>
      <c r="V15" s="86" t="s">
        <v>96</v>
      </c>
      <c r="W15" s="86" t="s">
        <v>96</v>
      </c>
      <c r="X15" s="86" t="s">
        <v>96</v>
      </c>
      <c r="Y15" s="86" t="s">
        <v>96</v>
      </c>
      <c r="Z15" s="86" t="s">
        <v>96</v>
      </c>
      <c r="AA15" s="90" t="s">
        <v>96</v>
      </c>
      <c r="AB15" s="90" t="s">
        <v>96</v>
      </c>
      <c r="AC15" s="88" t="s">
        <v>96</v>
      </c>
      <c r="AD15" s="88" t="s">
        <v>96</v>
      </c>
      <c r="AE15" s="88" t="s">
        <v>96</v>
      </c>
      <c r="AF15" s="88" t="s">
        <v>96</v>
      </c>
      <c r="AG15" s="88" t="s">
        <v>96</v>
      </c>
      <c r="AH15" s="93" t="s">
        <v>96</v>
      </c>
      <c r="AI15" s="94" t="s">
        <v>96</v>
      </c>
      <c r="AJ15" s="37"/>
      <c r="AK15" s="39">
        <f t="shared" si="0"/>
        <v>14</v>
      </c>
      <c r="AL15" s="104">
        <f t="shared" si="1"/>
        <v>7</v>
      </c>
      <c r="AM15" s="104"/>
      <c r="AN15" s="161"/>
      <c r="AO15" s="162"/>
      <c r="AP15" s="163"/>
    </row>
    <row r="16" spans="1:43" ht="15.75" x14ac:dyDescent="0.2">
      <c r="A16" s="16"/>
      <c r="B16" s="47" t="s">
        <v>48</v>
      </c>
      <c r="C16" s="45" t="s">
        <v>30</v>
      </c>
      <c r="D16" s="41" t="s">
        <v>55</v>
      </c>
      <c r="E16" s="86" t="s">
        <v>95</v>
      </c>
      <c r="F16" s="77" t="s">
        <v>95</v>
      </c>
      <c r="G16" s="77" t="s">
        <v>95</v>
      </c>
      <c r="H16" s="86" t="s">
        <v>95</v>
      </c>
      <c r="I16" s="86" t="s">
        <v>96</v>
      </c>
      <c r="J16" s="86" t="s">
        <v>96</v>
      </c>
      <c r="K16" s="86" t="s">
        <v>96</v>
      </c>
      <c r="L16" s="86" t="s">
        <v>96</v>
      </c>
      <c r="M16" s="87" t="s">
        <v>96</v>
      </c>
      <c r="N16" s="87" t="s">
        <v>96</v>
      </c>
      <c r="O16" s="86" t="s">
        <v>96</v>
      </c>
      <c r="P16" s="86" t="s">
        <v>96</v>
      </c>
      <c r="Q16" s="86" t="s">
        <v>96</v>
      </c>
      <c r="R16" s="86" t="s">
        <v>96</v>
      </c>
      <c r="S16" s="86" t="s">
        <v>96</v>
      </c>
      <c r="T16" s="87" t="s">
        <v>96</v>
      </c>
      <c r="U16" s="87" t="s">
        <v>96</v>
      </c>
      <c r="V16" s="86" t="s">
        <v>96</v>
      </c>
      <c r="W16" s="86" t="s">
        <v>96</v>
      </c>
      <c r="X16" s="86" t="s">
        <v>96</v>
      </c>
      <c r="Y16" s="86" t="s">
        <v>96</v>
      </c>
      <c r="Z16" s="86" t="s">
        <v>96</v>
      </c>
      <c r="AA16" s="90" t="s">
        <v>96</v>
      </c>
      <c r="AB16" s="90" t="s">
        <v>96</v>
      </c>
      <c r="AC16" s="88" t="s">
        <v>96</v>
      </c>
      <c r="AD16" s="88" t="s">
        <v>96</v>
      </c>
      <c r="AE16" s="88" t="s">
        <v>96</v>
      </c>
      <c r="AF16" s="88" t="s">
        <v>131</v>
      </c>
      <c r="AG16" s="88" t="s">
        <v>96</v>
      </c>
      <c r="AH16" s="93" t="s">
        <v>96</v>
      </c>
      <c r="AI16" s="94" t="s">
        <v>96</v>
      </c>
      <c r="AJ16" s="37"/>
      <c r="AK16" s="39">
        <f t="shared" si="0"/>
        <v>0</v>
      </c>
      <c r="AL16" s="104">
        <f t="shared" si="1"/>
        <v>0</v>
      </c>
      <c r="AM16" s="104"/>
      <c r="AN16" s="161"/>
      <c r="AO16" s="162"/>
      <c r="AP16" s="163"/>
    </row>
    <row r="17" spans="1:42" ht="15.75" x14ac:dyDescent="0.2">
      <c r="A17" s="16"/>
      <c r="B17" s="47" t="s">
        <v>48</v>
      </c>
      <c r="C17" s="45" t="s">
        <v>31</v>
      </c>
      <c r="D17" s="41" t="s">
        <v>56</v>
      </c>
      <c r="E17" s="53">
        <v>2</v>
      </c>
      <c r="F17" s="76" t="s">
        <v>95</v>
      </c>
      <c r="G17" s="76" t="s">
        <v>95</v>
      </c>
      <c r="H17" s="53" t="s">
        <v>95</v>
      </c>
      <c r="I17" s="53">
        <v>2</v>
      </c>
      <c r="J17" s="53">
        <v>2</v>
      </c>
      <c r="K17" s="53">
        <v>2</v>
      </c>
      <c r="L17" s="53" t="s">
        <v>95</v>
      </c>
      <c r="M17" s="76" t="s">
        <v>95</v>
      </c>
      <c r="N17" s="76" t="s">
        <v>95</v>
      </c>
      <c r="O17" s="53">
        <v>2</v>
      </c>
      <c r="P17" s="53">
        <v>2</v>
      </c>
      <c r="Q17" s="53">
        <v>2</v>
      </c>
      <c r="R17" s="53" t="s">
        <v>95</v>
      </c>
      <c r="S17" s="53">
        <v>2</v>
      </c>
      <c r="T17" s="76" t="s">
        <v>95</v>
      </c>
      <c r="U17" s="76" t="s">
        <v>95</v>
      </c>
      <c r="V17" s="53" t="s">
        <v>95</v>
      </c>
      <c r="W17" s="53">
        <v>2</v>
      </c>
      <c r="X17" s="53">
        <v>2</v>
      </c>
      <c r="Y17" s="53">
        <v>2</v>
      </c>
      <c r="Z17" s="53" t="s">
        <v>95</v>
      </c>
      <c r="AA17" s="80" t="s">
        <v>95</v>
      </c>
      <c r="AB17" s="80" t="s">
        <v>95</v>
      </c>
      <c r="AC17" s="88" t="s">
        <v>95</v>
      </c>
      <c r="AD17" s="55" t="s">
        <v>95</v>
      </c>
      <c r="AE17" s="55">
        <v>2</v>
      </c>
      <c r="AF17" s="55">
        <v>2</v>
      </c>
      <c r="AG17" s="55">
        <v>2</v>
      </c>
      <c r="AH17" s="91" t="s">
        <v>95</v>
      </c>
      <c r="AI17" s="92" t="s">
        <v>95</v>
      </c>
      <c r="AJ17" s="37"/>
      <c r="AK17" s="39">
        <f t="shared" si="0"/>
        <v>28</v>
      </c>
      <c r="AL17" s="104">
        <f t="shared" si="1"/>
        <v>14</v>
      </c>
      <c r="AM17" s="104"/>
      <c r="AN17" s="161"/>
      <c r="AO17" s="162"/>
      <c r="AP17" s="163"/>
    </row>
    <row r="18" spans="1:42" ht="15.75" x14ac:dyDescent="0.2">
      <c r="A18" s="16"/>
      <c r="B18" s="47" t="s">
        <v>48</v>
      </c>
      <c r="C18" s="43" t="s">
        <v>32</v>
      </c>
      <c r="D18" s="41" t="s">
        <v>57</v>
      </c>
      <c r="E18" s="53" t="s">
        <v>95</v>
      </c>
      <c r="F18" s="76" t="s">
        <v>95</v>
      </c>
      <c r="G18" s="76" t="s">
        <v>95</v>
      </c>
      <c r="H18" s="53">
        <v>2</v>
      </c>
      <c r="I18" s="53">
        <v>2</v>
      </c>
      <c r="J18" s="54" t="s">
        <v>95</v>
      </c>
      <c r="K18" s="53">
        <v>2</v>
      </c>
      <c r="L18" s="53">
        <v>2</v>
      </c>
      <c r="M18" s="76" t="s">
        <v>95</v>
      </c>
      <c r="N18" s="76" t="s">
        <v>95</v>
      </c>
      <c r="O18" s="53" t="s">
        <v>95</v>
      </c>
      <c r="P18" s="53">
        <v>2</v>
      </c>
      <c r="Q18" s="54">
        <v>2</v>
      </c>
      <c r="R18" s="54">
        <v>2</v>
      </c>
      <c r="S18" s="54" t="s">
        <v>95</v>
      </c>
      <c r="T18" s="76" t="s">
        <v>95</v>
      </c>
      <c r="U18" s="76" t="s">
        <v>95</v>
      </c>
      <c r="V18" s="86" t="s">
        <v>96</v>
      </c>
      <c r="W18" s="86" t="s">
        <v>96</v>
      </c>
      <c r="X18" s="86" t="s">
        <v>96</v>
      </c>
      <c r="Y18" s="86" t="s">
        <v>96</v>
      </c>
      <c r="Z18" s="86" t="s">
        <v>96</v>
      </c>
      <c r="AA18" s="90" t="s">
        <v>96</v>
      </c>
      <c r="AB18" s="90" t="s">
        <v>96</v>
      </c>
      <c r="AC18" s="88" t="s">
        <v>96</v>
      </c>
      <c r="AD18" s="88" t="s">
        <v>96</v>
      </c>
      <c r="AE18" s="88" t="s">
        <v>96</v>
      </c>
      <c r="AF18" s="88" t="s">
        <v>96</v>
      </c>
      <c r="AG18" s="88" t="s">
        <v>96</v>
      </c>
      <c r="AH18" s="93" t="s">
        <v>96</v>
      </c>
      <c r="AI18" s="94" t="s">
        <v>96</v>
      </c>
      <c r="AJ18" s="37"/>
      <c r="AK18" s="39">
        <f t="shared" si="0"/>
        <v>14</v>
      </c>
      <c r="AL18" s="104">
        <f t="shared" si="1"/>
        <v>7</v>
      </c>
      <c r="AM18" s="104"/>
      <c r="AN18" s="161"/>
      <c r="AO18" s="162"/>
      <c r="AP18" s="163"/>
    </row>
    <row r="19" spans="1:42" ht="15.75" x14ac:dyDescent="0.2">
      <c r="A19" s="16"/>
      <c r="B19" s="47" t="s">
        <v>48</v>
      </c>
      <c r="C19" s="45" t="s">
        <v>33</v>
      </c>
      <c r="D19" s="41" t="s">
        <v>58</v>
      </c>
      <c r="E19" s="53" t="s">
        <v>95</v>
      </c>
      <c r="F19" s="76" t="s">
        <v>95</v>
      </c>
      <c r="G19" s="76" t="s">
        <v>95</v>
      </c>
      <c r="H19" s="53">
        <v>2</v>
      </c>
      <c r="I19" s="53">
        <v>2</v>
      </c>
      <c r="J19" s="54" t="s">
        <v>95</v>
      </c>
      <c r="K19" s="53">
        <v>2</v>
      </c>
      <c r="L19" s="53">
        <v>2</v>
      </c>
      <c r="M19" s="76" t="s">
        <v>95</v>
      </c>
      <c r="N19" s="76" t="s">
        <v>95</v>
      </c>
      <c r="O19" s="53" t="s">
        <v>95</v>
      </c>
      <c r="P19" s="53">
        <v>2</v>
      </c>
      <c r="Q19" s="54">
        <v>2</v>
      </c>
      <c r="R19" s="53">
        <v>2</v>
      </c>
      <c r="S19" s="53" t="s">
        <v>95</v>
      </c>
      <c r="T19" s="77" t="s">
        <v>95</v>
      </c>
      <c r="U19" s="76" t="s">
        <v>95</v>
      </c>
      <c r="V19" s="53">
        <v>2</v>
      </c>
      <c r="W19" s="53">
        <v>2</v>
      </c>
      <c r="X19" s="54" t="s">
        <v>95</v>
      </c>
      <c r="Y19" s="86" t="s">
        <v>95</v>
      </c>
      <c r="Z19" s="53">
        <v>2</v>
      </c>
      <c r="AA19" s="80" t="s">
        <v>95</v>
      </c>
      <c r="AB19" s="80" t="s">
        <v>95</v>
      </c>
      <c r="AC19" s="55" t="s">
        <v>95</v>
      </c>
      <c r="AD19" s="55">
        <v>2</v>
      </c>
      <c r="AE19" s="55">
        <v>2</v>
      </c>
      <c r="AF19" s="55">
        <v>2</v>
      </c>
      <c r="AG19" s="55" t="s">
        <v>95</v>
      </c>
      <c r="AH19" s="91" t="s">
        <v>95</v>
      </c>
      <c r="AI19" s="92" t="s">
        <v>95</v>
      </c>
      <c r="AJ19" s="37"/>
      <c r="AK19" s="39">
        <f t="shared" si="0"/>
        <v>26</v>
      </c>
      <c r="AL19" s="104">
        <f t="shared" si="1"/>
        <v>13</v>
      </c>
      <c r="AM19" s="104"/>
      <c r="AN19" s="161"/>
      <c r="AO19" s="162"/>
      <c r="AP19" s="163"/>
    </row>
    <row r="20" spans="1:42" ht="15.75" x14ac:dyDescent="0.2">
      <c r="A20" s="16"/>
      <c r="B20" s="47" t="s">
        <v>48</v>
      </c>
      <c r="C20" s="45" t="s">
        <v>34</v>
      </c>
      <c r="D20" s="41" t="s">
        <v>59</v>
      </c>
      <c r="E20" s="53">
        <v>2</v>
      </c>
      <c r="F20" s="76" t="s">
        <v>95</v>
      </c>
      <c r="G20" s="76" t="s">
        <v>95</v>
      </c>
      <c r="H20" s="53">
        <v>2</v>
      </c>
      <c r="I20" s="53">
        <v>2</v>
      </c>
      <c r="J20" s="53" t="s">
        <v>95</v>
      </c>
      <c r="K20" s="53">
        <v>2</v>
      </c>
      <c r="L20" s="53">
        <v>2</v>
      </c>
      <c r="M20" s="76" t="s">
        <v>95</v>
      </c>
      <c r="N20" s="76" t="s">
        <v>95</v>
      </c>
      <c r="O20" s="53" t="s">
        <v>95</v>
      </c>
      <c r="P20" s="53">
        <v>2</v>
      </c>
      <c r="Q20" s="54">
        <v>2</v>
      </c>
      <c r="R20" s="53">
        <v>2</v>
      </c>
      <c r="S20" s="53" t="s">
        <v>95</v>
      </c>
      <c r="T20" s="77" t="s">
        <v>95</v>
      </c>
      <c r="U20" s="76" t="s">
        <v>95</v>
      </c>
      <c r="V20" s="53">
        <v>2</v>
      </c>
      <c r="W20" s="86" t="s">
        <v>95</v>
      </c>
      <c r="X20" s="54" t="s">
        <v>95</v>
      </c>
      <c r="Y20" s="53">
        <v>2</v>
      </c>
      <c r="Z20" s="53">
        <v>2</v>
      </c>
      <c r="AA20" s="80" t="s">
        <v>95</v>
      </c>
      <c r="AB20" s="80" t="s">
        <v>95</v>
      </c>
      <c r="AC20" s="55" t="s">
        <v>95</v>
      </c>
      <c r="AD20" s="55">
        <v>2</v>
      </c>
      <c r="AE20" s="55">
        <v>2</v>
      </c>
      <c r="AF20" s="55">
        <v>2</v>
      </c>
      <c r="AG20" s="55" t="s">
        <v>95</v>
      </c>
      <c r="AH20" s="91" t="s">
        <v>95</v>
      </c>
      <c r="AI20" s="92" t="s">
        <v>95</v>
      </c>
      <c r="AJ20" s="37"/>
      <c r="AK20" s="39">
        <f t="shared" si="0"/>
        <v>28</v>
      </c>
      <c r="AL20" s="104">
        <f t="shared" si="1"/>
        <v>14</v>
      </c>
      <c r="AM20" s="104"/>
      <c r="AN20" s="161"/>
      <c r="AO20" s="162"/>
      <c r="AP20" s="163"/>
    </row>
    <row r="21" spans="1:42" ht="15.75" x14ac:dyDescent="0.2">
      <c r="A21" s="16"/>
      <c r="B21" s="47" t="s">
        <v>48</v>
      </c>
      <c r="C21" s="46" t="s">
        <v>35</v>
      </c>
      <c r="D21" s="42" t="s">
        <v>60</v>
      </c>
      <c r="E21" s="54">
        <v>2</v>
      </c>
      <c r="F21" s="77" t="s">
        <v>95</v>
      </c>
      <c r="G21" s="77" t="s">
        <v>95</v>
      </c>
      <c r="H21" s="54" t="s">
        <v>95</v>
      </c>
      <c r="I21" s="54">
        <v>2</v>
      </c>
      <c r="J21" s="54">
        <v>2</v>
      </c>
      <c r="K21" s="53">
        <v>2</v>
      </c>
      <c r="L21" s="53" t="s">
        <v>95</v>
      </c>
      <c r="M21" s="77" t="s">
        <v>95</v>
      </c>
      <c r="N21" s="76" t="s">
        <v>95</v>
      </c>
      <c r="O21" s="53">
        <v>2</v>
      </c>
      <c r="P21" s="53">
        <v>2</v>
      </c>
      <c r="Q21" s="53" t="s">
        <v>95</v>
      </c>
      <c r="R21" s="53">
        <v>2</v>
      </c>
      <c r="S21" s="53">
        <v>2</v>
      </c>
      <c r="T21" s="77" t="s">
        <v>95</v>
      </c>
      <c r="U21" s="76" t="s">
        <v>95</v>
      </c>
      <c r="V21" s="53" t="s">
        <v>95</v>
      </c>
      <c r="W21" s="53">
        <v>2</v>
      </c>
      <c r="X21" s="54">
        <v>2</v>
      </c>
      <c r="Y21" s="54">
        <v>2</v>
      </c>
      <c r="Z21" s="53" t="s">
        <v>95</v>
      </c>
      <c r="AA21" s="81" t="s">
        <v>95</v>
      </c>
      <c r="AB21" s="81" t="s">
        <v>95</v>
      </c>
      <c r="AC21" s="56">
        <v>2</v>
      </c>
      <c r="AD21" s="56">
        <v>2</v>
      </c>
      <c r="AE21" s="56" t="s">
        <v>95</v>
      </c>
      <c r="AF21" s="56">
        <v>2</v>
      </c>
      <c r="AG21" s="56">
        <v>2</v>
      </c>
      <c r="AH21" s="92" t="s">
        <v>95</v>
      </c>
      <c r="AI21" s="92" t="s">
        <v>95</v>
      </c>
      <c r="AJ21" s="38"/>
      <c r="AK21" s="39">
        <f>COUNTIF(E21:AI21,"0")*0+COUNTIF(E21:AI21,"1")*1+COUNTIF(E21:AI21,"2")*2+COUNTIF(E21:AI21,"3")*3</f>
        <v>30</v>
      </c>
      <c r="AL21" s="104">
        <f>COUNTIF(E21:AI21,"0")*1+COUNTIF(E21:AI21,"1")*1+COUNTIF(E21:AI21,"2")*1+COUNTIF(E21:AI21,"3")*1</f>
        <v>15</v>
      </c>
      <c r="AM21" s="104"/>
      <c r="AN21" s="164"/>
      <c r="AO21" s="164"/>
      <c r="AP21" s="165"/>
    </row>
    <row r="22" spans="1:42" ht="15.75" x14ac:dyDescent="0.2">
      <c r="A22" s="16"/>
      <c r="B22" s="47" t="s">
        <v>48</v>
      </c>
      <c r="C22" s="46" t="s">
        <v>36</v>
      </c>
      <c r="D22" s="42" t="s">
        <v>61</v>
      </c>
      <c r="E22" s="53" t="s">
        <v>95</v>
      </c>
      <c r="F22" s="76" t="s">
        <v>95</v>
      </c>
      <c r="G22" s="76" t="s">
        <v>95</v>
      </c>
      <c r="H22" s="54" t="s">
        <v>95</v>
      </c>
      <c r="I22" s="53" t="s">
        <v>95</v>
      </c>
      <c r="J22" s="53" t="s">
        <v>95</v>
      </c>
      <c r="K22" s="53" t="s">
        <v>95</v>
      </c>
      <c r="L22" s="53" t="s">
        <v>95</v>
      </c>
      <c r="M22" s="76" t="s">
        <v>95</v>
      </c>
      <c r="N22" s="77" t="s">
        <v>95</v>
      </c>
      <c r="O22" s="54" t="s">
        <v>95</v>
      </c>
      <c r="P22" s="53" t="s">
        <v>95</v>
      </c>
      <c r="Q22" s="54" t="s">
        <v>95</v>
      </c>
      <c r="R22" s="53" t="s">
        <v>95</v>
      </c>
      <c r="S22" s="53" t="s">
        <v>95</v>
      </c>
      <c r="T22" s="77" t="s">
        <v>95</v>
      </c>
      <c r="U22" s="76" t="s">
        <v>95</v>
      </c>
      <c r="V22" s="54" t="s">
        <v>95</v>
      </c>
      <c r="W22" s="53" t="s">
        <v>95</v>
      </c>
      <c r="X22" s="54" t="s">
        <v>95</v>
      </c>
      <c r="Y22" s="53" t="s">
        <v>95</v>
      </c>
      <c r="Z22" s="53" t="s">
        <v>95</v>
      </c>
      <c r="AA22" s="81" t="s">
        <v>95</v>
      </c>
      <c r="AB22" s="81" t="s">
        <v>95</v>
      </c>
      <c r="AC22" s="56" t="s">
        <v>95</v>
      </c>
      <c r="AD22" s="56" t="s">
        <v>95</v>
      </c>
      <c r="AE22" s="56" t="s">
        <v>95</v>
      </c>
      <c r="AF22" s="56" t="s">
        <v>95</v>
      </c>
      <c r="AG22" s="56" t="s">
        <v>95</v>
      </c>
      <c r="AH22" s="92" t="s">
        <v>95</v>
      </c>
      <c r="AI22" s="92" t="s">
        <v>95</v>
      </c>
      <c r="AJ22" s="38"/>
      <c r="AK22" s="39">
        <f t="shared" ref="AK22:AK36" si="3">COUNTIF(E22:AI22,"0")*0+COUNTIF(E22:AI22,"1")*1+COUNTIF(E22:AI22,"2")*2+COUNTIF(E22:AI22,"3")*3</f>
        <v>0</v>
      </c>
      <c r="AL22" s="104">
        <f t="shared" ref="AL22:AL39" si="4">COUNTIF(E22:AI22,"0")*1+COUNTIF(E22:AI22,"1")*1+COUNTIF(E22:AI22,"2")*1+COUNTIF(E22:AI22,"3")*1</f>
        <v>0</v>
      </c>
      <c r="AM22" s="104"/>
      <c r="AN22" s="164" t="s">
        <v>70</v>
      </c>
      <c r="AO22" s="164"/>
      <c r="AP22" s="165"/>
    </row>
    <row r="23" spans="1:42" ht="15.75" x14ac:dyDescent="0.2">
      <c r="A23" s="16"/>
      <c r="B23" s="47" t="s">
        <v>48</v>
      </c>
      <c r="C23" s="46" t="s">
        <v>37</v>
      </c>
      <c r="D23" s="42" t="s">
        <v>62</v>
      </c>
      <c r="E23" s="53" t="s">
        <v>95</v>
      </c>
      <c r="F23" s="76" t="s">
        <v>95</v>
      </c>
      <c r="G23" s="76" t="s">
        <v>95</v>
      </c>
      <c r="H23" s="53">
        <v>2</v>
      </c>
      <c r="I23" s="53">
        <v>2</v>
      </c>
      <c r="J23" s="54" t="s">
        <v>95</v>
      </c>
      <c r="K23" s="54">
        <v>2</v>
      </c>
      <c r="L23" s="53">
        <v>2</v>
      </c>
      <c r="M23" s="76" t="s">
        <v>95</v>
      </c>
      <c r="N23" s="76" t="s">
        <v>95</v>
      </c>
      <c r="O23" s="53" t="s">
        <v>95</v>
      </c>
      <c r="P23" s="53">
        <v>2</v>
      </c>
      <c r="Q23" s="54">
        <v>2</v>
      </c>
      <c r="R23" s="53">
        <v>2</v>
      </c>
      <c r="S23" s="53" t="s">
        <v>95</v>
      </c>
      <c r="T23" s="77" t="s">
        <v>95</v>
      </c>
      <c r="U23" s="76" t="s">
        <v>95</v>
      </c>
      <c r="V23" s="86" t="s">
        <v>95</v>
      </c>
      <c r="W23" s="53">
        <v>2</v>
      </c>
      <c r="X23" s="53" t="s">
        <v>95</v>
      </c>
      <c r="Y23" s="53">
        <v>2</v>
      </c>
      <c r="Z23" s="53">
        <v>2</v>
      </c>
      <c r="AA23" s="81" t="s">
        <v>95</v>
      </c>
      <c r="AB23" s="81" t="s">
        <v>95</v>
      </c>
      <c r="AC23" s="56" t="s">
        <v>95</v>
      </c>
      <c r="AD23" s="56">
        <v>2</v>
      </c>
      <c r="AE23" s="56">
        <v>2</v>
      </c>
      <c r="AF23" s="56">
        <v>2</v>
      </c>
      <c r="AG23" s="56" t="s">
        <v>95</v>
      </c>
      <c r="AH23" s="92" t="s">
        <v>95</v>
      </c>
      <c r="AI23" s="92" t="s">
        <v>95</v>
      </c>
      <c r="AJ23" s="38"/>
      <c r="AK23" s="39">
        <f t="shared" si="3"/>
        <v>26</v>
      </c>
      <c r="AL23" s="104">
        <f t="shared" si="4"/>
        <v>13</v>
      </c>
      <c r="AM23" s="104"/>
      <c r="AN23" s="164"/>
      <c r="AO23" s="164"/>
      <c r="AP23" s="165"/>
    </row>
    <row r="24" spans="1:42" ht="15.75" x14ac:dyDescent="0.2">
      <c r="A24" s="16"/>
      <c r="B24" s="47" t="s">
        <v>48</v>
      </c>
      <c r="C24" s="46" t="s">
        <v>38</v>
      </c>
      <c r="D24" s="42" t="s">
        <v>63</v>
      </c>
      <c r="E24" s="86" t="s">
        <v>95</v>
      </c>
      <c r="F24" s="76" t="s">
        <v>95</v>
      </c>
      <c r="G24" s="77" t="s">
        <v>95</v>
      </c>
      <c r="H24" s="53">
        <v>1</v>
      </c>
      <c r="I24" s="53" t="s">
        <v>95</v>
      </c>
      <c r="J24" s="54">
        <v>1</v>
      </c>
      <c r="K24" s="53">
        <v>1</v>
      </c>
      <c r="L24" s="86">
        <v>1</v>
      </c>
      <c r="M24" s="77" t="s">
        <v>95</v>
      </c>
      <c r="N24" s="76" t="s">
        <v>95</v>
      </c>
      <c r="O24" s="53">
        <v>1</v>
      </c>
      <c r="P24" s="53" t="s">
        <v>95</v>
      </c>
      <c r="Q24" s="54">
        <v>1</v>
      </c>
      <c r="R24" s="53">
        <v>1</v>
      </c>
      <c r="S24" s="53">
        <v>1</v>
      </c>
      <c r="T24" s="77" t="s">
        <v>95</v>
      </c>
      <c r="U24" s="76" t="s">
        <v>95</v>
      </c>
      <c r="V24" s="53">
        <v>1</v>
      </c>
      <c r="W24" s="53" t="s">
        <v>95</v>
      </c>
      <c r="X24" s="54">
        <v>1</v>
      </c>
      <c r="Y24" s="95">
        <v>1</v>
      </c>
      <c r="Z24" s="53">
        <v>1</v>
      </c>
      <c r="AA24" s="81" t="s">
        <v>95</v>
      </c>
      <c r="AB24" s="81" t="s">
        <v>95</v>
      </c>
      <c r="AC24" s="56">
        <v>1</v>
      </c>
      <c r="AD24" s="56" t="s">
        <v>95</v>
      </c>
      <c r="AE24" s="56">
        <v>1</v>
      </c>
      <c r="AF24" s="56">
        <v>1</v>
      </c>
      <c r="AG24" s="56">
        <v>1</v>
      </c>
      <c r="AH24" s="92" t="s">
        <v>95</v>
      </c>
      <c r="AI24" s="92" t="s">
        <v>95</v>
      </c>
      <c r="AJ24" s="38"/>
      <c r="AK24" s="39">
        <f t="shared" si="3"/>
        <v>16</v>
      </c>
      <c r="AL24" s="104">
        <f t="shared" si="4"/>
        <v>16</v>
      </c>
      <c r="AM24" s="104"/>
      <c r="AN24" s="164"/>
      <c r="AO24" s="164"/>
      <c r="AP24" s="165"/>
    </row>
    <row r="25" spans="1:42" ht="15.75" x14ac:dyDescent="0.2">
      <c r="A25" s="16"/>
      <c r="B25" s="47" t="s">
        <v>48</v>
      </c>
      <c r="C25" s="45" t="s">
        <v>39</v>
      </c>
      <c r="D25" s="42" t="s">
        <v>64</v>
      </c>
      <c r="E25" s="53">
        <v>2</v>
      </c>
      <c r="F25" s="77" t="s">
        <v>95</v>
      </c>
      <c r="G25" s="76" t="s">
        <v>95</v>
      </c>
      <c r="H25" s="53" t="s">
        <v>95</v>
      </c>
      <c r="I25" s="53">
        <v>2</v>
      </c>
      <c r="J25" s="54">
        <v>2</v>
      </c>
      <c r="K25" s="53">
        <v>2</v>
      </c>
      <c r="L25" s="53" t="s">
        <v>95</v>
      </c>
      <c r="M25" s="76" t="s">
        <v>95</v>
      </c>
      <c r="N25" s="76" t="s">
        <v>95</v>
      </c>
      <c r="O25" s="53">
        <v>2</v>
      </c>
      <c r="P25" s="86" t="s">
        <v>95</v>
      </c>
      <c r="Q25" s="54">
        <v>2</v>
      </c>
      <c r="R25" s="53">
        <v>2</v>
      </c>
      <c r="S25" s="53" t="s">
        <v>95</v>
      </c>
      <c r="T25" s="77" t="s">
        <v>95</v>
      </c>
      <c r="U25" s="76" t="s">
        <v>95</v>
      </c>
      <c r="V25" s="53" t="s">
        <v>95</v>
      </c>
      <c r="W25" s="53">
        <v>2</v>
      </c>
      <c r="X25" s="54">
        <v>2</v>
      </c>
      <c r="Y25" s="53" t="s">
        <v>95</v>
      </c>
      <c r="Z25" s="53">
        <v>2</v>
      </c>
      <c r="AA25" s="81" t="s">
        <v>95</v>
      </c>
      <c r="AB25" s="81" t="s">
        <v>95</v>
      </c>
      <c r="AC25" s="56">
        <v>2</v>
      </c>
      <c r="AD25" s="97" t="s">
        <v>95</v>
      </c>
      <c r="AE25" s="56">
        <v>2</v>
      </c>
      <c r="AF25" s="56">
        <v>2</v>
      </c>
      <c r="AG25" s="56" t="s">
        <v>95</v>
      </c>
      <c r="AH25" s="92" t="s">
        <v>95</v>
      </c>
      <c r="AI25" s="92" t="s">
        <v>95</v>
      </c>
      <c r="AJ25" s="38"/>
      <c r="AK25" s="39">
        <f t="shared" si="3"/>
        <v>26</v>
      </c>
      <c r="AL25" s="104">
        <f t="shared" si="4"/>
        <v>13</v>
      </c>
      <c r="AM25" s="104"/>
      <c r="AN25" s="164"/>
      <c r="AO25" s="164"/>
      <c r="AP25" s="165"/>
    </row>
    <row r="26" spans="1:42" ht="15.75" x14ac:dyDescent="0.2">
      <c r="A26" s="16"/>
      <c r="B26" s="47" t="s">
        <v>48</v>
      </c>
      <c r="C26" s="45" t="s">
        <v>40</v>
      </c>
      <c r="D26" s="42" t="s">
        <v>65</v>
      </c>
      <c r="E26" s="53">
        <v>2</v>
      </c>
      <c r="F26" s="76" t="s">
        <v>95</v>
      </c>
      <c r="G26" s="76" t="s">
        <v>95</v>
      </c>
      <c r="H26" s="53" t="s">
        <v>95</v>
      </c>
      <c r="I26" s="53">
        <v>2</v>
      </c>
      <c r="J26" s="54">
        <v>2</v>
      </c>
      <c r="K26" s="53">
        <v>2</v>
      </c>
      <c r="L26" s="53" t="s">
        <v>95</v>
      </c>
      <c r="M26" s="76" t="s">
        <v>95</v>
      </c>
      <c r="N26" s="76" t="s">
        <v>95</v>
      </c>
      <c r="O26" s="53">
        <v>2</v>
      </c>
      <c r="P26" s="53">
        <v>2</v>
      </c>
      <c r="Q26" s="54" t="s">
        <v>95</v>
      </c>
      <c r="R26" s="53">
        <v>2</v>
      </c>
      <c r="S26" s="53">
        <v>2</v>
      </c>
      <c r="T26" s="77" t="s">
        <v>95</v>
      </c>
      <c r="U26" s="76" t="s">
        <v>95</v>
      </c>
      <c r="V26" s="53" t="s">
        <v>95</v>
      </c>
      <c r="W26" s="53">
        <v>2</v>
      </c>
      <c r="X26" s="53">
        <v>2</v>
      </c>
      <c r="Y26" s="53">
        <v>2</v>
      </c>
      <c r="Z26" s="53" t="s">
        <v>95</v>
      </c>
      <c r="AA26" s="81" t="s">
        <v>95</v>
      </c>
      <c r="AB26" s="81" t="s">
        <v>95</v>
      </c>
      <c r="AC26" s="97" t="s">
        <v>95</v>
      </c>
      <c r="AD26" s="56">
        <v>2</v>
      </c>
      <c r="AE26" s="56" t="s">
        <v>95</v>
      </c>
      <c r="AF26" s="56">
        <v>2</v>
      </c>
      <c r="AG26" s="56">
        <v>2</v>
      </c>
      <c r="AH26" s="92" t="s">
        <v>95</v>
      </c>
      <c r="AI26" s="92" t="s">
        <v>95</v>
      </c>
      <c r="AJ26" s="38"/>
      <c r="AK26" s="39">
        <f t="shared" si="3"/>
        <v>28</v>
      </c>
      <c r="AL26" s="104">
        <f t="shared" si="4"/>
        <v>14</v>
      </c>
      <c r="AM26" s="104"/>
      <c r="AN26" s="164"/>
      <c r="AO26" s="164"/>
      <c r="AP26" s="165"/>
    </row>
    <row r="27" spans="1:42" ht="15.75" x14ac:dyDescent="0.2">
      <c r="A27" s="16"/>
      <c r="B27" s="47" t="s">
        <v>48</v>
      </c>
      <c r="C27" s="45" t="s">
        <v>41</v>
      </c>
      <c r="D27" s="42" t="s">
        <v>66</v>
      </c>
      <c r="E27" s="53">
        <v>2</v>
      </c>
      <c r="F27" s="76" t="s">
        <v>95</v>
      </c>
      <c r="G27" s="76" t="s">
        <v>95</v>
      </c>
      <c r="H27" s="53" t="s">
        <v>95</v>
      </c>
      <c r="I27" s="53">
        <v>2</v>
      </c>
      <c r="J27" s="54">
        <v>2</v>
      </c>
      <c r="K27" s="53">
        <v>2</v>
      </c>
      <c r="L27" s="53" t="s">
        <v>95</v>
      </c>
      <c r="M27" s="77" t="s">
        <v>95</v>
      </c>
      <c r="N27" s="77" t="s">
        <v>95</v>
      </c>
      <c r="O27" s="54">
        <v>2</v>
      </c>
      <c r="P27" s="54">
        <v>2</v>
      </c>
      <c r="Q27" s="54" t="s">
        <v>95</v>
      </c>
      <c r="R27" s="86" t="s">
        <v>95</v>
      </c>
      <c r="S27" s="95">
        <v>2</v>
      </c>
      <c r="T27" s="77" t="s">
        <v>95</v>
      </c>
      <c r="U27" s="77" t="s">
        <v>95</v>
      </c>
      <c r="V27" s="54" t="s">
        <v>95</v>
      </c>
      <c r="W27" s="54">
        <v>2</v>
      </c>
      <c r="X27" s="54">
        <v>2</v>
      </c>
      <c r="Y27" s="54">
        <v>2</v>
      </c>
      <c r="Z27" s="54" t="s">
        <v>95</v>
      </c>
      <c r="AA27" s="81" t="s">
        <v>95</v>
      </c>
      <c r="AB27" s="81" t="s">
        <v>95</v>
      </c>
      <c r="AC27" s="56">
        <v>2</v>
      </c>
      <c r="AD27" s="56">
        <v>2</v>
      </c>
      <c r="AE27" s="56" t="s">
        <v>95</v>
      </c>
      <c r="AF27" s="56">
        <v>2</v>
      </c>
      <c r="AG27" s="56">
        <v>2</v>
      </c>
      <c r="AH27" s="92" t="s">
        <v>95</v>
      </c>
      <c r="AI27" s="92" t="s">
        <v>95</v>
      </c>
      <c r="AJ27" s="38"/>
      <c r="AK27" s="39">
        <f t="shared" si="3"/>
        <v>28</v>
      </c>
      <c r="AL27" s="104">
        <f t="shared" si="4"/>
        <v>14</v>
      </c>
      <c r="AM27" s="104"/>
      <c r="AN27" s="164"/>
      <c r="AO27" s="164"/>
      <c r="AP27" s="165"/>
    </row>
    <row r="28" spans="1:42" ht="15.75" x14ac:dyDescent="0.2">
      <c r="A28" s="16"/>
      <c r="B28" s="47" t="s">
        <v>48</v>
      </c>
      <c r="C28" s="45" t="s">
        <v>45</v>
      </c>
      <c r="D28" s="42" t="s">
        <v>82</v>
      </c>
      <c r="E28" s="53" t="s">
        <v>95</v>
      </c>
      <c r="F28" s="76">
        <v>2</v>
      </c>
      <c r="G28" s="76" t="s">
        <v>95</v>
      </c>
      <c r="H28" s="86">
        <v>1</v>
      </c>
      <c r="I28" s="86">
        <v>1</v>
      </c>
      <c r="J28" s="86">
        <v>1</v>
      </c>
      <c r="K28" s="53" t="s">
        <v>95</v>
      </c>
      <c r="L28" s="53">
        <v>2</v>
      </c>
      <c r="M28" s="77" t="s">
        <v>95</v>
      </c>
      <c r="N28" s="76" t="s">
        <v>95</v>
      </c>
      <c r="O28" s="53" t="s">
        <v>95</v>
      </c>
      <c r="P28" s="53">
        <v>2</v>
      </c>
      <c r="Q28" s="54" t="s">
        <v>95</v>
      </c>
      <c r="R28" s="53">
        <v>2</v>
      </c>
      <c r="S28" s="54" t="s">
        <v>95</v>
      </c>
      <c r="T28" s="77">
        <v>2</v>
      </c>
      <c r="U28" s="77" t="s">
        <v>95</v>
      </c>
      <c r="V28" s="54">
        <v>2</v>
      </c>
      <c r="W28" s="53" t="s">
        <v>95</v>
      </c>
      <c r="X28" s="54">
        <v>2</v>
      </c>
      <c r="Y28" s="53" t="s">
        <v>95</v>
      </c>
      <c r="Z28" s="54">
        <v>2</v>
      </c>
      <c r="AA28" s="81" t="s">
        <v>95</v>
      </c>
      <c r="AB28" s="89" t="s">
        <v>95</v>
      </c>
      <c r="AC28" s="56" t="s">
        <v>95</v>
      </c>
      <c r="AD28" s="56">
        <v>2</v>
      </c>
      <c r="AE28" s="56" t="s">
        <v>95</v>
      </c>
      <c r="AF28" s="56">
        <v>2</v>
      </c>
      <c r="AG28" s="56" t="s">
        <v>95</v>
      </c>
      <c r="AH28" s="92">
        <v>2</v>
      </c>
      <c r="AI28" s="92" t="s">
        <v>95</v>
      </c>
      <c r="AJ28" s="38"/>
      <c r="AK28" s="39">
        <f t="shared" si="3"/>
        <v>25</v>
      </c>
      <c r="AL28" s="104">
        <f t="shared" si="4"/>
        <v>14</v>
      </c>
      <c r="AM28" s="104"/>
      <c r="AN28" s="164"/>
      <c r="AO28" s="164"/>
      <c r="AP28" s="165"/>
    </row>
    <row r="29" spans="1:42" ht="15.75" x14ac:dyDescent="0.2">
      <c r="A29" s="16"/>
      <c r="B29" s="47" t="s">
        <v>48</v>
      </c>
      <c r="C29" s="45" t="s">
        <v>46</v>
      </c>
      <c r="D29" s="50" t="s">
        <v>67</v>
      </c>
      <c r="E29" s="53" t="s">
        <v>95</v>
      </c>
      <c r="F29" s="76" t="s">
        <v>95</v>
      </c>
      <c r="G29" s="76" t="s">
        <v>95</v>
      </c>
      <c r="H29" s="53" t="s">
        <v>95</v>
      </c>
      <c r="I29" s="53" t="s">
        <v>95</v>
      </c>
      <c r="J29" s="53" t="s">
        <v>95</v>
      </c>
      <c r="K29" s="53" t="s">
        <v>95</v>
      </c>
      <c r="L29" s="53" t="s">
        <v>95</v>
      </c>
      <c r="M29" s="76" t="s">
        <v>95</v>
      </c>
      <c r="N29" s="76" t="s">
        <v>95</v>
      </c>
      <c r="O29" s="53" t="s">
        <v>95</v>
      </c>
      <c r="P29" s="53" t="s">
        <v>95</v>
      </c>
      <c r="Q29" s="53" t="s">
        <v>95</v>
      </c>
      <c r="R29" s="53" t="s">
        <v>95</v>
      </c>
      <c r="S29" s="53" t="s">
        <v>95</v>
      </c>
      <c r="T29" s="76" t="s">
        <v>95</v>
      </c>
      <c r="U29" s="76" t="s">
        <v>95</v>
      </c>
      <c r="V29" s="53" t="s">
        <v>95</v>
      </c>
      <c r="W29" s="53" t="s">
        <v>95</v>
      </c>
      <c r="X29" s="53" t="s">
        <v>95</v>
      </c>
      <c r="Y29" s="53" t="s">
        <v>95</v>
      </c>
      <c r="Z29" s="53" t="s">
        <v>95</v>
      </c>
      <c r="AA29" s="76" t="s">
        <v>95</v>
      </c>
      <c r="AB29" s="76" t="s">
        <v>95</v>
      </c>
      <c r="AC29" s="53" t="s">
        <v>95</v>
      </c>
      <c r="AD29" s="53" t="s">
        <v>95</v>
      </c>
      <c r="AE29" s="53" t="s">
        <v>95</v>
      </c>
      <c r="AF29" s="53" t="s">
        <v>95</v>
      </c>
      <c r="AG29" s="53" t="s">
        <v>95</v>
      </c>
      <c r="AH29" s="76" t="s">
        <v>95</v>
      </c>
      <c r="AI29" s="76" t="s">
        <v>95</v>
      </c>
      <c r="AJ29" s="38"/>
      <c r="AK29" s="39">
        <f t="shared" si="3"/>
        <v>0</v>
      </c>
      <c r="AL29" s="104">
        <f t="shared" si="4"/>
        <v>0</v>
      </c>
      <c r="AM29" s="104"/>
      <c r="AN29" s="164" t="s">
        <v>73</v>
      </c>
      <c r="AO29" s="164"/>
      <c r="AP29" s="165"/>
    </row>
    <row r="30" spans="1:42" ht="15.75" x14ac:dyDescent="0.2">
      <c r="A30" s="16"/>
      <c r="B30" s="47" t="s">
        <v>48</v>
      </c>
      <c r="C30" s="45" t="s">
        <v>78</v>
      </c>
      <c r="D30" s="50" t="s">
        <v>79</v>
      </c>
      <c r="E30" s="53">
        <v>2</v>
      </c>
      <c r="F30" s="76" t="s">
        <v>95</v>
      </c>
      <c r="G30" s="76" t="s">
        <v>95</v>
      </c>
      <c r="H30" s="53" t="s">
        <v>95</v>
      </c>
      <c r="I30" s="53">
        <v>2</v>
      </c>
      <c r="J30" s="53">
        <v>2</v>
      </c>
      <c r="K30" s="53">
        <v>2</v>
      </c>
      <c r="L30" s="53" t="s">
        <v>95</v>
      </c>
      <c r="M30" s="76" t="s">
        <v>95</v>
      </c>
      <c r="N30" s="76" t="s">
        <v>95</v>
      </c>
      <c r="O30" s="53">
        <v>2</v>
      </c>
      <c r="P30" s="53">
        <v>2</v>
      </c>
      <c r="Q30" s="53" t="s">
        <v>95</v>
      </c>
      <c r="R30" s="53">
        <v>2</v>
      </c>
      <c r="S30" s="53">
        <v>2</v>
      </c>
      <c r="T30" s="76" t="s">
        <v>95</v>
      </c>
      <c r="U30" s="76" t="s">
        <v>95</v>
      </c>
      <c r="V30" s="53" t="s">
        <v>95</v>
      </c>
      <c r="W30" s="53">
        <v>2</v>
      </c>
      <c r="X30" s="53">
        <v>2</v>
      </c>
      <c r="Y30" s="53">
        <v>2</v>
      </c>
      <c r="Z30" s="53" t="s">
        <v>95</v>
      </c>
      <c r="AA30" s="76" t="s">
        <v>95</v>
      </c>
      <c r="AB30" s="76" t="s">
        <v>95</v>
      </c>
      <c r="AC30" s="53">
        <v>2</v>
      </c>
      <c r="AD30" s="53">
        <v>2</v>
      </c>
      <c r="AE30" s="53" t="s">
        <v>95</v>
      </c>
      <c r="AF30" s="53">
        <v>2</v>
      </c>
      <c r="AG30" s="86" t="s">
        <v>95</v>
      </c>
      <c r="AH30" s="77" t="s">
        <v>95</v>
      </c>
      <c r="AI30" s="76" t="s">
        <v>95</v>
      </c>
      <c r="AJ30" s="38"/>
      <c r="AK30" s="70">
        <f t="shared" ref="AK30" si="5">COUNTIF(E30:AI30,"0")*0+COUNTIF(E30:AI30,"1")*1+COUNTIF(E30:AI30,"2")*2+COUNTIF(E30:AI30,"3")*3</f>
        <v>28</v>
      </c>
      <c r="AL30" s="104">
        <f t="shared" ref="AL30" si="6">COUNTIF(E30:AI30,"0")*1+COUNTIF(E30:AI30,"1")*1+COUNTIF(E30:AI30,"2")*1+COUNTIF(E30:AI30,"3")*1</f>
        <v>14</v>
      </c>
      <c r="AM30" s="104"/>
      <c r="AN30" s="140"/>
      <c r="AO30" s="141"/>
      <c r="AP30" s="142"/>
    </row>
    <row r="31" spans="1:42" ht="15.75" x14ac:dyDescent="0.2">
      <c r="A31" s="16"/>
      <c r="B31" s="47" t="s">
        <v>48</v>
      </c>
      <c r="C31" s="45" t="s">
        <v>83</v>
      </c>
      <c r="D31" s="50" t="s">
        <v>80</v>
      </c>
      <c r="E31" s="53">
        <v>2</v>
      </c>
      <c r="F31" s="76" t="s">
        <v>95</v>
      </c>
      <c r="G31" s="76" t="s">
        <v>95</v>
      </c>
      <c r="H31" s="53" t="s">
        <v>95</v>
      </c>
      <c r="I31" s="53">
        <v>2</v>
      </c>
      <c r="J31" s="53">
        <v>2</v>
      </c>
      <c r="K31" s="53">
        <v>2</v>
      </c>
      <c r="L31" s="53" t="s">
        <v>95</v>
      </c>
      <c r="M31" s="76" t="s">
        <v>95</v>
      </c>
      <c r="N31" s="76" t="s">
        <v>95</v>
      </c>
      <c r="O31" s="53">
        <v>2</v>
      </c>
      <c r="P31" s="53">
        <v>2</v>
      </c>
      <c r="Q31" s="54" t="s">
        <v>95</v>
      </c>
      <c r="R31" s="53">
        <v>2</v>
      </c>
      <c r="S31" s="53">
        <v>2</v>
      </c>
      <c r="T31" s="76" t="s">
        <v>95</v>
      </c>
      <c r="U31" s="76" t="s">
        <v>95</v>
      </c>
      <c r="V31" s="86">
        <v>1</v>
      </c>
      <c r="W31" s="86">
        <v>1</v>
      </c>
      <c r="X31" s="86">
        <v>1</v>
      </c>
      <c r="Y31" s="53" t="s">
        <v>95</v>
      </c>
      <c r="Z31" s="53" t="s">
        <v>95</v>
      </c>
      <c r="AA31" s="76" t="s">
        <v>95</v>
      </c>
      <c r="AB31" s="76" t="s">
        <v>95</v>
      </c>
      <c r="AC31" s="53">
        <v>2</v>
      </c>
      <c r="AD31" s="53">
        <v>2</v>
      </c>
      <c r="AE31" s="53" t="s">
        <v>95</v>
      </c>
      <c r="AF31" s="53">
        <v>2</v>
      </c>
      <c r="AG31" s="53">
        <v>2</v>
      </c>
      <c r="AH31" s="76" t="s">
        <v>95</v>
      </c>
      <c r="AI31" s="76" t="s">
        <v>95</v>
      </c>
      <c r="AJ31" s="38"/>
      <c r="AK31" s="70">
        <f t="shared" ref="AK31" si="7">COUNTIF(E31:AI31,"0")*0+COUNTIF(E31:AI31,"1")*1+COUNTIF(E31:AI31,"2")*2+COUNTIF(E31:AI31,"3")*3</f>
        <v>27</v>
      </c>
      <c r="AL31" s="104">
        <f t="shared" ref="AL31" si="8">COUNTIF(E31:AI31,"0")*1+COUNTIF(E31:AI31,"1")*1+COUNTIF(E31:AI31,"2")*1+COUNTIF(E31:AI31,"3")*1</f>
        <v>15</v>
      </c>
      <c r="AM31" s="104"/>
      <c r="AN31" s="140"/>
      <c r="AO31" s="141"/>
      <c r="AP31" s="142"/>
    </row>
    <row r="32" spans="1:42" ht="15.75" x14ac:dyDescent="0.2">
      <c r="A32" s="16"/>
      <c r="B32" s="48" t="s">
        <v>48</v>
      </c>
      <c r="C32" s="45" t="s">
        <v>42</v>
      </c>
      <c r="D32" s="50" t="s">
        <v>81</v>
      </c>
      <c r="E32" s="53" t="s">
        <v>95</v>
      </c>
      <c r="F32" s="76" t="s">
        <v>95</v>
      </c>
      <c r="G32" s="76" t="s">
        <v>95</v>
      </c>
      <c r="H32" s="53">
        <v>2</v>
      </c>
      <c r="I32" s="53">
        <v>2</v>
      </c>
      <c r="J32" s="54">
        <v>2</v>
      </c>
      <c r="K32" s="53">
        <v>2</v>
      </c>
      <c r="L32" s="53" t="s">
        <v>95</v>
      </c>
      <c r="M32" s="76" t="s">
        <v>95</v>
      </c>
      <c r="N32" s="76" t="s">
        <v>95</v>
      </c>
      <c r="O32" s="53" t="s">
        <v>95</v>
      </c>
      <c r="P32" s="53" t="s">
        <v>95</v>
      </c>
      <c r="Q32" s="54">
        <v>2</v>
      </c>
      <c r="R32" s="53">
        <v>2</v>
      </c>
      <c r="S32" s="53">
        <v>2</v>
      </c>
      <c r="T32" s="76" t="s">
        <v>95</v>
      </c>
      <c r="U32" s="76" t="s">
        <v>95</v>
      </c>
      <c r="V32" s="53">
        <v>2</v>
      </c>
      <c r="W32" s="86" t="s">
        <v>95</v>
      </c>
      <c r="X32" s="54">
        <v>2</v>
      </c>
      <c r="Y32" s="53">
        <v>2</v>
      </c>
      <c r="Z32" s="53" t="s">
        <v>95</v>
      </c>
      <c r="AA32" s="77" t="s">
        <v>95</v>
      </c>
      <c r="AB32" s="77" t="s">
        <v>95</v>
      </c>
      <c r="AC32" s="53" t="s">
        <v>95</v>
      </c>
      <c r="AD32" s="53" t="s">
        <v>95</v>
      </c>
      <c r="AE32" s="54">
        <v>2</v>
      </c>
      <c r="AF32" s="53">
        <v>2</v>
      </c>
      <c r="AG32" s="53">
        <v>2</v>
      </c>
      <c r="AH32" s="77" t="s">
        <v>95</v>
      </c>
      <c r="AI32" s="81" t="s">
        <v>95</v>
      </c>
      <c r="AJ32" s="38"/>
      <c r="AK32" s="39">
        <f t="shared" si="3"/>
        <v>26</v>
      </c>
      <c r="AL32" s="104">
        <f t="shared" si="4"/>
        <v>13</v>
      </c>
      <c r="AM32" s="104"/>
      <c r="AN32" s="164"/>
      <c r="AO32" s="164"/>
      <c r="AP32" s="165"/>
    </row>
    <row r="33" spans="1:43" ht="15.75" x14ac:dyDescent="0.2">
      <c r="A33" s="16"/>
      <c r="B33" s="48" t="s">
        <v>48</v>
      </c>
      <c r="C33" s="45" t="s">
        <v>87</v>
      </c>
      <c r="D33" s="50" t="s">
        <v>88</v>
      </c>
      <c r="E33" s="53">
        <v>2</v>
      </c>
      <c r="F33" s="76" t="s">
        <v>95</v>
      </c>
      <c r="G33" s="76" t="s">
        <v>95</v>
      </c>
      <c r="H33" s="86">
        <v>1</v>
      </c>
      <c r="I33" s="86">
        <v>1</v>
      </c>
      <c r="J33" s="86">
        <v>1</v>
      </c>
      <c r="K33" s="53" t="s">
        <v>95</v>
      </c>
      <c r="L33" s="53" t="s">
        <v>95</v>
      </c>
      <c r="M33" s="76" t="s">
        <v>95</v>
      </c>
      <c r="N33" s="76" t="s">
        <v>95</v>
      </c>
      <c r="O33" s="53">
        <v>2</v>
      </c>
      <c r="P33" s="53">
        <v>2</v>
      </c>
      <c r="Q33" s="54" t="s">
        <v>95</v>
      </c>
      <c r="R33" s="53">
        <v>2</v>
      </c>
      <c r="S33" s="53">
        <v>2</v>
      </c>
      <c r="T33" s="76" t="s">
        <v>95</v>
      </c>
      <c r="U33" s="76" t="s">
        <v>95</v>
      </c>
      <c r="V33" s="53">
        <v>2</v>
      </c>
      <c r="W33" s="53">
        <v>2</v>
      </c>
      <c r="X33" s="54">
        <v>2</v>
      </c>
      <c r="Y33" s="53" t="s">
        <v>95</v>
      </c>
      <c r="Z33" s="53" t="s">
        <v>95</v>
      </c>
      <c r="AA33" s="77" t="s">
        <v>95</v>
      </c>
      <c r="AB33" s="77" t="s">
        <v>95</v>
      </c>
      <c r="AC33" s="53">
        <v>2</v>
      </c>
      <c r="AD33" s="53">
        <v>2</v>
      </c>
      <c r="AE33" s="54" t="s">
        <v>95</v>
      </c>
      <c r="AF33" s="86" t="s">
        <v>95</v>
      </c>
      <c r="AG33" s="53">
        <v>2</v>
      </c>
      <c r="AH33" s="77" t="s">
        <v>95</v>
      </c>
      <c r="AI33" s="81" t="s">
        <v>95</v>
      </c>
      <c r="AJ33" s="38"/>
      <c r="AK33" s="71">
        <f t="shared" ref="AK33" si="9">COUNTIF(E33:AI33,"0")*0+COUNTIF(E33:AI33,"1")*1+COUNTIF(E33:AI33,"2")*2+COUNTIF(E33:AI33,"3")*3</f>
        <v>25</v>
      </c>
      <c r="AL33" s="104">
        <f t="shared" ref="AL33" si="10">COUNTIF(E33:AI33,"0")*1+COUNTIF(E33:AI33,"1")*1+COUNTIF(E33:AI33,"2")*1+COUNTIF(E33:AI33,"3")*1</f>
        <v>14</v>
      </c>
      <c r="AM33" s="104"/>
      <c r="AN33" s="72"/>
      <c r="AO33" s="73"/>
      <c r="AP33" s="74"/>
    </row>
    <row r="34" spans="1:43" ht="15.75" x14ac:dyDescent="0.2">
      <c r="A34" s="16"/>
      <c r="B34" s="48" t="s">
        <v>48</v>
      </c>
      <c r="C34" s="45" t="s">
        <v>89</v>
      </c>
      <c r="D34" s="50" t="s">
        <v>90</v>
      </c>
      <c r="E34" s="53">
        <v>2</v>
      </c>
      <c r="F34" s="76" t="s">
        <v>95</v>
      </c>
      <c r="G34" s="76" t="s">
        <v>95</v>
      </c>
      <c r="H34" s="53" t="s">
        <v>95</v>
      </c>
      <c r="I34" s="53">
        <v>2</v>
      </c>
      <c r="J34" s="54">
        <v>2</v>
      </c>
      <c r="K34" s="53">
        <v>2</v>
      </c>
      <c r="L34" s="53" t="s">
        <v>95</v>
      </c>
      <c r="M34" s="77" t="s">
        <v>95</v>
      </c>
      <c r="N34" s="77" t="s">
        <v>95</v>
      </c>
      <c r="O34" s="54">
        <v>2</v>
      </c>
      <c r="P34" s="54">
        <v>2</v>
      </c>
      <c r="Q34" s="54" t="s">
        <v>95</v>
      </c>
      <c r="R34" s="95">
        <v>2</v>
      </c>
      <c r="S34" s="54">
        <v>2</v>
      </c>
      <c r="T34" s="77" t="s">
        <v>95</v>
      </c>
      <c r="U34" s="77" t="s">
        <v>95</v>
      </c>
      <c r="V34" s="54" t="s">
        <v>95</v>
      </c>
      <c r="W34" s="54">
        <v>2</v>
      </c>
      <c r="X34" s="54">
        <v>2</v>
      </c>
      <c r="Y34" s="53">
        <v>2</v>
      </c>
      <c r="Z34" s="53" t="s">
        <v>95</v>
      </c>
      <c r="AA34" s="77" t="s">
        <v>95</v>
      </c>
      <c r="AB34" s="77" t="s">
        <v>95</v>
      </c>
      <c r="AC34" s="53">
        <v>2</v>
      </c>
      <c r="AD34" s="53">
        <v>2</v>
      </c>
      <c r="AE34" s="54" t="s">
        <v>95</v>
      </c>
      <c r="AF34" s="53">
        <v>2</v>
      </c>
      <c r="AG34" s="53">
        <v>2</v>
      </c>
      <c r="AH34" s="77" t="s">
        <v>95</v>
      </c>
      <c r="AI34" s="81" t="s">
        <v>95</v>
      </c>
      <c r="AJ34" s="38"/>
      <c r="AK34" s="71">
        <f t="shared" ref="AK34" si="11">COUNTIF(E34:AI34,"0")*0+COUNTIF(E34:AI34,"1")*1+COUNTIF(E34:AI34,"2")*2+COUNTIF(E34:AI34,"3")*3</f>
        <v>30</v>
      </c>
      <c r="AL34" s="104">
        <f t="shared" ref="AL34" si="12">COUNTIF(E34:AI34,"0")*1+COUNTIF(E34:AI34,"1")*1+COUNTIF(E34:AI34,"2")*1+COUNTIF(E34:AI34,"3")*1</f>
        <v>15</v>
      </c>
      <c r="AM34" s="104"/>
      <c r="AN34" s="72"/>
      <c r="AO34" s="73"/>
      <c r="AP34" s="74"/>
    </row>
    <row r="35" spans="1:43" ht="15.75" x14ac:dyDescent="0.2">
      <c r="A35" s="16"/>
      <c r="B35" s="48" t="s">
        <v>49</v>
      </c>
      <c r="C35" s="45" t="s">
        <v>84</v>
      </c>
      <c r="D35" s="50" t="s">
        <v>85</v>
      </c>
      <c r="E35" s="86" t="s">
        <v>95</v>
      </c>
      <c r="F35" s="76" t="s">
        <v>95</v>
      </c>
      <c r="G35" s="77" t="s">
        <v>95</v>
      </c>
      <c r="H35" s="53">
        <v>1</v>
      </c>
      <c r="I35" s="53">
        <v>0</v>
      </c>
      <c r="J35" s="54">
        <v>1</v>
      </c>
      <c r="K35" s="53">
        <v>0</v>
      </c>
      <c r="L35" s="53">
        <v>1</v>
      </c>
      <c r="M35" s="76" t="s">
        <v>95</v>
      </c>
      <c r="N35" s="76" t="s">
        <v>95</v>
      </c>
      <c r="O35" s="53">
        <v>1</v>
      </c>
      <c r="P35" s="53">
        <v>1</v>
      </c>
      <c r="Q35" s="54">
        <v>1</v>
      </c>
      <c r="R35" s="53">
        <v>0</v>
      </c>
      <c r="S35" s="53">
        <v>0</v>
      </c>
      <c r="T35" s="76" t="s">
        <v>95</v>
      </c>
      <c r="U35" s="76" t="s">
        <v>95</v>
      </c>
      <c r="V35" s="53">
        <v>1</v>
      </c>
      <c r="W35" s="53">
        <v>0</v>
      </c>
      <c r="X35" s="54">
        <v>1</v>
      </c>
      <c r="Y35" s="54">
        <v>0</v>
      </c>
      <c r="Z35" s="53">
        <v>1</v>
      </c>
      <c r="AA35" s="77" t="s">
        <v>95</v>
      </c>
      <c r="AB35" s="77" t="s">
        <v>95</v>
      </c>
      <c r="AC35" s="53">
        <v>1</v>
      </c>
      <c r="AD35" s="53">
        <v>0</v>
      </c>
      <c r="AE35" s="54">
        <v>1</v>
      </c>
      <c r="AF35" s="53">
        <v>0</v>
      </c>
      <c r="AG35" s="53">
        <v>1</v>
      </c>
      <c r="AH35" s="77" t="s">
        <v>95</v>
      </c>
      <c r="AI35" s="81" t="s">
        <v>95</v>
      </c>
      <c r="AJ35" s="38"/>
      <c r="AK35" s="70">
        <f t="shared" ref="AK35" si="13">COUNTIF(E35:AI35,"0")*0+COUNTIF(E35:AI35,"1")*1+COUNTIF(E35:AI35,"2")*2+COUNTIF(E35:AI35,"3")*3</f>
        <v>12</v>
      </c>
      <c r="AL35" s="104">
        <f t="shared" ref="AL35" si="14">COUNTIF(E35:AI35,"0")*1+COUNTIF(E35:AI35,"1")*1+COUNTIF(E35:AI35,"2")*1+COUNTIF(E35:AI35,"3")*1</f>
        <v>20</v>
      </c>
      <c r="AM35" s="104"/>
      <c r="AN35" s="140"/>
      <c r="AO35" s="141"/>
      <c r="AP35" s="142"/>
    </row>
    <row r="36" spans="1:43" ht="15.75" x14ac:dyDescent="0.2">
      <c r="A36" s="16"/>
      <c r="B36" s="48" t="s">
        <v>49</v>
      </c>
      <c r="C36" s="45" t="s">
        <v>43</v>
      </c>
      <c r="D36" s="50" t="s">
        <v>68</v>
      </c>
      <c r="E36" s="53">
        <v>2</v>
      </c>
      <c r="F36" s="76" t="s">
        <v>95</v>
      </c>
      <c r="G36" s="76" t="s">
        <v>95</v>
      </c>
      <c r="H36" s="53" t="s">
        <v>95</v>
      </c>
      <c r="I36" s="53">
        <v>2</v>
      </c>
      <c r="J36" s="54">
        <v>2</v>
      </c>
      <c r="K36" s="53">
        <v>2</v>
      </c>
      <c r="L36" s="53" t="s">
        <v>95</v>
      </c>
      <c r="M36" s="76" t="s">
        <v>95</v>
      </c>
      <c r="N36" s="76" t="s">
        <v>95</v>
      </c>
      <c r="O36" s="53">
        <v>2</v>
      </c>
      <c r="P36" s="53">
        <v>2</v>
      </c>
      <c r="Q36" s="54" t="s">
        <v>95</v>
      </c>
      <c r="R36" s="53">
        <v>2</v>
      </c>
      <c r="S36" s="53">
        <v>2</v>
      </c>
      <c r="T36" s="77" t="s">
        <v>95</v>
      </c>
      <c r="U36" s="76" t="s">
        <v>95</v>
      </c>
      <c r="V36" s="86">
        <v>1</v>
      </c>
      <c r="W36" s="86">
        <v>1</v>
      </c>
      <c r="X36" s="86">
        <v>1</v>
      </c>
      <c r="Y36" s="53" t="s">
        <v>95</v>
      </c>
      <c r="Z36" s="53" t="s">
        <v>95</v>
      </c>
      <c r="AA36" s="81" t="s">
        <v>95</v>
      </c>
      <c r="AB36" s="81" t="s">
        <v>95</v>
      </c>
      <c r="AC36" s="56">
        <v>2</v>
      </c>
      <c r="AD36" s="56">
        <v>2</v>
      </c>
      <c r="AE36" s="56" t="s">
        <v>95</v>
      </c>
      <c r="AF36" s="56">
        <v>2</v>
      </c>
      <c r="AG36" s="56">
        <v>2</v>
      </c>
      <c r="AH36" s="81" t="s">
        <v>95</v>
      </c>
      <c r="AI36" s="81" t="s">
        <v>95</v>
      </c>
      <c r="AJ36" s="38"/>
      <c r="AK36" s="39">
        <f t="shared" si="3"/>
        <v>27</v>
      </c>
      <c r="AL36" s="104">
        <f t="shared" si="4"/>
        <v>15</v>
      </c>
      <c r="AM36" s="104"/>
      <c r="AN36" s="164"/>
      <c r="AO36" s="164"/>
      <c r="AP36" s="165"/>
    </row>
    <row r="37" spans="1:43" ht="15.75" x14ac:dyDescent="0.2">
      <c r="A37" s="16"/>
      <c r="B37" s="83" t="s">
        <v>49</v>
      </c>
      <c r="C37" s="63" t="s">
        <v>44</v>
      </c>
      <c r="D37" s="84" t="s">
        <v>69</v>
      </c>
      <c r="E37" s="53" t="s">
        <v>95</v>
      </c>
      <c r="F37" s="76" t="s">
        <v>95</v>
      </c>
      <c r="G37" s="76" t="s">
        <v>95</v>
      </c>
      <c r="H37" s="53">
        <v>2</v>
      </c>
      <c r="I37" s="53">
        <v>2</v>
      </c>
      <c r="J37" s="54" t="s">
        <v>95</v>
      </c>
      <c r="K37" s="53">
        <v>2</v>
      </c>
      <c r="L37" s="53">
        <v>2</v>
      </c>
      <c r="M37" s="76" t="s">
        <v>95</v>
      </c>
      <c r="N37" s="76" t="s">
        <v>95</v>
      </c>
      <c r="O37" s="53" t="s">
        <v>95</v>
      </c>
      <c r="P37" s="53">
        <v>2</v>
      </c>
      <c r="Q37" s="54">
        <v>2</v>
      </c>
      <c r="R37" s="53">
        <v>2</v>
      </c>
      <c r="S37" s="53" t="s">
        <v>95</v>
      </c>
      <c r="T37" s="77" t="s">
        <v>95</v>
      </c>
      <c r="U37" s="76" t="s">
        <v>95</v>
      </c>
      <c r="V37" s="53">
        <v>2</v>
      </c>
      <c r="W37" s="53">
        <v>2</v>
      </c>
      <c r="X37" s="54" t="s">
        <v>95</v>
      </c>
      <c r="Y37" s="54">
        <v>2</v>
      </c>
      <c r="Z37" s="53">
        <v>2</v>
      </c>
      <c r="AA37" s="81" t="s">
        <v>95</v>
      </c>
      <c r="AB37" s="81" t="s">
        <v>95</v>
      </c>
      <c r="AC37" s="56" t="s">
        <v>95</v>
      </c>
      <c r="AD37" s="56">
        <v>2</v>
      </c>
      <c r="AE37" s="56">
        <v>2</v>
      </c>
      <c r="AF37" s="56">
        <v>2</v>
      </c>
      <c r="AG37" s="56" t="s">
        <v>95</v>
      </c>
      <c r="AH37" s="81" t="s">
        <v>95</v>
      </c>
      <c r="AI37" s="81" t="s">
        <v>95</v>
      </c>
      <c r="AJ37" s="38"/>
      <c r="AK37" s="75">
        <f t="shared" ref="AK37" si="15">COUNTIF(E37:AI37,"0")*0+COUNTIF(E37:AI37,"1")*1+COUNTIF(E37:AI37,"2")*2+COUNTIF(E37:AI37,"3")*3</f>
        <v>28</v>
      </c>
      <c r="AL37" s="104">
        <f t="shared" ref="AL37" si="16">COUNTIF(E37:AI37,"0")*1+COUNTIF(E37:AI37,"1")*1+COUNTIF(E37:AI37,"2")*1+COUNTIF(E37:AI37,"3")*1</f>
        <v>14</v>
      </c>
      <c r="AM37" s="104"/>
      <c r="AN37" s="164"/>
      <c r="AO37" s="164"/>
      <c r="AP37" s="165"/>
    </row>
    <row r="38" spans="1:43" ht="15.75" x14ac:dyDescent="0.2">
      <c r="A38" s="16"/>
      <c r="B38" s="83" t="s">
        <v>49</v>
      </c>
      <c r="C38" s="63" t="s">
        <v>91</v>
      </c>
      <c r="D38" s="84" t="s">
        <v>92</v>
      </c>
      <c r="E38" s="86" t="s">
        <v>97</v>
      </c>
      <c r="F38" s="87" t="s">
        <v>97</v>
      </c>
      <c r="G38" s="87" t="s">
        <v>97</v>
      </c>
      <c r="H38" s="86" t="s">
        <v>97</v>
      </c>
      <c r="I38" s="86" t="s">
        <v>97</v>
      </c>
      <c r="J38" s="86" t="s">
        <v>97</v>
      </c>
      <c r="K38" s="86" t="s">
        <v>97</v>
      </c>
      <c r="L38" s="86" t="s">
        <v>97</v>
      </c>
      <c r="M38" s="87" t="s">
        <v>97</v>
      </c>
      <c r="N38" s="87" t="s">
        <v>97</v>
      </c>
      <c r="O38" s="86" t="s">
        <v>97</v>
      </c>
      <c r="P38" s="86" t="s">
        <v>97</v>
      </c>
      <c r="Q38" s="86" t="s">
        <v>97</v>
      </c>
      <c r="R38" s="86" t="s">
        <v>97</v>
      </c>
      <c r="S38" s="54" t="s">
        <v>95</v>
      </c>
      <c r="T38" s="77" t="s">
        <v>95</v>
      </c>
      <c r="U38" s="77" t="s">
        <v>95</v>
      </c>
      <c r="V38" s="54">
        <v>2</v>
      </c>
      <c r="W38" s="54">
        <v>2</v>
      </c>
      <c r="X38" s="54">
        <v>2</v>
      </c>
      <c r="Y38" s="54">
        <v>2</v>
      </c>
      <c r="Z38" s="54">
        <v>2</v>
      </c>
      <c r="AA38" s="81" t="s">
        <v>95</v>
      </c>
      <c r="AB38" s="81" t="s">
        <v>95</v>
      </c>
      <c r="AC38" s="56">
        <v>2</v>
      </c>
      <c r="AD38" s="56">
        <v>2</v>
      </c>
      <c r="AE38" s="56">
        <v>2</v>
      </c>
      <c r="AF38" s="56">
        <v>2</v>
      </c>
      <c r="AG38" s="56" t="s">
        <v>95</v>
      </c>
      <c r="AH38" s="81" t="s">
        <v>95</v>
      </c>
      <c r="AI38" s="81" t="s">
        <v>95</v>
      </c>
      <c r="AJ38" s="38"/>
      <c r="AK38" s="75">
        <f t="shared" ref="AK38" si="17">COUNTIF(E38:AI38,"0")*0+COUNTIF(E38:AI38,"1")*1+COUNTIF(E38:AI38,"2")*2+COUNTIF(E38:AI38,"3")*3</f>
        <v>18</v>
      </c>
      <c r="AL38" s="104">
        <f t="shared" ref="AL38" si="18">COUNTIF(E38:AI38,"0")*1+COUNTIF(E38:AI38,"1")*1+COUNTIF(E38:AI38,"2")*1+COUNTIF(E38:AI38,"3")*1</f>
        <v>9</v>
      </c>
      <c r="AM38" s="104"/>
      <c r="AN38" s="164"/>
      <c r="AO38" s="164"/>
      <c r="AP38" s="165"/>
    </row>
    <row r="39" spans="1:43" ht="16.5" thickBot="1" x14ac:dyDescent="0.25">
      <c r="A39" s="16"/>
      <c r="B39" s="49" t="s">
        <v>49</v>
      </c>
      <c r="C39" s="85" t="s">
        <v>93</v>
      </c>
      <c r="D39" s="51" t="s">
        <v>94</v>
      </c>
      <c r="E39" s="65" t="s">
        <v>95</v>
      </c>
      <c r="F39" s="78" t="s">
        <v>95</v>
      </c>
      <c r="G39" s="78" t="s">
        <v>95</v>
      </c>
      <c r="H39" s="65">
        <v>2</v>
      </c>
      <c r="I39" s="65">
        <v>2</v>
      </c>
      <c r="J39" s="66" t="s">
        <v>95</v>
      </c>
      <c r="K39" s="65">
        <v>2</v>
      </c>
      <c r="L39" s="65">
        <v>2</v>
      </c>
      <c r="M39" s="78" t="s">
        <v>95</v>
      </c>
      <c r="N39" s="78" t="s">
        <v>95</v>
      </c>
      <c r="O39" s="65" t="s">
        <v>95</v>
      </c>
      <c r="P39" s="65">
        <v>2</v>
      </c>
      <c r="Q39" s="66">
        <v>2</v>
      </c>
      <c r="R39" s="65">
        <v>2</v>
      </c>
      <c r="S39" s="66" t="s">
        <v>95</v>
      </c>
      <c r="T39" s="79" t="s">
        <v>95</v>
      </c>
      <c r="U39" s="79" t="s">
        <v>95</v>
      </c>
      <c r="V39" s="66">
        <v>2</v>
      </c>
      <c r="W39" s="65">
        <v>2</v>
      </c>
      <c r="X39" s="66" t="s">
        <v>95</v>
      </c>
      <c r="Y39" s="66">
        <v>2</v>
      </c>
      <c r="Z39" s="66">
        <v>2</v>
      </c>
      <c r="AA39" s="82" t="s">
        <v>95</v>
      </c>
      <c r="AB39" s="82" t="s">
        <v>95</v>
      </c>
      <c r="AC39" s="68" t="s">
        <v>95</v>
      </c>
      <c r="AD39" s="68">
        <v>2</v>
      </c>
      <c r="AE39" s="68">
        <v>2</v>
      </c>
      <c r="AF39" s="68">
        <v>2</v>
      </c>
      <c r="AG39" s="68" t="s">
        <v>95</v>
      </c>
      <c r="AH39" s="82" t="s">
        <v>95</v>
      </c>
      <c r="AI39" s="82" t="s">
        <v>95</v>
      </c>
      <c r="AJ39" s="40"/>
      <c r="AK39" s="52">
        <f>COUNTIF(E39:AI39,"0")*0+COUNTIF(E39:AI39,"1")*1+COUNTIF(E39:AI39,"2")*2+COUNTIF(E39:AI39,"3")*3</f>
        <v>28</v>
      </c>
      <c r="AL39" s="105">
        <f t="shared" si="4"/>
        <v>14</v>
      </c>
      <c r="AM39" s="105"/>
      <c r="AN39" s="106"/>
      <c r="AO39" s="106"/>
      <c r="AP39" s="107"/>
    </row>
    <row r="40" spans="1:43" ht="7.5" customHeight="1" thickBot="1" x14ac:dyDescent="0.3">
      <c r="A40" s="120"/>
      <c r="B40" s="120"/>
      <c r="C40" s="64"/>
      <c r="D40" s="32"/>
      <c r="E40" s="33"/>
      <c r="F40" s="33"/>
      <c r="G40" s="33"/>
      <c r="H40" s="33"/>
      <c r="I40" s="67"/>
      <c r="J40" s="6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  <c r="AM40" s="17"/>
      <c r="AN40" s="17"/>
      <c r="AO40" s="17"/>
      <c r="AP40" s="17"/>
      <c r="AQ40" s="30"/>
    </row>
    <row r="41" spans="1:43" ht="21" customHeight="1" thickBot="1" x14ac:dyDescent="0.25">
      <c r="A41" s="121"/>
      <c r="B41" s="123" t="s">
        <v>17</v>
      </c>
      <c r="C41" s="123"/>
      <c r="D41" s="123"/>
      <c r="E41" s="123"/>
      <c r="F41" s="123"/>
      <c r="G41" s="123"/>
      <c r="H41" s="123"/>
      <c r="I41" s="123"/>
      <c r="J41" s="124"/>
      <c r="K41" s="19"/>
      <c r="L41" s="125" t="s">
        <v>18</v>
      </c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7"/>
      <c r="AB41" s="20"/>
      <c r="AC41" s="125" t="s">
        <v>19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7"/>
    </row>
    <row r="42" spans="1:43" ht="21" customHeight="1" x14ac:dyDescent="0.2">
      <c r="A42" s="122"/>
      <c r="B42" s="128"/>
      <c r="C42" s="129"/>
      <c r="D42" s="129"/>
      <c r="E42" s="129"/>
      <c r="F42" s="129"/>
      <c r="G42" s="129"/>
      <c r="H42" s="129"/>
      <c r="I42" s="129"/>
      <c r="J42" s="130"/>
      <c r="K42" s="60"/>
      <c r="L42" s="131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3"/>
      <c r="AB42" s="21"/>
      <c r="AC42" s="149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1"/>
    </row>
    <row r="43" spans="1:43" ht="21" customHeight="1" x14ac:dyDescent="0.2">
      <c r="A43" s="122"/>
      <c r="B43" s="137" t="s">
        <v>125</v>
      </c>
      <c r="C43" s="138"/>
      <c r="D43" s="138"/>
      <c r="E43" s="138"/>
      <c r="F43" s="138"/>
      <c r="G43" s="138"/>
      <c r="H43" s="138"/>
      <c r="I43" s="138"/>
      <c r="J43" s="139"/>
      <c r="K43" s="60"/>
      <c r="L43" s="166" t="s">
        <v>86</v>
      </c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8"/>
      <c r="AB43" s="21"/>
      <c r="AC43" s="201" t="s">
        <v>127</v>
      </c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spans="1:43" ht="21" customHeight="1" thickBot="1" x14ac:dyDescent="0.25">
      <c r="A44" s="122"/>
      <c r="B44" s="146" t="s">
        <v>126</v>
      </c>
      <c r="C44" s="147"/>
      <c r="D44" s="147"/>
      <c r="E44" s="147"/>
      <c r="F44" s="147"/>
      <c r="G44" s="147"/>
      <c r="H44" s="147"/>
      <c r="I44" s="147"/>
      <c r="J44" s="148"/>
      <c r="K44" s="61"/>
      <c r="L44" s="143" t="s">
        <v>71</v>
      </c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5"/>
      <c r="AB44" s="22"/>
      <c r="AC44" s="146" t="s">
        <v>128</v>
      </c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8"/>
    </row>
    <row r="45" spans="1:43" ht="8.25" customHeight="1" thickBot="1" x14ac:dyDescent="0.3">
      <c r="A45" s="121"/>
      <c r="B45" s="23"/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/>
      <c r="AM45" s="24"/>
      <c r="AN45" s="24"/>
      <c r="AO45" s="24"/>
      <c r="AP45" s="24"/>
      <c r="AQ45" s="30"/>
    </row>
    <row r="46" spans="1:43" ht="16.5" thickBot="1" x14ac:dyDescent="0.3">
      <c r="A46" s="121"/>
      <c r="B46" s="155" t="s">
        <v>20</v>
      </c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6"/>
    </row>
    <row r="47" spans="1:43" ht="12.75" x14ac:dyDescent="0.2">
      <c r="A47" s="121"/>
      <c r="B47" s="134" t="s">
        <v>123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3" ht="12.75" x14ac:dyDescent="0.2">
      <c r="A48" s="121"/>
      <c r="B48" s="134" t="s">
        <v>116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6"/>
    </row>
    <row r="49" spans="1:43" ht="15" x14ac:dyDescent="0.2">
      <c r="A49" s="121"/>
      <c r="B49" s="152" t="s">
        <v>111</v>
      </c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4"/>
    </row>
    <row r="50" spans="1:43" ht="15" x14ac:dyDescent="0.2">
      <c r="A50" s="121"/>
      <c r="B50" s="152" t="s">
        <v>130</v>
      </c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4"/>
    </row>
    <row r="51" spans="1:43" ht="12.75" x14ac:dyDescent="0.2">
      <c r="A51" s="121"/>
      <c r="B51" s="134" t="s">
        <v>99</v>
      </c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6"/>
    </row>
    <row r="52" spans="1:43" ht="12.75" x14ac:dyDescent="0.2">
      <c r="A52" s="121"/>
      <c r="B52" s="134" t="s">
        <v>115</v>
      </c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6"/>
    </row>
    <row r="53" spans="1:43" ht="12.75" x14ac:dyDescent="0.2">
      <c r="A53" s="121"/>
      <c r="B53" s="134" t="s">
        <v>118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6"/>
    </row>
    <row r="54" spans="1:43" ht="12.75" x14ac:dyDescent="0.2">
      <c r="A54" s="121"/>
      <c r="B54" s="98" t="s">
        <v>132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100"/>
    </row>
    <row r="55" spans="1:43" ht="12.75" x14ac:dyDescent="0.2">
      <c r="A55" s="26"/>
      <c r="B55" s="117" t="s">
        <v>120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9"/>
    </row>
    <row r="56" spans="1:43" ht="12.75" x14ac:dyDescent="0.2">
      <c r="A56" s="26"/>
      <c r="B56" s="111" t="s">
        <v>119</v>
      </c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3"/>
    </row>
    <row r="57" spans="1:43" ht="12.75" x14ac:dyDescent="0.2">
      <c r="A57" s="26"/>
      <c r="B57" s="111" t="s">
        <v>100</v>
      </c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3"/>
    </row>
    <row r="58" spans="1:43" ht="12.75" x14ac:dyDescent="0.2">
      <c r="A58" s="26"/>
      <c r="B58" s="98" t="s">
        <v>101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100"/>
    </row>
    <row r="59" spans="1:43" ht="12.75" x14ac:dyDescent="0.2">
      <c r="A59" s="26"/>
      <c r="B59" s="98" t="s">
        <v>102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100"/>
    </row>
    <row r="60" spans="1:43" ht="15.75" customHeight="1" x14ac:dyDescent="0.2">
      <c r="A60" s="26"/>
      <c r="B60" s="108" t="s">
        <v>103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10"/>
    </row>
    <row r="61" spans="1:43" ht="15.75" customHeight="1" x14ac:dyDescent="0.2">
      <c r="A61" s="26"/>
      <c r="B61" s="108" t="s">
        <v>104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10"/>
    </row>
    <row r="62" spans="1:43" ht="12.75" x14ac:dyDescent="0.2">
      <c r="A62" s="26"/>
      <c r="B62" s="108" t="s">
        <v>117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10"/>
    </row>
    <row r="63" spans="1:43" ht="15.75" customHeight="1" x14ac:dyDescent="0.2">
      <c r="A63" s="26"/>
      <c r="B63" s="108" t="s">
        <v>122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10"/>
    </row>
    <row r="64" spans="1:43" ht="12.75" x14ac:dyDescent="0.2">
      <c r="A64" s="26"/>
      <c r="B64" s="98" t="s">
        <v>121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100"/>
      <c r="AQ64" s="29"/>
    </row>
    <row r="65" spans="1:42" ht="12.75" x14ac:dyDescent="0.2">
      <c r="A65" s="26"/>
      <c r="B65" s="98" t="s">
        <v>105</v>
      </c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100"/>
    </row>
    <row r="66" spans="1:42" ht="12.75" x14ac:dyDescent="0.2">
      <c r="A66" s="26"/>
      <c r="B66" s="98" t="s">
        <v>112</v>
      </c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100"/>
    </row>
    <row r="67" spans="1:42" ht="12.75" customHeight="1" x14ac:dyDescent="0.2">
      <c r="A67" s="26"/>
      <c r="B67" s="114" t="s">
        <v>106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6"/>
    </row>
    <row r="68" spans="1:42" ht="12.75" x14ac:dyDescent="0.2">
      <c r="A68" s="26"/>
      <c r="B68" s="114" t="s">
        <v>129</v>
      </c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6"/>
    </row>
    <row r="69" spans="1:42" ht="12.75" customHeight="1" x14ac:dyDescent="0.2">
      <c r="A69" s="26"/>
      <c r="B69" s="114" t="s">
        <v>113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6"/>
    </row>
    <row r="70" spans="1:42" ht="12.75" x14ac:dyDescent="0.2">
      <c r="A70" s="26"/>
      <c r="B70" s="98" t="s">
        <v>107</v>
      </c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100"/>
    </row>
    <row r="71" spans="1:42" ht="12.75" x14ac:dyDescent="0.2">
      <c r="A71" s="26"/>
      <c r="B71" s="98" t="s">
        <v>124</v>
      </c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100"/>
    </row>
    <row r="72" spans="1:42" ht="12.75" x14ac:dyDescent="0.2">
      <c r="A72" s="26"/>
      <c r="B72" s="98" t="s">
        <v>108</v>
      </c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100"/>
    </row>
    <row r="73" spans="1:42" ht="15.75" customHeight="1" x14ac:dyDescent="0.2">
      <c r="A73" s="26"/>
      <c r="B73" s="98" t="s">
        <v>98</v>
      </c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100"/>
    </row>
    <row r="74" spans="1:42" ht="12.75" x14ac:dyDescent="0.2">
      <c r="A74" s="5"/>
      <c r="B74" s="98" t="s">
        <v>114</v>
      </c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100"/>
    </row>
    <row r="75" spans="1:42" ht="12.75" x14ac:dyDescent="0.2">
      <c r="A75" s="5"/>
      <c r="B75" s="98" t="s">
        <v>110</v>
      </c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100"/>
    </row>
    <row r="76" spans="1:42" ht="13.5" thickBot="1" x14ac:dyDescent="0.25">
      <c r="B76" s="101" t="s">
        <v>109</v>
      </c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3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s="29" customFormat="1" x14ac:dyDescent="0.2">
      <c r="A99" s="28"/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35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x14ac:dyDescent="0.2"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</sheetData>
  <mergeCells count="127">
    <mergeCell ref="AL37:AM37"/>
    <mergeCell ref="AN37:AP37"/>
    <mergeCell ref="AL38:AM38"/>
    <mergeCell ref="AN38:AP38"/>
    <mergeCell ref="B5:AP5"/>
    <mergeCell ref="AL26:AM26"/>
    <mergeCell ref="AL27:AM27"/>
    <mergeCell ref="AL28:AM28"/>
    <mergeCell ref="AN29:AP29"/>
    <mergeCell ref="AN32:AP32"/>
    <mergeCell ref="AN36:AP36"/>
    <mergeCell ref="AK7:AM7"/>
    <mergeCell ref="AL24:AM24"/>
    <mergeCell ref="AL29:AM29"/>
    <mergeCell ref="AN13:AP13"/>
    <mergeCell ref="AN14:AP14"/>
    <mergeCell ref="AL21:AM21"/>
    <mergeCell ref="AN11:AP11"/>
    <mergeCell ref="AN12:AP12"/>
    <mergeCell ref="AL8:AM8"/>
    <mergeCell ref="AN18:AP18"/>
    <mergeCell ref="AL18:AM18"/>
    <mergeCell ref="AL19:AM19"/>
    <mergeCell ref="AL20:AM20"/>
    <mergeCell ref="AN27:AP27"/>
    <mergeCell ref="AN28:AP28"/>
    <mergeCell ref="E7:AJ7"/>
    <mergeCell ref="AL11:AM11"/>
    <mergeCell ref="AL12:AM12"/>
    <mergeCell ref="AN7:AP8"/>
    <mergeCell ref="AN21:AP21"/>
    <mergeCell ref="AL15:AM15"/>
    <mergeCell ref="AN17:AP17"/>
    <mergeCell ref="AL16:AM16"/>
    <mergeCell ref="AL17:AM17"/>
    <mergeCell ref="AL23:AM23"/>
    <mergeCell ref="AN15:AP15"/>
    <mergeCell ref="AN16:AP16"/>
    <mergeCell ref="AL22:AM22"/>
    <mergeCell ref="AN19:AP19"/>
    <mergeCell ref="AN20:AP20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56:AP56"/>
    <mergeCell ref="B46:AP46"/>
    <mergeCell ref="B44:J44"/>
    <mergeCell ref="B53:AP53"/>
    <mergeCell ref="B54:AP54"/>
    <mergeCell ref="B66:AP66"/>
    <mergeCell ref="B67:AP67"/>
    <mergeCell ref="B7:B8"/>
    <mergeCell ref="C7:C8"/>
    <mergeCell ref="D7:D8"/>
    <mergeCell ref="AN9:AP9"/>
    <mergeCell ref="AN10:AP10"/>
    <mergeCell ref="AL9:AM9"/>
    <mergeCell ref="AL10:AM10"/>
    <mergeCell ref="B58:AP58"/>
    <mergeCell ref="AN25:AP25"/>
    <mergeCell ref="AN26:AP26"/>
    <mergeCell ref="AL25:AM25"/>
    <mergeCell ref="AN22:AP22"/>
    <mergeCell ref="AN23:AP23"/>
    <mergeCell ref="AN24:AP24"/>
    <mergeCell ref="AL13:AM13"/>
    <mergeCell ref="AL14:AM14"/>
    <mergeCell ref="L43:AA43"/>
    <mergeCell ref="AL30:AM30"/>
    <mergeCell ref="A40:B40"/>
    <mergeCell ref="A41:A54"/>
    <mergeCell ref="B41:J41"/>
    <mergeCell ref="L41:AA41"/>
    <mergeCell ref="AC41:AP41"/>
    <mergeCell ref="B42:J42"/>
    <mergeCell ref="L42:AA42"/>
    <mergeCell ref="B51:AP51"/>
    <mergeCell ref="B48:AP48"/>
    <mergeCell ref="AL35:AM35"/>
    <mergeCell ref="AC43:AP43"/>
    <mergeCell ref="AN35:AP35"/>
    <mergeCell ref="B43:J43"/>
    <mergeCell ref="L44:AA44"/>
    <mergeCell ref="AC44:AP44"/>
    <mergeCell ref="B47:AP47"/>
    <mergeCell ref="AC42:AP42"/>
    <mergeCell ref="B49:AP49"/>
    <mergeCell ref="B50:AP50"/>
    <mergeCell ref="B52:AP52"/>
    <mergeCell ref="AL31:AM31"/>
    <mergeCell ref="AN30:AP30"/>
    <mergeCell ref="AN31:AP31"/>
    <mergeCell ref="B75:AP75"/>
    <mergeCell ref="B74:AP74"/>
    <mergeCell ref="B76:AP76"/>
    <mergeCell ref="AL33:AM33"/>
    <mergeCell ref="AL34:AM34"/>
    <mergeCell ref="AL32:AM32"/>
    <mergeCell ref="AL36:AM36"/>
    <mergeCell ref="AL39:AM39"/>
    <mergeCell ref="AN39:AP39"/>
    <mergeCell ref="B73:AP73"/>
    <mergeCell ref="B65:AP65"/>
    <mergeCell ref="B70:AP70"/>
    <mergeCell ref="B72:AP72"/>
    <mergeCell ref="B62:AP62"/>
    <mergeCell ref="B59:AP59"/>
    <mergeCell ref="B60:AP60"/>
    <mergeCell ref="B61:AP61"/>
    <mergeCell ref="B57:AP57"/>
    <mergeCell ref="B71:AP71"/>
    <mergeCell ref="B68:AP68"/>
    <mergeCell ref="B69:AP69"/>
    <mergeCell ref="B55:AP55"/>
    <mergeCell ref="B64:AP64"/>
    <mergeCell ref="B63:AP63"/>
  </mergeCells>
  <conditionalFormatting sqref="AB41:AB45 K43:K44 L42 H27:AG28 P8:AG17 H8:O26 P22:V26 W19:AG26 P19:V20 P18:U18">
    <cfRule type="cellIs" dxfId="97" priority="24" stopIfTrue="1" operator="equal">
      <formula>"."</formula>
    </cfRule>
  </conditionalFormatting>
  <conditionalFormatting sqref="AC41:AC42 AD40:AJ40 AC45 E41:AA41 J39 K45:L45 K42">
    <cfRule type="cellIs" dxfId="96" priority="109" stopIfTrue="1" operator="equal">
      <formula>"."</formula>
    </cfRule>
  </conditionalFormatting>
  <conditionalFormatting sqref="AJ39">
    <cfRule type="cellIs" dxfId="95" priority="107" stopIfTrue="1" operator="equal">
      <formula>"."</formula>
    </cfRule>
  </conditionalFormatting>
  <conditionalFormatting sqref="K39 S21:V21 H32:L38">
    <cfRule type="cellIs" dxfId="94" priority="106" stopIfTrue="1" operator="equal">
      <formula>"."</formula>
    </cfRule>
  </conditionalFormatting>
  <conditionalFormatting sqref="K39 S21:V21 H32:L38">
    <cfRule type="cellIs" dxfId="93" priority="105" stopIfTrue="1" operator="equal">
      <formula>"."</formula>
    </cfRule>
  </conditionalFormatting>
  <conditionalFormatting sqref="P21">
    <cfRule type="cellIs" dxfId="92" priority="103" stopIfTrue="1" operator="equal">
      <formula>"."</formula>
    </cfRule>
  </conditionalFormatting>
  <conditionalFormatting sqref="W32:W38">
    <cfRule type="cellIs" dxfId="91" priority="101" stopIfTrue="1" operator="equal">
      <formula>"."</formula>
    </cfRule>
  </conditionalFormatting>
  <conditionalFormatting sqref="P21">
    <cfRule type="cellIs" dxfId="90" priority="104" stopIfTrue="1" operator="equal">
      <formula>"."</formula>
    </cfRule>
  </conditionalFormatting>
  <conditionalFormatting sqref="W32:W38">
    <cfRule type="cellIs" dxfId="89" priority="102" stopIfTrue="1" operator="equal">
      <formula>"."</formula>
    </cfRule>
  </conditionalFormatting>
  <conditionalFormatting sqref="AE39 AD32:AE35">
    <cfRule type="cellIs" dxfId="88" priority="100" stopIfTrue="1" operator="equal">
      <formula>"."</formula>
    </cfRule>
  </conditionalFormatting>
  <conditionalFormatting sqref="AE39 AD32:AE35">
    <cfRule type="cellIs" dxfId="87" priority="99" stopIfTrue="1" operator="equal">
      <formula>"."</formula>
    </cfRule>
  </conditionalFormatting>
  <conditionalFormatting sqref="G32:G38">
    <cfRule type="cellIs" dxfId="86" priority="97" stopIfTrue="1" operator="equal">
      <formula>"."</formula>
    </cfRule>
  </conditionalFormatting>
  <conditionalFormatting sqref="G32:G38">
    <cfRule type="cellIs" dxfId="85" priority="96" stopIfTrue="1" operator="equal">
      <formula>"."</formula>
    </cfRule>
  </conditionalFormatting>
  <conditionalFormatting sqref="F32:F38">
    <cfRule type="cellIs" dxfId="84" priority="95" stopIfTrue="1" operator="equal">
      <formula>"."</formula>
    </cfRule>
  </conditionalFormatting>
  <conditionalFormatting sqref="F32:F38">
    <cfRule type="cellIs" dxfId="83" priority="94" stopIfTrue="1" operator="equal">
      <formula>"."</formula>
    </cfRule>
  </conditionalFormatting>
  <conditionalFormatting sqref="M32:M38">
    <cfRule type="cellIs" dxfId="82" priority="93" stopIfTrue="1" operator="equal">
      <formula>"."</formula>
    </cfRule>
  </conditionalFormatting>
  <conditionalFormatting sqref="M32:M38">
    <cfRule type="cellIs" dxfId="81" priority="92" stopIfTrue="1" operator="equal">
      <formula>"."</formula>
    </cfRule>
  </conditionalFormatting>
  <conditionalFormatting sqref="T32:T38">
    <cfRule type="cellIs" dxfId="80" priority="91" stopIfTrue="1" operator="equal">
      <formula>"."</formula>
    </cfRule>
  </conditionalFormatting>
  <conditionalFormatting sqref="T32:T38">
    <cfRule type="cellIs" dxfId="79" priority="90" stopIfTrue="1" operator="equal">
      <formula>"."</formula>
    </cfRule>
  </conditionalFormatting>
  <conditionalFormatting sqref="AA32:AA38">
    <cfRule type="cellIs" dxfId="78" priority="89" stopIfTrue="1" operator="equal">
      <formula>"."</formula>
    </cfRule>
  </conditionalFormatting>
  <conditionalFormatting sqref="AA32:AA38">
    <cfRule type="cellIs" dxfId="77" priority="88" stopIfTrue="1" operator="equal">
      <formula>"."</formula>
    </cfRule>
  </conditionalFormatting>
  <conditionalFormatting sqref="AI32:AI38">
    <cfRule type="cellIs" dxfId="76" priority="86" stopIfTrue="1" operator="equal">
      <formula>"."</formula>
    </cfRule>
  </conditionalFormatting>
  <conditionalFormatting sqref="AI32:AI38">
    <cfRule type="cellIs" dxfId="75" priority="87" stopIfTrue="1" operator="equal">
      <formula>"."</formula>
    </cfRule>
  </conditionalFormatting>
  <conditionalFormatting sqref="AH32:AH35">
    <cfRule type="cellIs" dxfId="74" priority="85" stopIfTrue="1" operator="equal">
      <formula>"."</formula>
    </cfRule>
  </conditionalFormatting>
  <conditionalFormatting sqref="AH32:AH35">
    <cfRule type="cellIs" dxfId="73" priority="84" stopIfTrue="1" operator="equal">
      <formula>"."</formula>
    </cfRule>
  </conditionalFormatting>
  <conditionalFormatting sqref="P39">
    <cfRule type="cellIs" dxfId="72" priority="83" stopIfTrue="1" operator="equal">
      <formula>"."</formula>
    </cfRule>
  </conditionalFormatting>
  <conditionalFormatting sqref="Q39 P32:Q38">
    <cfRule type="cellIs" dxfId="71" priority="82" stopIfTrue="1" operator="equal">
      <formula>"."</formula>
    </cfRule>
  </conditionalFormatting>
  <conditionalFormatting sqref="Q39 P32:Q38">
    <cfRule type="cellIs" dxfId="70" priority="81" stopIfTrue="1" operator="equal">
      <formula>"."</formula>
    </cfRule>
  </conditionalFormatting>
  <conditionalFormatting sqref="X39">
    <cfRule type="cellIs" dxfId="69" priority="80" stopIfTrue="1" operator="equal">
      <formula>"."</formula>
    </cfRule>
  </conditionalFormatting>
  <conditionalFormatting sqref="X32:X38">
    <cfRule type="cellIs" dxfId="68" priority="79" stopIfTrue="1" operator="equal">
      <formula>"."</formula>
    </cfRule>
  </conditionalFormatting>
  <conditionalFormatting sqref="X32:X38">
    <cfRule type="cellIs" dxfId="67" priority="78" stopIfTrue="1" operator="equal">
      <formula>"."</formula>
    </cfRule>
  </conditionalFormatting>
  <conditionalFormatting sqref="R39 R32:S38">
    <cfRule type="cellIs" dxfId="66" priority="76" stopIfTrue="1" operator="equal">
      <formula>"."</formula>
    </cfRule>
  </conditionalFormatting>
  <conditionalFormatting sqref="R39 R32:S38">
    <cfRule type="cellIs" dxfId="65" priority="77" stopIfTrue="1" operator="equal">
      <formula>"."</formula>
    </cfRule>
  </conditionalFormatting>
  <conditionalFormatting sqref="Y39 Y32:Z38">
    <cfRule type="cellIs" dxfId="64" priority="75" stopIfTrue="1" operator="equal">
      <formula>"."</formula>
    </cfRule>
  </conditionalFormatting>
  <conditionalFormatting sqref="Y39 Y32:Z38">
    <cfRule type="cellIs" dxfId="63" priority="74" stopIfTrue="1" operator="equal">
      <formula>"."</formula>
    </cfRule>
  </conditionalFormatting>
  <conditionalFormatting sqref="AF39 AF32:AG35">
    <cfRule type="cellIs" dxfId="62" priority="73" stopIfTrue="1" operator="equal">
      <formula>"."</formula>
    </cfRule>
  </conditionalFormatting>
  <conditionalFormatting sqref="AF39 AF32:AG35">
    <cfRule type="cellIs" dxfId="61" priority="72" stopIfTrue="1" operator="equal">
      <formula>"."</formula>
    </cfRule>
  </conditionalFormatting>
  <conditionalFormatting sqref="G39">
    <cfRule type="cellIs" dxfId="60" priority="68" stopIfTrue="1" operator="equal">
      <formula>"."</formula>
    </cfRule>
  </conditionalFormatting>
  <conditionalFormatting sqref="H39:I39">
    <cfRule type="cellIs" dxfId="59" priority="71" stopIfTrue="1" operator="equal">
      <formula>"."</formula>
    </cfRule>
  </conditionalFormatting>
  <conditionalFormatting sqref="H39:I39">
    <cfRule type="cellIs" dxfId="58" priority="70" stopIfTrue="1" operator="equal">
      <formula>"."</formula>
    </cfRule>
  </conditionalFormatting>
  <conditionalFormatting sqref="G39">
    <cfRule type="cellIs" dxfId="57" priority="69" stopIfTrue="1" operator="equal">
      <formula>"."</formula>
    </cfRule>
  </conditionalFormatting>
  <conditionalFormatting sqref="F39">
    <cfRule type="cellIs" dxfId="56" priority="67" stopIfTrue="1" operator="equal">
      <formula>"."</formula>
    </cfRule>
  </conditionalFormatting>
  <conditionalFormatting sqref="F39">
    <cfRule type="cellIs" dxfId="55" priority="66" stopIfTrue="1" operator="equal">
      <formula>"."</formula>
    </cfRule>
  </conditionalFormatting>
  <conditionalFormatting sqref="T39">
    <cfRule type="cellIs" dxfId="54" priority="54" stopIfTrue="1" operator="equal">
      <formula>"."</formula>
    </cfRule>
  </conditionalFormatting>
  <conditionalFormatting sqref="O39">
    <cfRule type="cellIs" dxfId="53" priority="61" stopIfTrue="1" operator="equal">
      <formula>"."</formula>
    </cfRule>
  </conditionalFormatting>
  <conditionalFormatting sqref="W39">
    <cfRule type="cellIs" dxfId="52" priority="57" stopIfTrue="1" operator="equal">
      <formula>"."</formula>
    </cfRule>
  </conditionalFormatting>
  <conditionalFormatting sqref="W39">
    <cfRule type="cellIs" dxfId="51" priority="56" stopIfTrue="1" operator="equal">
      <formula>"."</formula>
    </cfRule>
  </conditionalFormatting>
  <conditionalFormatting sqref="M39">
    <cfRule type="cellIs" dxfId="50" priority="63" stopIfTrue="1" operator="equal">
      <formula>"."</formula>
    </cfRule>
  </conditionalFormatting>
  <conditionalFormatting sqref="M39">
    <cfRule type="cellIs" dxfId="49" priority="62" stopIfTrue="1" operator="equal">
      <formula>"."</formula>
    </cfRule>
  </conditionalFormatting>
  <conditionalFormatting sqref="E29:E39">
    <cfRule type="cellIs" dxfId="48" priority="31" stopIfTrue="1" operator="equal">
      <formula>"."</formula>
    </cfRule>
  </conditionalFormatting>
  <conditionalFormatting sqref="E29:E39">
    <cfRule type="cellIs" dxfId="47" priority="30" stopIfTrue="1" operator="equal">
      <formula>"."</formula>
    </cfRule>
  </conditionalFormatting>
  <conditionalFormatting sqref="L39">
    <cfRule type="cellIs" dxfId="46" priority="65" stopIfTrue="1" operator="equal">
      <formula>"."</formula>
    </cfRule>
  </conditionalFormatting>
  <conditionalFormatting sqref="L39">
    <cfRule type="cellIs" dxfId="45" priority="64" stopIfTrue="1" operator="equal">
      <formula>"."</formula>
    </cfRule>
  </conditionalFormatting>
  <conditionalFormatting sqref="O39">
    <cfRule type="cellIs" dxfId="44" priority="60" stopIfTrue="1" operator="equal">
      <formula>"."</formula>
    </cfRule>
  </conditionalFormatting>
  <conditionalFormatting sqref="N39">
    <cfRule type="cellIs" dxfId="43" priority="58" stopIfTrue="1" operator="equal">
      <formula>"."</formula>
    </cfRule>
  </conditionalFormatting>
  <conditionalFormatting sqref="N39">
    <cfRule type="cellIs" dxfId="42" priority="59" stopIfTrue="1" operator="equal">
      <formula>"."</formula>
    </cfRule>
  </conditionalFormatting>
  <conditionalFormatting sqref="T39">
    <cfRule type="cellIs" dxfId="41" priority="55" stopIfTrue="1" operator="equal">
      <formula>"."</formula>
    </cfRule>
  </conditionalFormatting>
  <conditionalFormatting sqref="V39">
    <cfRule type="cellIs" dxfId="40" priority="53" stopIfTrue="1" operator="equal">
      <formula>"."</formula>
    </cfRule>
  </conditionalFormatting>
  <conditionalFormatting sqref="V39">
    <cfRule type="cellIs" dxfId="39" priority="52" stopIfTrue="1" operator="equal">
      <formula>"."</formula>
    </cfRule>
  </conditionalFormatting>
  <conditionalFormatting sqref="U39">
    <cfRule type="cellIs" dxfId="38" priority="50" stopIfTrue="1" operator="equal">
      <formula>"."</formula>
    </cfRule>
  </conditionalFormatting>
  <conditionalFormatting sqref="U39">
    <cfRule type="cellIs" dxfId="37" priority="51" stopIfTrue="1" operator="equal">
      <formula>"."</formula>
    </cfRule>
  </conditionalFormatting>
  <conditionalFormatting sqref="S39">
    <cfRule type="cellIs" dxfId="36" priority="49" stopIfTrue="1" operator="equal">
      <formula>"."</formula>
    </cfRule>
  </conditionalFormatting>
  <conditionalFormatting sqref="S39">
    <cfRule type="cellIs" dxfId="35" priority="48" stopIfTrue="1" operator="equal">
      <formula>"."</formula>
    </cfRule>
  </conditionalFormatting>
  <conditionalFormatting sqref="AD39">
    <cfRule type="cellIs" dxfId="34" priority="47" stopIfTrue="1" operator="equal">
      <formula>"."</formula>
    </cfRule>
  </conditionalFormatting>
  <conditionalFormatting sqref="AD39">
    <cfRule type="cellIs" dxfId="33" priority="46" stopIfTrue="1" operator="equal">
      <formula>"."</formula>
    </cfRule>
  </conditionalFormatting>
  <conditionalFormatting sqref="AA39">
    <cfRule type="cellIs" dxfId="32" priority="45" stopIfTrue="1" operator="equal">
      <formula>"."</formula>
    </cfRule>
  </conditionalFormatting>
  <conditionalFormatting sqref="AA39">
    <cfRule type="cellIs" dxfId="31" priority="44" stopIfTrue="1" operator="equal">
      <formula>"."</formula>
    </cfRule>
  </conditionalFormatting>
  <conditionalFormatting sqref="AC39">
    <cfRule type="cellIs" dxfId="30" priority="43" stopIfTrue="1" operator="equal">
      <formula>"."</formula>
    </cfRule>
  </conditionalFormatting>
  <conditionalFormatting sqref="AC39">
    <cfRule type="cellIs" dxfId="29" priority="42" stopIfTrue="1" operator="equal">
      <formula>"."</formula>
    </cfRule>
  </conditionalFormatting>
  <conditionalFormatting sqref="AB39">
    <cfRule type="cellIs" dxfId="28" priority="40" stopIfTrue="1" operator="equal">
      <formula>"."</formula>
    </cfRule>
  </conditionalFormatting>
  <conditionalFormatting sqref="AB39">
    <cfRule type="cellIs" dxfId="27" priority="41" stopIfTrue="1" operator="equal">
      <formula>"."</formula>
    </cfRule>
  </conditionalFormatting>
  <conditionalFormatting sqref="Z39">
    <cfRule type="cellIs" dxfId="26" priority="39" stopIfTrue="1" operator="equal">
      <formula>"."</formula>
    </cfRule>
  </conditionalFormatting>
  <conditionalFormatting sqref="Z39">
    <cfRule type="cellIs" dxfId="25" priority="38" stopIfTrue="1" operator="equal">
      <formula>"."</formula>
    </cfRule>
  </conditionalFormatting>
  <conditionalFormatting sqref="AI39">
    <cfRule type="cellIs" dxfId="24" priority="36" stopIfTrue="1" operator="equal">
      <formula>"."</formula>
    </cfRule>
  </conditionalFormatting>
  <conditionalFormatting sqref="AI39">
    <cfRule type="cellIs" dxfId="23" priority="37" stopIfTrue="1" operator="equal">
      <formula>"."</formula>
    </cfRule>
  </conditionalFormatting>
  <conditionalFormatting sqref="AH39">
    <cfRule type="cellIs" dxfId="22" priority="35" stopIfTrue="1" operator="equal">
      <formula>"."</formula>
    </cfRule>
  </conditionalFormatting>
  <conditionalFormatting sqref="AH39">
    <cfRule type="cellIs" dxfId="21" priority="34" stopIfTrue="1" operator="equal">
      <formula>"."</formula>
    </cfRule>
  </conditionalFormatting>
  <conditionalFormatting sqref="AG39">
    <cfRule type="cellIs" dxfId="20" priority="33" stopIfTrue="1" operator="equal">
      <formula>"."</formula>
    </cfRule>
  </conditionalFormatting>
  <conditionalFormatting sqref="AG39">
    <cfRule type="cellIs" dxfId="19" priority="32" stopIfTrue="1" operator="equal">
      <formula>"."</formula>
    </cfRule>
  </conditionalFormatting>
  <conditionalFormatting sqref="AC32:AC35 V32:V38 O32:O38">
    <cfRule type="cellIs" dxfId="18" priority="29" stopIfTrue="1" operator="equal">
      <formula>"."</formula>
    </cfRule>
  </conditionalFormatting>
  <conditionalFormatting sqref="AC32:AC35 V32:V38 O32:O38">
    <cfRule type="cellIs" dxfId="17" priority="28" stopIfTrue="1" operator="equal">
      <formula>"."</formula>
    </cfRule>
  </conditionalFormatting>
  <conditionalFormatting sqref="AB32:AB38 U32:U38 N32:N38">
    <cfRule type="cellIs" dxfId="16" priority="27" stopIfTrue="1" operator="equal">
      <formula>"."</formula>
    </cfRule>
  </conditionalFormatting>
  <conditionalFormatting sqref="AB32:AB38 U32:U38 N32:N38">
    <cfRule type="cellIs" dxfId="15" priority="26" stopIfTrue="1" operator="equal">
      <formula>"."</formula>
    </cfRule>
  </conditionalFormatting>
  <conditionalFormatting sqref="E29:AI31">
    <cfRule type="cellIs" dxfId="14" priority="19" stopIfTrue="1" operator="equal">
      <formula>"."</formula>
    </cfRule>
  </conditionalFormatting>
  <conditionalFormatting sqref="E29:AI31">
    <cfRule type="cellIs" dxfId="13" priority="18" stopIfTrue="1" operator="equal">
      <formula>"."</formula>
    </cfRule>
  </conditionalFormatting>
  <conditionalFormatting sqref="AC36:AH38">
    <cfRule type="cellIs" dxfId="12" priority="17" stopIfTrue="1" operator="equal">
      <formula>"."</formula>
    </cfRule>
  </conditionalFormatting>
  <conditionalFormatting sqref="AC36:AH38">
    <cfRule type="cellIs" dxfId="11" priority="16" stopIfTrue="1" operator="equal">
      <formula>"."</formula>
    </cfRule>
  </conditionalFormatting>
  <conditionalFormatting sqref="Q21:R21">
    <cfRule type="cellIs" dxfId="10" priority="10" stopIfTrue="1" operator="equal">
      <formula>"."</formula>
    </cfRule>
  </conditionalFormatting>
  <conditionalFormatting sqref="Q21:R21">
    <cfRule type="cellIs" dxfId="9" priority="11" stopIfTrue="1" operator="equal">
      <formula>"."</formula>
    </cfRule>
  </conditionalFormatting>
  <conditionalFormatting sqref="F32:F38">
    <cfRule type="cellIs" dxfId="8" priority="9" stopIfTrue="1" operator="equal">
      <formula>"."</formula>
    </cfRule>
  </conditionalFormatting>
  <conditionalFormatting sqref="F32:F38">
    <cfRule type="cellIs" dxfId="7" priority="8" stopIfTrue="1" operator="equal">
      <formula>"."</formula>
    </cfRule>
  </conditionalFormatting>
  <conditionalFormatting sqref="E32:E38">
    <cfRule type="cellIs" dxfId="6" priority="7" stopIfTrue="1" operator="equal">
      <formula>"."</formula>
    </cfRule>
  </conditionalFormatting>
  <conditionalFormatting sqref="E32:E38">
    <cfRule type="cellIs" dxfId="5" priority="6" stopIfTrue="1" operator="equal">
      <formula>"."</formula>
    </cfRule>
  </conditionalFormatting>
  <conditionalFormatting sqref="F39">
    <cfRule type="cellIs" dxfId="4" priority="4" stopIfTrue="1" operator="equal">
      <formula>"."</formula>
    </cfRule>
  </conditionalFormatting>
  <conditionalFormatting sqref="F39">
    <cfRule type="cellIs" dxfId="3" priority="5" stopIfTrue="1" operator="equal">
      <formula>"."</formula>
    </cfRule>
  </conditionalFormatting>
  <conditionalFormatting sqref="E39">
    <cfRule type="cellIs" dxfId="2" priority="3" stopIfTrue="1" operator="equal">
      <formula>"."</formula>
    </cfRule>
  </conditionalFormatting>
  <conditionalFormatting sqref="E39">
    <cfRule type="cellIs" dxfId="1" priority="2" stopIfTrue="1" operator="equal">
      <formula>"."</formula>
    </cfRule>
  </conditionalFormatting>
  <conditionalFormatting sqref="V18:AG18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2025-01-29T18:00:21Z</cp:lastPrinted>
  <dcterms:created xsi:type="dcterms:W3CDTF">2022-04-12T01:37:30Z</dcterms:created>
  <dcterms:modified xsi:type="dcterms:W3CDTF">2026-06-02T13:09:43Z</dcterms:modified>
</cp:coreProperties>
</file>