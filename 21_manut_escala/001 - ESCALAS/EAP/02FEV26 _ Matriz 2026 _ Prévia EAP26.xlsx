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200" windowHeight="16440" tabRatio="903" firstSheet="1" activeTab="1"/>
  </bookViews>
  <sheets>
    <sheet name="Opções" sheetId="3" r:id="rId1"/>
    <sheet name="EAP _POR SEÇÃO" sheetId="1" r:id="rId2"/>
    <sheet name="Plan6" sheetId="28" state="hidden" r:id="rId3"/>
  </sheets>
  <externalReferences>
    <externalReference r:id="rId4"/>
  </externalReferences>
  <definedNames>
    <definedName name="_xlnm._FilterDatabase" localSheetId="1" hidden="1">'EAP _POR SEÇÃO'!$A$1:$ABJ$137</definedName>
    <definedName name="AFASTADO">Opções!$D$2:$D$15</definedName>
    <definedName name="_xlnm.Print_Area" localSheetId="1">'EAP _POR SEÇÃO'!$B$1:$I$133</definedName>
    <definedName name="FÉRIAS">Opções!$G$2:$G$35</definedName>
    <definedName name="FUNÇÃO">Opções!$F$2:$F$35</definedName>
    <definedName name="GÊNERO">Opções!$B$2:$B$35</definedName>
    <definedName name="I\BIM">'EAP _POR SEÇÃO'!#REF!</definedName>
    <definedName name="IAS">'EAP _POR SEÇÃO'!$G$1</definedName>
    <definedName name="MOTIVO">Opções!$D$2:$D$35</definedName>
    <definedName name="POST\GRAD">Opções!$A$2:$A$35</definedName>
    <definedName name="PROMOÇÃO">'EAP _POR SEÇÃO'!#REF!</definedName>
    <definedName name="SEÇÃO">Opções!$E$2:$E$35</definedName>
    <definedName name="SITUAÇÃO">Opções!$C$2:$C$35</definedName>
    <definedName name="SOBRESTADA">'EAP _POR SEÇÃO'!#REF!</definedName>
    <definedName name="TELEFONE">'EAP _POR SEÇÃO'!#REF!</definedName>
  </definedNames>
  <calcPr calcId="145621"/>
</workbook>
</file>

<file path=xl/calcChain.xml><?xml version="1.0" encoding="utf-8"?>
<calcChain xmlns="http://schemas.openxmlformats.org/spreadsheetml/2006/main">
  <c r="O137" i="1" l="1"/>
  <c r="L137" i="1"/>
  <c r="O136" i="1"/>
  <c r="L136" i="1"/>
  <c r="O135" i="1"/>
  <c r="L135" i="1"/>
  <c r="O134" i="1"/>
  <c r="L134" i="1"/>
  <c r="O133" i="1"/>
  <c r="L133" i="1"/>
  <c r="O132" i="1"/>
  <c r="L132" i="1"/>
  <c r="O131" i="1"/>
  <c r="L131" i="1"/>
  <c r="O130" i="1"/>
  <c r="L130" i="1"/>
  <c r="O129" i="1"/>
  <c r="L129" i="1"/>
  <c r="O128" i="1"/>
  <c r="L128" i="1"/>
  <c r="O127" i="1"/>
  <c r="L127" i="1"/>
  <c r="O126" i="1"/>
  <c r="L126" i="1"/>
  <c r="O125" i="1"/>
  <c r="L125" i="1"/>
  <c r="O124" i="1"/>
  <c r="L124" i="1"/>
  <c r="O123" i="1"/>
  <c r="L123" i="1"/>
  <c r="O122" i="1"/>
  <c r="L122" i="1"/>
  <c r="O121" i="1"/>
  <c r="L121" i="1"/>
  <c r="O120" i="1"/>
  <c r="L120" i="1"/>
  <c r="O119" i="1"/>
  <c r="L119" i="1"/>
  <c r="O118" i="1"/>
  <c r="L118" i="1"/>
  <c r="O117" i="1"/>
  <c r="L117" i="1"/>
  <c r="O116" i="1"/>
  <c r="L116" i="1"/>
  <c r="O115" i="1"/>
  <c r="L115" i="1"/>
  <c r="O114" i="1"/>
  <c r="L114" i="1"/>
  <c r="O113" i="1"/>
  <c r="L113" i="1"/>
  <c r="O112" i="1"/>
  <c r="L112" i="1"/>
  <c r="O111" i="1"/>
  <c r="L111" i="1"/>
  <c r="O110" i="1"/>
  <c r="L110" i="1"/>
  <c r="O109" i="1"/>
  <c r="L109" i="1"/>
  <c r="O108" i="1"/>
  <c r="L108" i="1"/>
  <c r="O107" i="1"/>
  <c r="L107" i="1"/>
  <c r="O106" i="1"/>
  <c r="L106" i="1"/>
  <c r="O105" i="1"/>
  <c r="L105" i="1"/>
  <c r="O104" i="1"/>
  <c r="L104" i="1"/>
  <c r="O103" i="1"/>
  <c r="L103" i="1"/>
  <c r="O102" i="1"/>
  <c r="L102" i="1"/>
  <c r="O101" i="1"/>
  <c r="L101" i="1"/>
  <c r="O100" i="1"/>
  <c r="L100" i="1"/>
  <c r="O99" i="1"/>
  <c r="L99" i="1"/>
  <c r="O98" i="1"/>
  <c r="L98" i="1"/>
  <c r="O97" i="1"/>
  <c r="L97" i="1"/>
  <c r="O96" i="1"/>
  <c r="L96" i="1"/>
  <c r="O95" i="1"/>
  <c r="L95" i="1"/>
  <c r="O94" i="1"/>
  <c r="L94" i="1"/>
  <c r="O93" i="1"/>
  <c r="L93" i="1"/>
  <c r="O92" i="1"/>
  <c r="L92" i="1"/>
  <c r="O91" i="1"/>
  <c r="L91" i="1"/>
  <c r="O90" i="1"/>
  <c r="L90" i="1"/>
  <c r="O89" i="1"/>
  <c r="L89" i="1"/>
  <c r="O88" i="1"/>
  <c r="L88" i="1"/>
  <c r="O87" i="1"/>
  <c r="L87" i="1"/>
  <c r="O86" i="1"/>
  <c r="L86" i="1"/>
  <c r="O85" i="1"/>
  <c r="L85" i="1"/>
  <c r="O84" i="1"/>
  <c r="L84" i="1"/>
  <c r="O83" i="1"/>
  <c r="L83" i="1"/>
  <c r="O82" i="1"/>
  <c r="L82" i="1"/>
  <c r="O81" i="1"/>
  <c r="L81" i="1"/>
  <c r="O80" i="1"/>
  <c r="L80" i="1"/>
  <c r="O79" i="1"/>
  <c r="L79" i="1"/>
  <c r="O78" i="1"/>
  <c r="L78" i="1"/>
  <c r="O77" i="1"/>
  <c r="L77" i="1"/>
  <c r="O76" i="1"/>
  <c r="L76" i="1"/>
  <c r="O75" i="1"/>
  <c r="L75" i="1"/>
  <c r="O74" i="1"/>
  <c r="L74" i="1"/>
  <c r="O73" i="1"/>
  <c r="L73" i="1"/>
  <c r="O72" i="1"/>
  <c r="L72" i="1"/>
  <c r="O71" i="1"/>
  <c r="L71" i="1"/>
  <c r="O70" i="1"/>
  <c r="L70" i="1"/>
  <c r="O69" i="1"/>
  <c r="L69" i="1"/>
  <c r="O68" i="1"/>
  <c r="L68" i="1"/>
  <c r="O67" i="1"/>
  <c r="L67" i="1"/>
  <c r="O66" i="1"/>
  <c r="L66" i="1"/>
  <c r="O64" i="1"/>
  <c r="L64" i="1"/>
  <c r="O63" i="1"/>
  <c r="L63" i="1"/>
  <c r="O62" i="1"/>
  <c r="L62" i="1"/>
  <c r="O61" i="1"/>
  <c r="L61" i="1"/>
  <c r="O60" i="1"/>
  <c r="L60" i="1"/>
  <c r="O59" i="1"/>
  <c r="L59" i="1"/>
  <c r="O58" i="1"/>
  <c r="L58" i="1"/>
  <c r="O57" i="1"/>
  <c r="L57" i="1"/>
  <c r="O56" i="1"/>
  <c r="L56" i="1"/>
  <c r="O55" i="1"/>
  <c r="L55" i="1"/>
  <c r="O54" i="1"/>
  <c r="L54" i="1"/>
  <c r="O53" i="1"/>
  <c r="L53" i="1"/>
  <c r="O52" i="1"/>
  <c r="L52" i="1"/>
  <c r="O51" i="1"/>
  <c r="L51" i="1"/>
  <c r="O50" i="1"/>
  <c r="L50" i="1"/>
  <c r="O49" i="1"/>
  <c r="L49" i="1"/>
  <c r="O48" i="1"/>
  <c r="L48" i="1"/>
  <c r="O47" i="1"/>
  <c r="L47" i="1"/>
  <c r="O46" i="1"/>
  <c r="L46" i="1"/>
  <c r="O45" i="1"/>
  <c r="L45" i="1"/>
  <c r="O44" i="1"/>
  <c r="L44" i="1"/>
  <c r="O43" i="1"/>
  <c r="L43" i="1"/>
  <c r="O42" i="1"/>
  <c r="L42" i="1"/>
  <c r="O41" i="1"/>
  <c r="L41" i="1"/>
  <c r="O40" i="1"/>
  <c r="L40" i="1"/>
  <c r="O39" i="1"/>
  <c r="L39" i="1"/>
  <c r="O38" i="1"/>
  <c r="L38" i="1"/>
  <c r="O37" i="1"/>
  <c r="L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O6" i="1"/>
  <c r="L6" i="1"/>
  <c r="O5" i="1"/>
  <c r="L5" i="1"/>
  <c r="O4" i="1"/>
  <c r="L4" i="1"/>
  <c r="O3" i="1"/>
  <c r="L3" i="1"/>
  <c r="O2" i="1"/>
  <c r="L2" i="1"/>
  <c r="H115" i="1" l="1"/>
  <c r="H101" i="1" l="1"/>
  <c r="H33" i="1" l="1"/>
  <c r="H30" i="1"/>
  <c r="H127" i="1"/>
  <c r="H66" i="1"/>
  <c r="H35" i="1"/>
  <c r="H60" i="1" l="1"/>
  <c r="H6" i="1" l="1"/>
  <c r="H25" i="1"/>
  <c r="H126" i="1"/>
  <c r="H5" i="1"/>
  <c r="H4" i="1"/>
  <c r="H54" i="1" l="1"/>
  <c r="H82" i="1"/>
  <c r="H120" i="1"/>
  <c r="H10" i="1"/>
  <c r="H17" i="1" l="1"/>
  <c r="H78" i="1" l="1"/>
  <c r="H19" i="1" l="1"/>
  <c r="H99" i="1" l="1"/>
  <c r="H137" i="1" l="1"/>
  <c r="H65" i="1" l="1"/>
  <c r="H130" i="1" l="1"/>
  <c r="H15" i="1" l="1"/>
  <c r="H23" i="1" l="1"/>
  <c r="H123" i="1"/>
  <c r="H85" i="1"/>
  <c r="H63" i="1"/>
  <c r="H16" i="1"/>
  <c r="H95" i="1"/>
  <c r="H64" i="1"/>
  <c r="H96" i="1"/>
  <c r="H86" i="1"/>
  <c r="H97" i="1"/>
  <c r="H98" i="1"/>
  <c r="H24" i="1"/>
  <c r="H124" i="1"/>
  <c r="H2" i="1"/>
  <c r="H3" i="1"/>
  <c r="H125" i="1"/>
  <c r="H87" i="1"/>
  <c r="H26" i="1"/>
  <c r="H67" i="1"/>
  <c r="H27" i="1"/>
  <c r="H28" i="1"/>
  <c r="H88" i="1"/>
  <c r="H68" i="1"/>
  <c r="H89" i="1"/>
  <c r="H69" i="1"/>
  <c r="H100" i="1"/>
  <c r="H102" i="1"/>
  <c r="H103" i="1"/>
  <c r="H18" i="1"/>
  <c r="H29" i="1"/>
  <c r="H90" i="1"/>
  <c r="H70" i="1"/>
  <c r="H128" i="1"/>
  <c r="H31" i="1"/>
  <c r="H71" i="1"/>
  <c r="H72" i="1"/>
  <c r="H104" i="1"/>
  <c r="H91" i="1"/>
  <c r="H34" i="1"/>
  <c r="H105" i="1"/>
  <c r="H106" i="1"/>
  <c r="H36" i="1"/>
  <c r="H37" i="1"/>
  <c r="H38" i="1"/>
  <c r="H92" i="1"/>
  <c r="H107" i="1"/>
  <c r="H39" i="1"/>
  <c r="H40" i="1"/>
  <c r="H73" i="1"/>
  <c r="H74" i="1"/>
  <c r="H14" i="1"/>
  <c r="H41" i="1"/>
  <c r="H42" i="1"/>
  <c r="H108" i="1"/>
  <c r="H75" i="1"/>
  <c r="H7" i="1"/>
  <c r="H109" i="1"/>
  <c r="H129" i="1"/>
  <c r="H77" i="1"/>
  <c r="H43" i="1"/>
  <c r="H44" i="1"/>
  <c r="H45" i="1"/>
  <c r="H93" i="1"/>
  <c r="H8" i="1"/>
  <c r="H46" i="1"/>
  <c r="H79" i="1"/>
  <c r="H47" i="1"/>
  <c r="H48" i="1"/>
  <c r="H110" i="1"/>
  <c r="H111" i="1"/>
  <c r="H131" i="1"/>
  <c r="H21" i="1"/>
  <c r="H112" i="1"/>
  <c r="H9" i="1"/>
  <c r="H113" i="1"/>
  <c r="H132" i="1"/>
  <c r="H49" i="1"/>
  <c r="H50" i="1"/>
  <c r="H80" i="1"/>
  <c r="H51" i="1"/>
  <c r="H52" i="1"/>
  <c r="H133" i="1"/>
  <c r="H114" i="1"/>
  <c r="H134" i="1"/>
  <c r="H81" i="1"/>
  <c r="H116" i="1"/>
  <c r="H117" i="1"/>
  <c r="H53" i="1"/>
  <c r="H119" i="1"/>
  <c r="H94" i="1"/>
  <c r="H55" i="1"/>
  <c r="H83" i="1"/>
  <c r="H121" i="1"/>
  <c r="H22" i="1"/>
  <c r="H56" i="1"/>
  <c r="H135" i="1"/>
  <c r="H122" i="1"/>
  <c r="H11" i="1"/>
  <c r="H12" i="1"/>
  <c r="H13" i="1"/>
  <c r="H58" i="1"/>
  <c r="H59" i="1"/>
  <c r="H84" i="1"/>
  <c r="H136" i="1"/>
</calcChain>
</file>

<file path=xl/comments1.xml><?xml version="1.0" encoding="utf-8"?>
<comments xmlns="http://schemas.openxmlformats.org/spreadsheetml/2006/main">
  <authors>
    <author>ROBERTA CARVALHO DE FARIAS RODRIGUES</author>
  </authors>
  <commentList>
    <comment ref="I92" authorId="0">
      <text>
        <r>
          <rPr>
            <b/>
            <sz val="11"/>
            <color indexed="81"/>
            <rFont val="Tahoma"/>
            <family val="2"/>
          </rPr>
          <t xml:space="preserve">EAP 1 já possui 1 Cb (mais antigo) da exec.contr. 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I130" authorId="0">
      <text>
        <r>
          <rPr>
            <b/>
            <sz val="11"/>
            <color indexed="81"/>
            <rFont val="Tahoma"/>
            <family val="2"/>
          </rPr>
          <t>Férias durante EAP1 ABR26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<sst xmlns="http://schemas.openxmlformats.org/spreadsheetml/2006/main" count="1377" uniqueCount="610">
  <si>
    <t>POST/GRAD</t>
  </si>
  <si>
    <t>RE</t>
  </si>
  <si>
    <t>NOME</t>
  </si>
  <si>
    <t xml:space="preserve">SITUAÇÃO </t>
  </si>
  <si>
    <t>SEÇÃO</t>
  </si>
  <si>
    <t>FUNÇÃO</t>
  </si>
  <si>
    <t>Ten Cel PM</t>
  </si>
  <si>
    <t>AFASTADO</t>
  </si>
  <si>
    <t>Chefe</t>
  </si>
  <si>
    <t>MAR</t>
  </si>
  <si>
    <t>AGO</t>
  </si>
  <si>
    <t>DISPONÍVEL</t>
  </si>
  <si>
    <t>Chefe de Div Adm Fin e Subchefe</t>
  </si>
  <si>
    <t>DEZ</t>
  </si>
  <si>
    <t>Maj PM</t>
  </si>
  <si>
    <t>Chefe de Divisão Manut Frota</t>
  </si>
  <si>
    <t>JAN</t>
  </si>
  <si>
    <t>Cap PM</t>
  </si>
  <si>
    <t>SAF</t>
  </si>
  <si>
    <t>Chefe Seç Adm da Frota</t>
  </si>
  <si>
    <t>OUT</t>
  </si>
  <si>
    <t>SEÇ MAT e COMB</t>
  </si>
  <si>
    <t xml:space="preserve">Chefe Seç Mat Comb </t>
  </si>
  <si>
    <t>JUN</t>
  </si>
  <si>
    <t>SEÇ ADM</t>
  </si>
  <si>
    <t xml:space="preserve">Chefe Seç Adm </t>
  </si>
  <si>
    <t>FINANÇAS</t>
  </si>
  <si>
    <t xml:space="preserve">Chefe Seç Finanças </t>
  </si>
  <si>
    <t>ABR</t>
  </si>
  <si>
    <t>SAT</t>
  </si>
  <si>
    <t>FEV</t>
  </si>
  <si>
    <t>SEÇ MANUT FROTA</t>
  </si>
  <si>
    <t xml:space="preserve">Chefe Seç de Manutenção de Frota </t>
  </si>
  <si>
    <t>JUL</t>
  </si>
  <si>
    <t>Chefe St Execução Contratual</t>
  </si>
  <si>
    <t>Chefe St Licit e Contrato</t>
  </si>
  <si>
    <t>Aux St Documentação, Licenciamento, Controle, Remaj e Descarga</t>
  </si>
  <si>
    <t>NOV</t>
  </si>
  <si>
    <t>St Técnico</t>
  </si>
  <si>
    <t>SET</t>
  </si>
  <si>
    <t xml:space="preserve">Chefe St P/1, P/5 Com Soc, Secretaria e PJMD </t>
  </si>
  <si>
    <t>Chefe St Combustivel e St Telemática</t>
  </si>
  <si>
    <t>Chefe St Logística e Conservação Predial</t>
  </si>
  <si>
    <t>Subten PM</t>
  </si>
  <si>
    <t>Aux Combustível</t>
  </si>
  <si>
    <t>Aux Habilitação de Condutores</t>
  </si>
  <si>
    <t>1º Sgt PM</t>
  </si>
  <si>
    <t>923244-3</t>
  </si>
  <si>
    <t>Aux Transporte e Guinchos</t>
  </si>
  <si>
    <t xml:space="preserve">Aux PJMD </t>
  </si>
  <si>
    <t>972555-5</t>
  </si>
  <si>
    <r>
      <rPr>
        <b/>
        <sz val="10"/>
        <color indexed="10"/>
        <rFont val="Arial"/>
        <family val="2"/>
      </rPr>
      <t>Giovanni</t>
    </r>
    <r>
      <rPr>
        <sz val="10"/>
        <rFont val="Arial"/>
        <family val="2"/>
      </rPr>
      <t xml:space="preserve"> Ferreira de Souza</t>
    </r>
  </si>
  <si>
    <t>St Logística e Conserv Predial</t>
  </si>
  <si>
    <t>103057-4</t>
  </si>
  <si>
    <t>St Licit. e Contratos</t>
  </si>
  <si>
    <t>2º Sgt PM</t>
  </si>
  <si>
    <t>Aux Serv Rápidos e Almox</t>
  </si>
  <si>
    <t>100222-8</t>
  </si>
  <si>
    <t>Aux Desp Orç Cust</t>
  </si>
  <si>
    <t>111402-6</t>
  </si>
  <si>
    <r>
      <rPr>
        <sz val="10"/>
        <rFont val="Arial"/>
        <family val="2"/>
      </rPr>
      <t>Fabio dos</t>
    </r>
    <r>
      <rPr>
        <b/>
        <sz val="10"/>
        <color indexed="10"/>
        <rFont val="Arial"/>
        <family val="2"/>
      </rPr>
      <t xml:space="preserve"> Reis </t>
    </r>
    <r>
      <rPr>
        <sz val="10"/>
        <rFont val="Arial"/>
        <family val="2"/>
      </rPr>
      <t>Pinheiro</t>
    </r>
  </si>
  <si>
    <t>MAI</t>
  </si>
  <si>
    <t>St Telemática</t>
  </si>
  <si>
    <t>3º Sgt PM</t>
  </si>
  <si>
    <t>Aux de Guarda</t>
  </si>
  <si>
    <t>Aux Secretaria</t>
  </si>
  <si>
    <t>Aux St Execução Contratual</t>
  </si>
  <si>
    <t>139023-6</t>
  </si>
  <si>
    <r>
      <rPr>
        <b/>
        <sz val="10"/>
        <color indexed="10"/>
        <rFont val="Arial"/>
        <family val="2"/>
      </rPr>
      <t>Roberta</t>
    </r>
    <r>
      <rPr>
        <sz val="10"/>
        <rFont val="Arial"/>
        <family val="2"/>
      </rPr>
      <t xml:space="preserve"> Carvalho de Farias Rodrigues</t>
    </r>
  </si>
  <si>
    <t>Aux Pessoal e P/5</t>
  </si>
  <si>
    <t>148267-0</t>
  </si>
  <si>
    <r>
      <t xml:space="preserve">Fábio </t>
    </r>
    <r>
      <rPr>
        <b/>
        <sz val="10"/>
        <color indexed="10"/>
        <rFont val="Arial"/>
        <family val="2"/>
      </rPr>
      <t>Augusto</t>
    </r>
    <r>
      <rPr>
        <sz val="10"/>
        <rFont val="Arial"/>
        <family val="2"/>
      </rPr>
      <t xml:space="preserve"> dos Santos</t>
    </r>
  </si>
  <si>
    <t>148483-4</t>
  </si>
  <si>
    <r>
      <t xml:space="preserve">Johnny Lopes </t>
    </r>
    <r>
      <rPr>
        <b/>
        <sz val="10"/>
        <color indexed="10"/>
        <rFont val="Arial"/>
        <family val="2"/>
      </rPr>
      <t>Caires</t>
    </r>
  </si>
  <si>
    <t>Cb PM</t>
  </si>
  <si>
    <t>952804-A</t>
  </si>
  <si>
    <t>ESSENCIAL</t>
  </si>
  <si>
    <t>961784-1</t>
  </si>
  <si>
    <t>114567-3</t>
  </si>
  <si>
    <t>960736-6</t>
  </si>
  <si>
    <t>961191-6</t>
  </si>
  <si>
    <t xml:space="preserve">Aux Pessoal </t>
  </si>
  <si>
    <t>St Siafísico, Desp Orç Cust</t>
  </si>
  <si>
    <t>963607-2</t>
  </si>
  <si>
    <t>Aux St Técnico</t>
  </si>
  <si>
    <t>964145-9</t>
  </si>
  <si>
    <t>965390-2</t>
  </si>
  <si>
    <t>971890-7</t>
  </si>
  <si>
    <t>973546-1</t>
  </si>
  <si>
    <t>980694-6</t>
  </si>
  <si>
    <t>981737-9</t>
  </si>
  <si>
    <t>982262-3</t>
  </si>
  <si>
    <t>982379-4</t>
  </si>
  <si>
    <t>982402-2</t>
  </si>
  <si>
    <t>982451-A</t>
  </si>
  <si>
    <t>101833-7</t>
  </si>
  <si>
    <t>103685-8</t>
  </si>
  <si>
    <t>104348-0</t>
  </si>
  <si>
    <t>104711-6</t>
  </si>
  <si>
    <t>107558-6</t>
  </si>
  <si>
    <t>109572-2</t>
  </si>
  <si>
    <t>109590-A</t>
  </si>
  <si>
    <t>960331-0</t>
  </si>
  <si>
    <t>134815-9</t>
  </si>
  <si>
    <t>138495-3</t>
  </si>
  <si>
    <t>124837-5</t>
  </si>
  <si>
    <t>132678-3</t>
  </si>
  <si>
    <t>110502-7</t>
  </si>
  <si>
    <t>109609-5</t>
  </si>
  <si>
    <t>111264-3</t>
  </si>
  <si>
    <t>111566-9</t>
  </si>
  <si>
    <t>112538-9</t>
  </si>
  <si>
    <t>112381-5</t>
  </si>
  <si>
    <t>P/2 - Aap</t>
  </si>
  <si>
    <t>AUX AAP</t>
  </si>
  <si>
    <t>113239-3</t>
  </si>
  <si>
    <t>114336-A</t>
  </si>
  <si>
    <t>136779-0</t>
  </si>
  <si>
    <t>112223-1</t>
  </si>
  <si>
    <t>115306-4</t>
  </si>
  <si>
    <t>134661-0</t>
  </si>
  <si>
    <t>116709-0</t>
  </si>
  <si>
    <t>108698-7</t>
  </si>
  <si>
    <t>116558-5</t>
  </si>
  <si>
    <t>Aux Com Soc</t>
  </si>
  <si>
    <t>141376-7</t>
  </si>
  <si>
    <t>141490-9</t>
  </si>
  <si>
    <t>120195-6</t>
  </si>
  <si>
    <t>120576-5</t>
  </si>
  <si>
    <t>121360-1</t>
  </si>
  <si>
    <t>121728-3</t>
  </si>
  <si>
    <t>121674-A</t>
  </si>
  <si>
    <t>141799-1</t>
  </si>
  <si>
    <t>124835-9</t>
  </si>
  <si>
    <t>128879-2</t>
  </si>
  <si>
    <t>151168-8</t>
  </si>
  <si>
    <t>125780-3</t>
  </si>
  <si>
    <t>125907-5</t>
  </si>
  <si>
    <t>126385-4</t>
  </si>
  <si>
    <t>152106-3</t>
  </si>
  <si>
    <t>125784-6</t>
  </si>
  <si>
    <t>129789-9</t>
  </si>
  <si>
    <t>129841-A</t>
  </si>
  <si>
    <t>130080-6</t>
  </si>
  <si>
    <t>130420-8</t>
  </si>
  <si>
    <t>130467-4</t>
  </si>
  <si>
    <t>132970-7</t>
  </si>
  <si>
    <t>Sd PM</t>
  </si>
  <si>
    <t>143092-A</t>
  </si>
  <si>
    <t>143306-7</t>
  </si>
  <si>
    <t>144643-6</t>
  </si>
  <si>
    <t>145071-9</t>
  </si>
  <si>
    <t>146315-2</t>
  </si>
  <si>
    <t>153301-A</t>
  </si>
  <si>
    <t>150829-6</t>
  </si>
  <si>
    <t>150433-9</t>
  </si>
  <si>
    <t>153390-8</t>
  </si>
  <si>
    <t>157019-6</t>
  </si>
  <si>
    <t>161417-7</t>
  </si>
  <si>
    <t>181352-8</t>
  </si>
  <si>
    <t>934846-8</t>
  </si>
  <si>
    <t>ADIDO</t>
  </si>
  <si>
    <t>Gênero</t>
  </si>
  <si>
    <t>F</t>
  </si>
  <si>
    <t>M</t>
  </si>
  <si>
    <t>Giovanni</t>
  </si>
  <si>
    <t>Ricardo</t>
  </si>
  <si>
    <t>Reis</t>
  </si>
  <si>
    <t>Brito</t>
  </si>
  <si>
    <t>Roberta</t>
  </si>
  <si>
    <t>Augusto</t>
  </si>
  <si>
    <t>Caires</t>
  </si>
  <si>
    <t>Escames</t>
  </si>
  <si>
    <t>Gisele</t>
  </si>
  <si>
    <t>Jeronimo</t>
  </si>
  <si>
    <t>Torquato</t>
  </si>
  <si>
    <t>Zuleica</t>
  </si>
  <si>
    <t>Juliana</t>
  </si>
  <si>
    <t>Lilian</t>
  </si>
  <si>
    <t>Silveira</t>
  </si>
  <si>
    <t>Lima</t>
  </si>
  <si>
    <t>Cruz</t>
  </si>
  <si>
    <t>Nunes</t>
  </si>
  <si>
    <t>Carrion</t>
  </si>
  <si>
    <t>Galvão</t>
  </si>
  <si>
    <t>Guelfi</t>
  </si>
  <si>
    <t>J. Almeida</t>
  </si>
  <si>
    <t>Tavares</t>
  </si>
  <si>
    <t>Ferreira</t>
  </si>
  <si>
    <t>Dias</t>
  </si>
  <si>
    <t>Willian</t>
  </si>
  <si>
    <t>Daniel</t>
  </si>
  <si>
    <t>Carvalho</t>
  </si>
  <si>
    <t>Cristiano</t>
  </si>
  <si>
    <t>Santiago</t>
  </si>
  <si>
    <t>Eduardo</t>
  </si>
  <si>
    <t>Marques</t>
  </si>
  <si>
    <t>Pires</t>
  </si>
  <si>
    <t>Kaique</t>
  </si>
  <si>
    <r>
      <rPr>
        <b/>
        <sz val="10"/>
        <color rgb="FF7030A0"/>
        <rFont val="Arial"/>
        <family val="2"/>
      </rPr>
      <t>Willian</t>
    </r>
    <r>
      <rPr>
        <sz val="10"/>
        <rFont val="Arial"/>
        <family val="2"/>
      </rPr>
      <t xml:space="preserve"> De Paula Melo</t>
    </r>
  </si>
  <si>
    <r>
      <rPr>
        <b/>
        <sz val="10"/>
        <color rgb="FF7030A0"/>
        <rFont val="Arial"/>
        <family val="2"/>
      </rPr>
      <t>Kaique</t>
    </r>
    <r>
      <rPr>
        <sz val="10"/>
        <rFont val="Arial"/>
        <family val="2"/>
      </rPr>
      <t xml:space="preserve"> Monteiro Passos</t>
    </r>
  </si>
  <si>
    <r>
      <rPr>
        <sz val="10"/>
        <rFont val="Arial"/>
        <family val="2"/>
      </rPr>
      <t>Fabio</t>
    </r>
    <r>
      <rPr>
        <b/>
        <sz val="10"/>
        <color rgb="FF00B050"/>
        <rFont val="Arial"/>
        <family val="2"/>
      </rPr>
      <t xml:space="preserve"> Marques</t>
    </r>
    <r>
      <rPr>
        <b/>
        <sz val="10"/>
        <color indexed="17"/>
        <rFont val="Arial"/>
        <family val="2"/>
      </rPr>
      <t xml:space="preserve"> </t>
    </r>
    <r>
      <rPr>
        <sz val="10"/>
        <rFont val="Arial"/>
        <family val="2"/>
      </rPr>
      <t>Fernandes</t>
    </r>
  </si>
  <si>
    <r>
      <rPr>
        <b/>
        <sz val="10"/>
        <color rgb="FF00B050"/>
        <rFont val="Arial"/>
        <family val="2"/>
      </rPr>
      <t>Eduardo</t>
    </r>
    <r>
      <rPr>
        <sz val="10"/>
        <rFont val="Arial"/>
        <family val="2"/>
      </rPr>
      <t xml:space="preserve"> de Almeida</t>
    </r>
  </si>
  <si>
    <r>
      <t xml:space="preserve">Artur </t>
    </r>
    <r>
      <rPr>
        <b/>
        <sz val="10"/>
        <color rgb="FF00B050"/>
        <rFont val="Arial"/>
        <family val="2"/>
      </rPr>
      <t>Santiago</t>
    </r>
    <r>
      <rPr>
        <sz val="10"/>
        <rFont val="Arial"/>
        <family val="2"/>
      </rPr>
      <t xml:space="preserve"> da Silva Almeida</t>
    </r>
  </si>
  <si>
    <r>
      <rPr>
        <b/>
        <sz val="10"/>
        <color rgb="FF00B050"/>
        <rFont val="Arial"/>
        <family val="2"/>
      </rPr>
      <t>Cristiano</t>
    </r>
    <r>
      <rPr>
        <b/>
        <sz val="10"/>
        <color indexed="17"/>
        <rFont val="Arial"/>
        <family val="2"/>
      </rPr>
      <t xml:space="preserve"> </t>
    </r>
    <r>
      <rPr>
        <sz val="10"/>
        <rFont val="Arial"/>
        <family val="2"/>
      </rPr>
      <t>Ribeiro</t>
    </r>
    <r>
      <rPr>
        <b/>
        <sz val="10"/>
        <color indexed="17"/>
        <rFont val="Arial"/>
        <family val="2"/>
      </rPr>
      <t xml:space="preserve"> </t>
    </r>
    <r>
      <rPr>
        <sz val="10"/>
        <rFont val="Arial"/>
        <family val="2"/>
      </rPr>
      <t>da Silva</t>
    </r>
  </si>
  <si>
    <r>
      <t xml:space="preserve">Paulo Barbosa de </t>
    </r>
    <r>
      <rPr>
        <b/>
        <sz val="10"/>
        <color rgb="FF00B050"/>
        <rFont val="Arial"/>
        <family val="2"/>
      </rPr>
      <t>Carvalho</t>
    </r>
  </si>
  <si>
    <r>
      <rPr>
        <b/>
        <sz val="10"/>
        <color rgb="FF00B050"/>
        <rFont val="Arial"/>
        <family val="2"/>
      </rPr>
      <t>Daniel</t>
    </r>
    <r>
      <rPr>
        <sz val="10"/>
        <color indexed="17"/>
        <rFont val="Arial"/>
        <family val="2"/>
      </rPr>
      <t xml:space="preserve"> </t>
    </r>
    <r>
      <rPr>
        <sz val="10"/>
        <rFont val="Arial"/>
        <family val="2"/>
      </rPr>
      <t>Henrique da Silva</t>
    </r>
  </si>
  <si>
    <r>
      <t xml:space="preserve">Fernando </t>
    </r>
    <r>
      <rPr>
        <b/>
        <sz val="10"/>
        <color rgb="FF00B050"/>
        <rFont val="Arial"/>
        <family val="2"/>
      </rPr>
      <t>Dias</t>
    </r>
    <r>
      <rPr>
        <sz val="10"/>
        <rFont val="Arial"/>
        <family val="2"/>
      </rPr>
      <t xml:space="preserve"> Aranha</t>
    </r>
  </si>
  <si>
    <r>
      <t>Edelvan Gomes</t>
    </r>
    <r>
      <rPr>
        <b/>
        <sz val="10"/>
        <color rgb="FF00B050"/>
        <rFont val="Arial"/>
        <family val="2"/>
      </rPr>
      <t xml:space="preserve"> Ferreira</t>
    </r>
  </si>
  <si>
    <r>
      <t xml:space="preserve">Nivaldo </t>
    </r>
    <r>
      <rPr>
        <b/>
        <sz val="10"/>
        <color rgb="FF00B050"/>
        <rFont val="Arial"/>
        <family val="2"/>
      </rPr>
      <t>Tavares</t>
    </r>
    <r>
      <rPr>
        <sz val="10"/>
        <rFont val="Arial"/>
        <family val="2"/>
      </rPr>
      <t xml:space="preserve"> dos Santos</t>
    </r>
  </si>
  <si>
    <r>
      <t xml:space="preserve">Sidnei </t>
    </r>
    <r>
      <rPr>
        <b/>
        <sz val="10"/>
        <color rgb="FF00B050"/>
        <rFont val="Arial"/>
        <family val="2"/>
      </rPr>
      <t>J</t>
    </r>
    <r>
      <rPr>
        <sz val="10"/>
        <rFont val="Arial"/>
        <family val="2"/>
      </rPr>
      <t xml:space="preserve">osé de </t>
    </r>
    <r>
      <rPr>
        <b/>
        <sz val="10"/>
        <color rgb="FF00B050"/>
        <rFont val="Arial"/>
        <family val="2"/>
      </rPr>
      <t>Almeida</t>
    </r>
  </si>
  <si>
    <r>
      <t xml:space="preserve">Leandro </t>
    </r>
    <r>
      <rPr>
        <b/>
        <sz val="10"/>
        <color rgb="FF00B050"/>
        <rFont val="Arial"/>
        <family val="2"/>
      </rPr>
      <t>Guelfi</t>
    </r>
  </si>
  <si>
    <r>
      <t>Leandro Ferreira</t>
    </r>
    <r>
      <rPr>
        <sz val="10"/>
        <color rgb="FF00B050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Galvão</t>
    </r>
  </si>
  <si>
    <r>
      <t xml:space="preserve">Amauri </t>
    </r>
    <r>
      <rPr>
        <b/>
        <sz val="10"/>
        <color rgb="FF00B050"/>
        <rFont val="Arial"/>
        <family val="2"/>
      </rPr>
      <t>Carrion</t>
    </r>
    <r>
      <rPr>
        <sz val="10"/>
        <rFont val="Arial"/>
        <family val="2"/>
      </rPr>
      <t xml:space="preserve"> de Brito Mortaia</t>
    </r>
  </si>
  <si>
    <r>
      <t xml:space="preserve">Rogério Soares </t>
    </r>
    <r>
      <rPr>
        <b/>
        <sz val="10"/>
        <color rgb="FF00B050"/>
        <rFont val="Arial"/>
        <family val="2"/>
      </rPr>
      <t>Nunes</t>
    </r>
  </si>
  <si>
    <r>
      <rPr>
        <sz val="10"/>
        <rFont val="Arial"/>
        <family val="2"/>
      </rPr>
      <t>Gabriel</t>
    </r>
    <r>
      <rPr>
        <b/>
        <sz val="10"/>
        <color indexed="17"/>
        <rFont val="Arial"/>
        <family val="2"/>
      </rPr>
      <t xml:space="preserve"> </t>
    </r>
    <r>
      <rPr>
        <sz val="10"/>
        <rFont val="Arial"/>
        <family val="2"/>
      </rPr>
      <t>da</t>
    </r>
    <r>
      <rPr>
        <sz val="10"/>
        <color rgb="FF00B050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Cruz</t>
    </r>
    <r>
      <rPr>
        <sz val="10"/>
        <rFont val="Arial"/>
        <family val="2"/>
      </rPr>
      <t xml:space="preserve"> Brito</t>
    </r>
  </si>
  <si>
    <r>
      <t xml:space="preserve">Alexandre </t>
    </r>
    <r>
      <rPr>
        <b/>
        <sz val="10"/>
        <color rgb="FF00B050"/>
        <rFont val="Arial"/>
        <family val="2"/>
      </rPr>
      <t>Escames</t>
    </r>
  </si>
  <si>
    <r>
      <rPr>
        <b/>
        <sz val="10"/>
        <color rgb="FF00B050"/>
        <rFont val="Arial"/>
        <family val="2"/>
      </rPr>
      <t>Jeronimo</t>
    </r>
    <r>
      <rPr>
        <sz val="10"/>
        <rFont val="Arial"/>
        <family val="2"/>
      </rPr>
      <t xml:space="preserve"> Pereira de Castro Neto</t>
    </r>
  </si>
  <si>
    <r>
      <t xml:space="preserve">Givaldo </t>
    </r>
    <r>
      <rPr>
        <b/>
        <sz val="10"/>
        <color rgb="FF00B050"/>
        <rFont val="Arial"/>
        <family val="2"/>
      </rPr>
      <t>Torquato</t>
    </r>
    <r>
      <rPr>
        <sz val="10"/>
        <rFont val="Arial"/>
        <family val="2"/>
      </rPr>
      <t xml:space="preserve"> de Souza</t>
    </r>
  </si>
  <si>
    <r>
      <t>Vadalina</t>
    </r>
    <r>
      <rPr>
        <sz val="10"/>
        <color rgb="FF00B050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Zuleica</t>
    </r>
    <r>
      <rPr>
        <sz val="10"/>
        <color rgb="FF00B050"/>
        <rFont val="Arial"/>
        <family val="2"/>
      </rPr>
      <t xml:space="preserve"> </t>
    </r>
    <r>
      <rPr>
        <sz val="10"/>
        <rFont val="Arial"/>
        <family val="2"/>
      </rPr>
      <t>Costa</t>
    </r>
  </si>
  <si>
    <r>
      <t>Joaquim Gomes da</t>
    </r>
    <r>
      <rPr>
        <sz val="10"/>
        <color indexed="17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Silveira</t>
    </r>
    <r>
      <rPr>
        <sz val="10"/>
        <rFont val="Arial"/>
        <family val="2"/>
      </rPr>
      <t xml:space="preserve"> Júnior</t>
    </r>
  </si>
  <si>
    <r>
      <t>Emerson Batista</t>
    </r>
    <r>
      <rPr>
        <sz val="10"/>
        <color indexed="17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Rocha</t>
    </r>
  </si>
  <si>
    <r>
      <t xml:space="preserve">Wellington Gonçalves de </t>
    </r>
    <r>
      <rPr>
        <b/>
        <sz val="10"/>
        <color rgb="FF00B050"/>
        <rFont val="Arial"/>
        <family val="2"/>
      </rPr>
      <t>Lima</t>
    </r>
  </si>
  <si>
    <t>Antiguidade</t>
  </si>
  <si>
    <t>Concurso</t>
  </si>
  <si>
    <t>1º Ten PM</t>
  </si>
  <si>
    <t>Merecimento</t>
  </si>
  <si>
    <t>111497-2</t>
  </si>
  <si>
    <t>103209-7</t>
  </si>
  <si>
    <t>110571-0</t>
  </si>
  <si>
    <t>Antiguidade JUD</t>
  </si>
  <si>
    <t>Concurso JUD</t>
  </si>
  <si>
    <t>Férias</t>
  </si>
  <si>
    <t>Cel PM</t>
  </si>
  <si>
    <t>2º Ten PM</t>
  </si>
  <si>
    <t>LP</t>
  </si>
  <si>
    <t>Subchefe</t>
  </si>
  <si>
    <t>Finanças</t>
  </si>
  <si>
    <r>
      <rPr>
        <b/>
        <sz val="10"/>
        <color rgb="FF00B050"/>
        <rFont val="Arial"/>
        <family val="2"/>
      </rPr>
      <t>Erick</t>
    </r>
    <r>
      <rPr>
        <sz val="10"/>
        <rFont val="Arial"/>
        <family val="2"/>
      </rPr>
      <t xml:space="preserve"> Henrique Teixeira </t>
    </r>
    <r>
      <rPr>
        <b/>
        <sz val="10"/>
        <color rgb="FF00B050"/>
        <rFont val="Arial"/>
        <family val="2"/>
      </rPr>
      <t>Santiago</t>
    </r>
  </si>
  <si>
    <t>Érick Santiago</t>
  </si>
  <si>
    <t>MOTIVO</t>
  </si>
  <si>
    <t>FÉRIAS</t>
  </si>
  <si>
    <t>CONVAL</t>
  </si>
  <si>
    <t>DS</t>
  </si>
  <si>
    <t>LPAT</t>
  </si>
  <si>
    <t>LGEST</t>
  </si>
  <si>
    <t>LUTO</t>
  </si>
  <si>
    <t>DIAS DE FÉRIAS</t>
  </si>
  <si>
    <t>2 - FÉRIAS - TÉRMINO</t>
  </si>
  <si>
    <t>IAS</t>
  </si>
  <si>
    <t>BÔNUS</t>
  </si>
  <si>
    <t>NÃO</t>
  </si>
  <si>
    <t>SIM</t>
  </si>
  <si>
    <t>AUX SECRETARIA</t>
  </si>
  <si>
    <t>SPJMD</t>
  </si>
  <si>
    <t>ST GUARDA</t>
  </si>
  <si>
    <t>ST LOGÍSTICA  e CONSERV PREDIAL</t>
  </si>
  <si>
    <t>ST DOCUMENTAÇÃO E LICENCIAMENTO</t>
  </si>
  <si>
    <t xml:space="preserve">ST DE TRANSPORTES E GUINCHOS </t>
  </si>
  <si>
    <t>HABILITAÇÃO DE CONDUTORES</t>
  </si>
  <si>
    <t>ST TÉCNICO</t>
  </si>
  <si>
    <t>ST DE EXECUÇÃO CONTRATUAL</t>
  </si>
  <si>
    <t>Sd PM 2Cl</t>
  </si>
  <si>
    <t>RESTRIÇÃO MED</t>
  </si>
  <si>
    <t>RESTRIÇÃO JUD</t>
  </si>
  <si>
    <t>LIC. COMPUS.</t>
  </si>
  <si>
    <t>POST\GRAD</t>
  </si>
  <si>
    <t>ANT \ CONC \ JUD \ MER</t>
  </si>
  <si>
    <r>
      <rPr>
        <b/>
        <sz val="10"/>
        <color rgb="FF00B050"/>
        <rFont val="Arial"/>
        <family val="2"/>
      </rPr>
      <t>Alexandre</t>
    </r>
    <r>
      <rPr>
        <sz val="10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Nunes</t>
    </r>
    <r>
      <rPr>
        <sz val="10"/>
        <rFont val="Arial"/>
        <family val="2"/>
      </rPr>
      <t xml:space="preserve"> da Costa Oliveira</t>
    </r>
  </si>
  <si>
    <t>Alexandre Nunes</t>
  </si>
  <si>
    <t>DOAÇÃO</t>
  </si>
  <si>
    <t>LTS - AGREGADO</t>
  </si>
  <si>
    <t>LSV - AGREGADO</t>
  </si>
  <si>
    <t>1 - FÉRIAS  QTD DIAS</t>
  </si>
  <si>
    <t>1 - FÉRIAS INÍCIO</t>
  </si>
  <si>
    <t>1 - FÉRIAS TÉRMINO</t>
  </si>
  <si>
    <t>2 - FÉRIAS QTD DIAS</t>
  </si>
  <si>
    <t>2 - FÉRIAS INÍCIO</t>
  </si>
  <si>
    <t>EMPRESTADO</t>
  </si>
  <si>
    <t>CURSO</t>
  </si>
  <si>
    <t>Diogo</t>
  </si>
  <si>
    <r>
      <t>Diogo</t>
    </r>
    <r>
      <rPr>
        <b/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Jorge</t>
    </r>
    <r>
      <rPr>
        <b/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Alves de Oliveira</t>
    </r>
  </si>
  <si>
    <t>AAp - P/2</t>
  </si>
  <si>
    <t>DR</t>
  </si>
  <si>
    <r>
      <rPr>
        <b/>
        <sz val="10"/>
        <color rgb="FFFF0000"/>
        <rFont val="Arial"/>
        <family val="2"/>
      </rPr>
      <t>Murilo</t>
    </r>
    <r>
      <rPr>
        <sz val="10"/>
        <rFont val="Arial"/>
        <family val="2"/>
      </rPr>
      <t xml:space="preserve"> de Cerqueira </t>
    </r>
    <r>
      <rPr>
        <b/>
        <sz val="10"/>
        <color rgb="FFFF0000"/>
        <rFont val="Arial"/>
        <family val="2"/>
      </rPr>
      <t>Barros</t>
    </r>
  </si>
  <si>
    <t>Div Adm Fin</t>
  </si>
  <si>
    <t>Murilo Barros</t>
  </si>
  <si>
    <t>INATIVIDADE - AGREGADO</t>
  </si>
  <si>
    <t>SEÇ EXEC CONTRAT</t>
  </si>
  <si>
    <t>975612-4</t>
  </si>
  <si>
    <t>110410-1</t>
  </si>
  <si>
    <t>970038-2</t>
  </si>
  <si>
    <t>191183-0</t>
  </si>
  <si>
    <t>Gonçalves</t>
  </si>
  <si>
    <t>NÚPCIAS</t>
  </si>
  <si>
    <r>
      <rPr>
        <sz val="10"/>
        <color theme="1"/>
        <rFont val="Arial"/>
        <family val="2"/>
      </rPr>
      <t xml:space="preserve">Stephany </t>
    </r>
    <r>
      <rPr>
        <b/>
        <sz val="10"/>
        <color rgb="FF7030A0"/>
        <rFont val="Arial"/>
        <family val="2"/>
      </rPr>
      <t>Gonçalves</t>
    </r>
  </si>
  <si>
    <t>140034-7</t>
  </si>
  <si>
    <r>
      <rPr>
        <b/>
        <sz val="10"/>
        <color rgb="FFFF0000"/>
        <rFont val="Arial"/>
        <family val="2"/>
      </rPr>
      <t>Juliana</t>
    </r>
    <r>
      <rPr>
        <sz val="10"/>
        <rFont val="Arial"/>
        <family val="2"/>
      </rPr>
      <t xml:space="preserve"> Gonzaga Ferreira Lima</t>
    </r>
  </si>
  <si>
    <t>LTS</t>
  </si>
  <si>
    <t>D</t>
  </si>
  <si>
    <t>2º Ten  QAOPM</t>
  </si>
  <si>
    <t>139116-0</t>
  </si>
  <si>
    <t>Cristina</t>
  </si>
  <si>
    <r>
      <rPr>
        <b/>
        <sz val="10"/>
        <color rgb="FFFF0000"/>
        <rFont val="Arial"/>
        <family val="2"/>
      </rPr>
      <t>Cristina</t>
    </r>
    <r>
      <rPr>
        <sz val="10"/>
        <rFont val="Arial"/>
        <family val="2"/>
      </rPr>
      <t xml:space="preserve"> dos Santos Oliveira</t>
    </r>
  </si>
  <si>
    <t>140459-8</t>
  </si>
  <si>
    <t>Dantas</t>
  </si>
  <si>
    <t>139278-6</t>
  </si>
  <si>
    <t>Gaspar</t>
  </si>
  <si>
    <r>
      <t xml:space="preserve">Roberto </t>
    </r>
    <r>
      <rPr>
        <b/>
        <sz val="10"/>
        <color rgb="FF00B050"/>
        <rFont val="Arial"/>
        <family val="2"/>
      </rPr>
      <t>Gaspar</t>
    </r>
    <r>
      <rPr>
        <sz val="10"/>
        <rFont val="Arial"/>
        <family val="2"/>
      </rPr>
      <t xml:space="preserve"> de Oliveira</t>
    </r>
  </si>
  <si>
    <t>121441-1</t>
  </si>
  <si>
    <t>142960-4</t>
  </si>
  <si>
    <t>Tiburcio</t>
  </si>
  <si>
    <t>963428-2</t>
  </si>
  <si>
    <t>Roberto</t>
  </si>
  <si>
    <t>982733-1</t>
  </si>
  <si>
    <t>Rodrigo</t>
  </si>
  <si>
    <r>
      <rPr>
        <b/>
        <sz val="10"/>
        <color indexed="10"/>
        <rFont val="Arial"/>
        <family val="2"/>
      </rPr>
      <t xml:space="preserve">Rodrigo </t>
    </r>
    <r>
      <rPr>
        <sz val="10"/>
        <rFont val="Arial"/>
        <family val="2"/>
      </rPr>
      <t>Moreira da Silva</t>
    </r>
  </si>
  <si>
    <r>
      <t xml:space="preserve">Everton Santana </t>
    </r>
    <r>
      <rPr>
        <b/>
        <sz val="10"/>
        <color rgb="FF00B050"/>
        <rFont val="Arial"/>
        <family val="2"/>
      </rPr>
      <t>Dantas</t>
    </r>
  </si>
  <si>
    <t>145891-4</t>
  </si>
  <si>
    <t>Quezia</t>
  </si>
  <si>
    <r>
      <rPr>
        <b/>
        <sz val="10"/>
        <color rgb="FF00B050"/>
        <rFont val="Arial"/>
        <family val="2"/>
      </rPr>
      <t>Quezia</t>
    </r>
    <r>
      <rPr>
        <sz val="10"/>
        <rFont val="Arial"/>
        <family val="2"/>
      </rPr>
      <t xml:space="preserve"> da Rocha Reis</t>
    </r>
  </si>
  <si>
    <t>Luciano</t>
  </si>
  <si>
    <t>ADIDO CMM</t>
  </si>
  <si>
    <t>156410-2</t>
  </si>
  <si>
    <t>Antoni</t>
  </si>
  <si>
    <r>
      <t xml:space="preserve">Maicon </t>
    </r>
    <r>
      <rPr>
        <b/>
        <sz val="10"/>
        <color rgb="FF7030A0"/>
        <rFont val="Arial"/>
        <family val="2"/>
      </rPr>
      <t>Antoni</t>
    </r>
    <r>
      <rPr>
        <sz val="10"/>
        <rFont val="Arial"/>
        <family val="2"/>
      </rPr>
      <t xml:space="preserve"> Alves Carneiro</t>
    </r>
  </si>
  <si>
    <t>191769-2</t>
  </si>
  <si>
    <t>195339-7</t>
  </si>
  <si>
    <t>141112-8</t>
  </si>
  <si>
    <t>146517-1</t>
  </si>
  <si>
    <t>153731-8</t>
  </si>
  <si>
    <t>201781-4</t>
  </si>
  <si>
    <t>Denis</t>
  </si>
  <si>
    <r>
      <rPr>
        <b/>
        <sz val="10"/>
        <color rgb="FF7030A0"/>
        <rFont val="Arial"/>
        <family val="2"/>
      </rPr>
      <t>Denis</t>
    </r>
    <r>
      <rPr>
        <sz val="10"/>
        <rFont val="Arial"/>
        <family val="2"/>
      </rPr>
      <t xml:space="preserve"> Washington Ferreira da Silva</t>
    </r>
  </si>
  <si>
    <t>107479-2</t>
  </si>
  <si>
    <r>
      <t xml:space="preserve">Roberto </t>
    </r>
    <r>
      <rPr>
        <sz val="10"/>
        <rFont val="Arial"/>
        <family val="2"/>
      </rPr>
      <t>da Silva de Souza</t>
    </r>
  </si>
  <si>
    <t>OPERAÇÃO</t>
  </si>
  <si>
    <t>109836-5</t>
  </si>
  <si>
    <t>Garcia</t>
  </si>
  <si>
    <r>
      <t xml:space="preserve">Leandro da Silva </t>
    </r>
    <r>
      <rPr>
        <b/>
        <sz val="10"/>
        <color rgb="FF00B050"/>
        <rFont val="Arial"/>
        <family val="2"/>
      </rPr>
      <t>Garcia</t>
    </r>
  </si>
  <si>
    <r>
      <rPr>
        <b/>
        <sz val="10"/>
        <color rgb="FFFF0000"/>
        <rFont val="Arial"/>
        <family val="2"/>
      </rPr>
      <t>Nathalia</t>
    </r>
    <r>
      <rPr>
        <sz val="10"/>
        <rFont val="Arial"/>
        <family val="2"/>
      </rPr>
      <t xml:space="preserve"> Gomes Cavalcante de Godoi</t>
    </r>
  </si>
  <si>
    <t>Nathalia</t>
  </si>
  <si>
    <t>191299-2</t>
  </si>
  <si>
    <t>120361-4</t>
  </si>
  <si>
    <t>Lima Pontes</t>
  </si>
  <si>
    <r>
      <t xml:space="preserve">Diego </t>
    </r>
    <r>
      <rPr>
        <b/>
        <sz val="10"/>
        <color rgb="FFFF0000"/>
        <rFont val="Arial"/>
        <family val="2"/>
      </rPr>
      <t>Lima Pontes</t>
    </r>
    <r>
      <rPr>
        <sz val="10"/>
        <rFont val="Arial"/>
        <family val="2"/>
      </rPr>
      <t xml:space="preserve"> de Araújo</t>
    </r>
  </si>
  <si>
    <t>191651-3</t>
  </si>
  <si>
    <t>Ricardo Borges</t>
  </si>
  <si>
    <r>
      <t xml:space="preserve">Jean </t>
    </r>
    <r>
      <rPr>
        <b/>
        <sz val="10"/>
        <color rgb="FFFF0000"/>
        <rFont val="Arial"/>
        <family val="2"/>
      </rPr>
      <t>Ricardo Borges</t>
    </r>
  </si>
  <si>
    <t>118860-7</t>
  </si>
  <si>
    <t>Elisângela</t>
  </si>
  <si>
    <t>107774-A</t>
  </si>
  <si>
    <r>
      <t>Valderley</t>
    </r>
    <r>
      <rPr>
        <b/>
        <sz val="10"/>
        <color rgb="FFFF0000"/>
        <rFont val="Arial"/>
        <family val="2"/>
      </rPr>
      <t xml:space="preserve"> Brito</t>
    </r>
    <r>
      <rPr>
        <sz val="10"/>
        <rFont val="Arial"/>
        <family val="2"/>
      </rPr>
      <t xml:space="preserve"> Moura</t>
    </r>
  </si>
  <si>
    <r>
      <rPr>
        <b/>
        <sz val="10"/>
        <color rgb="FFFF0000"/>
        <rFont val="Arial"/>
        <family val="2"/>
      </rPr>
      <t>Luciano</t>
    </r>
    <r>
      <rPr>
        <sz val="10"/>
        <rFont val="Arial"/>
        <family val="2"/>
      </rPr>
      <t xml:space="preserve"> Pereira de Souza</t>
    </r>
  </si>
  <si>
    <r>
      <rPr>
        <b/>
        <sz val="10"/>
        <color rgb="FFFF0000"/>
        <rFont val="Arial"/>
        <family val="2"/>
      </rPr>
      <t>Elisângela</t>
    </r>
    <r>
      <rPr>
        <sz val="10"/>
        <rFont val="Arial"/>
        <family val="2"/>
      </rPr>
      <t xml:space="preserve"> Ferreira Lima</t>
    </r>
  </si>
  <si>
    <t>ST DE TRANSPORTES E GUINCHOS</t>
  </si>
  <si>
    <t>135298-9</t>
  </si>
  <si>
    <t>B</t>
  </si>
  <si>
    <t>E</t>
  </si>
  <si>
    <t>EAP 2025</t>
  </si>
  <si>
    <t>170054-5</t>
  </si>
  <si>
    <t>Escala EXTRA</t>
  </si>
  <si>
    <t xml:space="preserve">TRABALHA </t>
  </si>
  <si>
    <t>FOLGA</t>
  </si>
  <si>
    <t>INDISPONÍVEL</t>
  </si>
  <si>
    <t>182227-6</t>
  </si>
  <si>
    <t>Romão</t>
  </si>
  <si>
    <r>
      <t xml:space="preserve">Arnaldo </t>
    </r>
    <r>
      <rPr>
        <b/>
        <sz val="10"/>
        <color rgb="FF7030A0"/>
        <rFont val="Arial"/>
        <family val="2"/>
      </rPr>
      <t>Romão</t>
    </r>
    <r>
      <rPr>
        <sz val="10"/>
        <rFont val="Arial"/>
        <family val="2"/>
      </rPr>
      <t xml:space="preserve"> Borges Pereira</t>
    </r>
  </si>
  <si>
    <t>154799-2</t>
  </si>
  <si>
    <t>195214-5</t>
  </si>
  <si>
    <t>Resende</t>
  </si>
  <si>
    <r>
      <t xml:space="preserve">Raphael Alexandre Peixoto de </t>
    </r>
    <r>
      <rPr>
        <b/>
        <sz val="10"/>
        <color rgb="FF7030A0"/>
        <rFont val="Arial"/>
        <family val="2"/>
      </rPr>
      <t>Resende</t>
    </r>
  </si>
  <si>
    <t>113372-1</t>
  </si>
  <si>
    <r>
      <rPr>
        <b/>
        <sz val="10"/>
        <color rgb="FFFF0000"/>
        <rFont val="Arial"/>
        <family val="2"/>
      </rPr>
      <t>Márcia</t>
    </r>
    <r>
      <rPr>
        <sz val="10"/>
        <rFont val="Arial"/>
        <family val="2"/>
      </rPr>
      <t xml:space="preserve"> Marineide Sales dos Santos Alexandre</t>
    </r>
  </si>
  <si>
    <t>139513-A</t>
  </si>
  <si>
    <t>Márcia Salles</t>
  </si>
  <si>
    <t>ST LICIT CONT SIAF E DESP ORÇ CUST</t>
  </si>
  <si>
    <t>106571-8</t>
  </si>
  <si>
    <t>BOM</t>
  </si>
  <si>
    <t>EXCELENTE</t>
  </si>
  <si>
    <t>MB</t>
  </si>
  <si>
    <t>REGULAR</t>
  </si>
  <si>
    <t>103045-A</t>
  </si>
  <si>
    <r>
      <t xml:space="preserve">Ricardo </t>
    </r>
    <r>
      <rPr>
        <sz val="10"/>
        <rFont val="Arial"/>
        <family val="2"/>
      </rPr>
      <t>Lopes da Silva</t>
    </r>
  </si>
  <si>
    <r>
      <rPr>
        <b/>
        <sz val="10"/>
        <color rgb="FFFF0000"/>
        <rFont val="Arial"/>
        <family val="2"/>
      </rPr>
      <t xml:space="preserve">Gisele </t>
    </r>
    <r>
      <rPr>
        <sz val="10"/>
        <rFont val="Arial"/>
        <family val="2"/>
      </rPr>
      <t>Ferreira Rosa Simões</t>
    </r>
  </si>
  <si>
    <t>MANTEVE</t>
  </si>
  <si>
    <t>DECLINOU</t>
  </si>
  <si>
    <t>PROGREDIU</t>
  </si>
  <si>
    <t xml:space="preserve">Evolução TAF </t>
  </si>
  <si>
    <t>Conceito TAF TAT</t>
  </si>
  <si>
    <t>113934-7</t>
  </si>
  <si>
    <t>Barone</t>
  </si>
  <si>
    <r>
      <t>Marcelo</t>
    </r>
    <r>
      <rPr>
        <b/>
        <sz val="10"/>
        <color rgb="FF00B050"/>
        <rFont val="Arial"/>
        <family val="2"/>
      </rPr>
      <t xml:space="preserve"> Barone</t>
    </r>
    <r>
      <rPr>
        <sz val="10"/>
        <rFont val="Arial"/>
        <family val="2"/>
      </rPr>
      <t xml:space="preserve"> Rodrigues</t>
    </r>
  </si>
  <si>
    <t>100228-7</t>
  </si>
  <si>
    <t>Moreira</t>
  </si>
  <si>
    <t>210798-8</t>
  </si>
  <si>
    <t>Fellipe Santos</t>
  </si>
  <si>
    <t>220582-3</t>
  </si>
  <si>
    <r>
      <rPr>
        <sz val="10"/>
        <rFont val="Arial"/>
        <family val="2"/>
      </rPr>
      <t>Willian de Souza</t>
    </r>
    <r>
      <rPr>
        <b/>
        <sz val="10"/>
        <color rgb="FF7030A0"/>
        <rFont val="Arial"/>
        <family val="2"/>
      </rPr>
      <t xml:space="preserve"> Garcia</t>
    </r>
  </si>
  <si>
    <t>INAPTO</t>
  </si>
  <si>
    <r>
      <rPr>
        <sz val="10"/>
        <rFont val="Arial"/>
        <family val="2"/>
      </rPr>
      <t>Igor</t>
    </r>
    <r>
      <rPr>
        <b/>
        <sz val="10"/>
        <color rgb="FF7030A0"/>
        <rFont val="Arial"/>
        <family val="2"/>
      </rPr>
      <t xml:space="preserve"> Fellipe Santos</t>
    </r>
  </si>
  <si>
    <r>
      <rPr>
        <sz val="10"/>
        <rFont val="Arial"/>
        <family val="2"/>
      </rPr>
      <t>Sérgio</t>
    </r>
    <r>
      <rPr>
        <b/>
        <sz val="10"/>
        <color indexed="17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Moreira</t>
    </r>
    <r>
      <rPr>
        <sz val="10"/>
        <rFont val="Arial"/>
        <family val="2"/>
      </rPr>
      <t xml:space="preserve"> de Oliveira</t>
    </r>
  </si>
  <si>
    <t>TAF IV (cardio)</t>
  </si>
  <si>
    <t>TAF IV (M.SUPERIORES)</t>
  </si>
  <si>
    <t>TAF IV (M. INFERIORES)</t>
  </si>
  <si>
    <t>TAF IV (COL. VERTEBRAL)</t>
  </si>
  <si>
    <t>APTO TAF IV</t>
  </si>
  <si>
    <t>Div Mnt Frota</t>
  </si>
  <si>
    <t>114348-4</t>
  </si>
  <si>
    <t>Felipe</t>
  </si>
  <si>
    <r>
      <rPr>
        <b/>
        <sz val="10"/>
        <color rgb="FF00B050"/>
        <rFont val="Arial"/>
        <family val="2"/>
      </rPr>
      <t>Felipe</t>
    </r>
    <r>
      <rPr>
        <sz val="10"/>
        <rFont val="Arial"/>
        <family val="2"/>
      </rPr>
      <t xml:space="preserve"> Querico de Araújo</t>
    </r>
  </si>
  <si>
    <r>
      <rPr>
        <b/>
        <sz val="10"/>
        <color rgb="FF00B050"/>
        <rFont val="Arial"/>
        <family val="2"/>
      </rPr>
      <t>Lilian</t>
    </r>
    <r>
      <rPr>
        <sz val="10"/>
        <rFont val="Arial"/>
        <family val="2"/>
      </rPr>
      <t xml:space="preserve"> Simone Moreira</t>
    </r>
    <r>
      <rPr>
        <sz val="10"/>
        <color rgb="FFFF0000"/>
        <rFont val="Arial"/>
        <family val="2"/>
      </rPr>
      <t xml:space="preserve"> </t>
    </r>
  </si>
  <si>
    <r>
      <t>Jéssica</t>
    </r>
    <r>
      <rPr>
        <sz val="10"/>
        <color rgb="FF00B050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Pires</t>
    </r>
    <r>
      <rPr>
        <sz val="10"/>
        <rFont val="Arial"/>
        <family val="2"/>
      </rPr>
      <t xml:space="preserve"> Boamorte</t>
    </r>
  </si>
  <si>
    <r>
      <t xml:space="preserve">Gleilson de Jesus </t>
    </r>
    <r>
      <rPr>
        <b/>
        <sz val="10"/>
        <color rgb="FF00B050"/>
        <rFont val="Arial"/>
        <family val="2"/>
      </rPr>
      <t>Tiburcio</t>
    </r>
    <r>
      <rPr>
        <sz val="10"/>
        <rFont val="Arial"/>
        <family val="2"/>
      </rPr>
      <t xml:space="preserve"> Marques</t>
    </r>
  </si>
  <si>
    <t xml:space="preserve"> Rocha</t>
  </si>
  <si>
    <r>
      <t xml:space="preserve">Renan </t>
    </r>
    <r>
      <rPr>
        <b/>
        <sz val="10"/>
        <color rgb="FFFF0000"/>
        <rFont val="Arial"/>
        <family val="2"/>
      </rPr>
      <t xml:space="preserve">Godoi </t>
    </r>
    <r>
      <rPr>
        <sz val="10"/>
        <rFont val="Arial"/>
        <family val="2"/>
      </rPr>
      <t>da Cruz</t>
    </r>
  </si>
  <si>
    <t>128423-1</t>
  </si>
  <si>
    <t xml:space="preserve">Godoi </t>
  </si>
  <si>
    <r>
      <rPr>
        <b/>
        <sz val="10"/>
        <color rgb="FFFF0000"/>
        <rFont val="Arial"/>
        <family val="2"/>
      </rPr>
      <t xml:space="preserve">Pablo </t>
    </r>
    <r>
      <rPr>
        <sz val="10"/>
        <rFont val="Arial"/>
        <family val="2"/>
      </rPr>
      <t>Leal Ribeiro</t>
    </r>
  </si>
  <si>
    <t>171425-2</t>
  </si>
  <si>
    <t>Pablo</t>
  </si>
  <si>
    <r>
      <rPr>
        <b/>
        <sz val="10"/>
        <color rgb="FFFF0000"/>
        <rFont val="Arial"/>
        <family val="2"/>
      </rPr>
      <t>Cleos</t>
    </r>
    <r>
      <rPr>
        <sz val="10"/>
        <rFont val="Arial"/>
        <family val="2"/>
      </rPr>
      <t xml:space="preserve"> da Silva Pereira</t>
    </r>
  </si>
  <si>
    <t>190343-8</t>
  </si>
  <si>
    <t>Cleos</t>
  </si>
  <si>
    <t>138904-1</t>
  </si>
  <si>
    <r>
      <t xml:space="preserve">Celso </t>
    </r>
    <r>
      <rPr>
        <b/>
        <sz val="10"/>
        <color rgb="FFFF0000"/>
        <rFont val="Arial"/>
        <family val="2"/>
      </rPr>
      <t>Serapião</t>
    </r>
    <r>
      <rPr>
        <sz val="10"/>
        <rFont val="Arial"/>
        <family val="2"/>
      </rPr>
      <t xml:space="preserve"> Ribeiro</t>
    </r>
  </si>
  <si>
    <t xml:space="preserve"> Serapião</t>
  </si>
  <si>
    <t>105043-5</t>
  </si>
  <si>
    <t>139806-7</t>
  </si>
  <si>
    <t>990362-3</t>
  </si>
  <si>
    <t>Pinheiro</t>
  </si>
  <si>
    <r>
      <t xml:space="preserve">Luciano Ferreira </t>
    </r>
    <r>
      <rPr>
        <b/>
        <sz val="10"/>
        <color rgb="FFFF0000"/>
        <rFont val="Arial"/>
        <family val="2"/>
      </rPr>
      <t>Pinheiro</t>
    </r>
  </si>
  <si>
    <t>AUX COM SOC e ADJ GUARDA</t>
  </si>
  <si>
    <t xml:space="preserve">AUX PESSOAL </t>
  </si>
  <si>
    <t>AUX COM SOC</t>
  </si>
  <si>
    <t>EAP 1 OFICIAIS - 27ABR a 29ABR26</t>
  </si>
  <si>
    <t>EAP 2 OFICIAIS - 21SET a 23SET26</t>
  </si>
  <si>
    <t>EAP 3 OFICIAIS - 23NOV a 25NOV26</t>
  </si>
  <si>
    <t>EAP 2 Subten/Sgt  - 11MAI a 13MAI26</t>
  </si>
  <si>
    <t>EAP 1 Subten/Sgt  - 06ABR a 08ABR26</t>
  </si>
  <si>
    <t>EAP 3 Subten/Sgt  - 13JUL a 15JUL26</t>
  </si>
  <si>
    <t>EAP 4 Subten/Sgt  - 14SET a 16SET26</t>
  </si>
  <si>
    <t>EAP 5 Subten/Sgt  - 09NOV A 11NOV26</t>
  </si>
  <si>
    <t>EAP 6 Subten/Sgt  - 30NOV A 02DEZ26</t>
  </si>
  <si>
    <t>EAP 1 RESTRIÇÃO 07JUL26</t>
  </si>
  <si>
    <t>EAP 2 RESTRIÇÃO 04NOV26</t>
  </si>
  <si>
    <t>EAP 1 Cb/Sd  - 02MAR A 04MAR26</t>
  </si>
  <si>
    <t>EAP 2 Cb/Sd  - 13ABR A 15ABR26</t>
  </si>
  <si>
    <t>EAP 3 Cb/Sd  - 04MAI A 06MAI26</t>
  </si>
  <si>
    <t>EAP 4 Cb/Sd  - 18MAI A 20MAI26</t>
  </si>
  <si>
    <t>EAP 5 Cb/Sd  - 20JUL A 22JUL26</t>
  </si>
  <si>
    <t>EAP 6 Cb/Sd  -31AGO A 02SET26</t>
  </si>
  <si>
    <t>EAP 7 Cb/Sd  - 19OUT a 21OUT26</t>
  </si>
  <si>
    <t>EAP 8 Cb/Sd  - 16NOV A 18NOV26</t>
  </si>
  <si>
    <t>EAP 9 Cb/Sd  - 07DEZ a 09DEZ26</t>
  </si>
  <si>
    <t>EAP 10 Cb/Sd  - 14DEZ A 16DEZ26</t>
  </si>
  <si>
    <t>AUX PESSOAL</t>
  </si>
  <si>
    <t xml:space="preserve">ST TELEMÁTICA </t>
  </si>
  <si>
    <t xml:space="preserve">ST COMBUSTÍVEL </t>
  </si>
  <si>
    <t>ST DESCARGA</t>
  </si>
  <si>
    <t>ST CONTROLE, REMANEJAMENTO</t>
  </si>
  <si>
    <t>ST ALMOXARIFADO</t>
  </si>
  <si>
    <t>ST SERVIÇOS RÁPIDOS (mecânico)</t>
  </si>
  <si>
    <t>ST SERVIÇOS RÁPIDOS (mecânico pesados)</t>
  </si>
  <si>
    <t>ST SERVIÇOS RÁPIDOS (grafismo)</t>
  </si>
  <si>
    <t>ST SERVIÇOS RÁPIDOS (recepção)</t>
  </si>
  <si>
    <t>ST SERVIÇOS RÁPIDOS (borracharia)</t>
  </si>
  <si>
    <t>ST SERVIÇOS RÁPIDOS (luminosos)</t>
  </si>
  <si>
    <r>
      <rPr>
        <b/>
        <sz val="18"/>
        <color theme="1"/>
        <rFont val="Arial"/>
        <family val="2"/>
      </rPr>
      <t>EAP 2026</t>
    </r>
    <r>
      <rPr>
        <b/>
        <sz val="36"/>
        <color theme="1"/>
        <rFont val="Arial"/>
        <family val="2"/>
      </rPr>
      <t xml:space="preserve">                 </t>
    </r>
    <r>
      <rPr>
        <b/>
        <sz val="12"/>
        <color theme="1"/>
        <rFont val="Arial"/>
        <family val="2"/>
      </rPr>
      <t xml:space="preserve">  </t>
    </r>
    <r>
      <rPr>
        <b/>
        <i/>
        <u/>
        <sz val="12"/>
        <color rgb="FFFF0000"/>
        <rFont val="Arial"/>
        <family val="2"/>
      </rPr>
      <t xml:space="preserve">  EAD deverá ser concluído até 10 dias antes do EAP (presencial)</t>
    </r>
  </si>
  <si>
    <r>
      <rPr>
        <b/>
        <sz val="12"/>
        <color rgb="FFFF0000"/>
        <rFont val="Arial"/>
        <family val="2"/>
      </rPr>
      <t>Márcia</t>
    </r>
    <r>
      <rPr>
        <sz val="12"/>
        <rFont val="Arial"/>
        <family val="2"/>
      </rPr>
      <t xml:space="preserve"> Marineide Sales dos Santos Alexandre</t>
    </r>
  </si>
  <si>
    <r>
      <rPr>
        <b/>
        <sz val="12"/>
        <color rgb="FFFF0000"/>
        <rFont val="Arial"/>
        <family val="2"/>
      </rPr>
      <t>Nathalia</t>
    </r>
    <r>
      <rPr>
        <sz val="12"/>
        <rFont val="Arial"/>
        <family val="2"/>
      </rPr>
      <t xml:space="preserve"> Gomes Cavalcante de Godoi</t>
    </r>
  </si>
  <si>
    <r>
      <t xml:space="preserve">Renan </t>
    </r>
    <r>
      <rPr>
        <b/>
        <sz val="12"/>
        <color rgb="FFFF0000"/>
        <rFont val="Arial"/>
        <family val="2"/>
      </rPr>
      <t xml:space="preserve">Godoi </t>
    </r>
    <r>
      <rPr>
        <sz val="12"/>
        <rFont val="Arial"/>
        <family val="2"/>
      </rPr>
      <t>da Cruz</t>
    </r>
  </si>
  <si>
    <r>
      <rPr>
        <b/>
        <sz val="12"/>
        <color rgb="FFFF0000"/>
        <rFont val="Arial"/>
        <family val="2"/>
      </rPr>
      <t xml:space="preserve">Pablo </t>
    </r>
    <r>
      <rPr>
        <sz val="12"/>
        <rFont val="Arial"/>
        <family val="2"/>
      </rPr>
      <t>Leal Ribeiro</t>
    </r>
  </si>
  <si>
    <r>
      <t xml:space="preserve">Celso </t>
    </r>
    <r>
      <rPr>
        <b/>
        <sz val="12"/>
        <color rgb="FFFF0000"/>
        <rFont val="Arial"/>
        <family val="2"/>
      </rPr>
      <t>Serapião</t>
    </r>
    <r>
      <rPr>
        <sz val="12"/>
        <rFont val="Arial"/>
        <family val="2"/>
      </rPr>
      <t xml:space="preserve"> Ribeiro</t>
    </r>
  </si>
  <si>
    <r>
      <rPr>
        <sz val="12"/>
        <rFont val="Arial"/>
        <family val="2"/>
      </rPr>
      <t>Rodrigo Ramos da Silva</t>
    </r>
    <r>
      <rPr>
        <b/>
        <sz val="12"/>
        <color rgb="FF00B050"/>
        <rFont val="Arial"/>
        <family val="2"/>
      </rPr>
      <t xml:space="preserve"> Muniz</t>
    </r>
  </si>
  <si>
    <r>
      <t xml:space="preserve">Fernando </t>
    </r>
    <r>
      <rPr>
        <b/>
        <sz val="12"/>
        <color rgb="FF00B050"/>
        <rFont val="Arial"/>
        <family val="2"/>
      </rPr>
      <t>Dias</t>
    </r>
    <r>
      <rPr>
        <sz val="12"/>
        <rFont val="Arial"/>
        <family val="2"/>
      </rPr>
      <t xml:space="preserve"> Aranha</t>
    </r>
  </si>
  <si>
    <r>
      <rPr>
        <b/>
        <sz val="12"/>
        <color rgb="FF00B050"/>
        <rFont val="Arial"/>
        <family val="2"/>
      </rPr>
      <t>Cristiano</t>
    </r>
    <r>
      <rPr>
        <b/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Ribeiro</t>
    </r>
    <r>
      <rPr>
        <b/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da Silva</t>
    </r>
  </si>
  <si>
    <r>
      <t>Jéssica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Pires</t>
    </r>
    <r>
      <rPr>
        <sz val="12"/>
        <rFont val="Arial"/>
        <family val="2"/>
      </rPr>
      <t xml:space="preserve"> Boamorte</t>
    </r>
  </si>
  <si>
    <r>
      <rPr>
        <b/>
        <sz val="12"/>
        <color rgb="FF7030A0"/>
        <rFont val="Arial"/>
        <family val="2"/>
      </rPr>
      <t>Ênio</t>
    </r>
    <r>
      <rPr>
        <sz val="12"/>
        <rFont val="Arial"/>
        <family val="2"/>
      </rPr>
      <t xml:space="preserve"> Oliveira Silva</t>
    </r>
  </si>
  <si>
    <r>
      <t xml:space="preserve">Arnaldo </t>
    </r>
    <r>
      <rPr>
        <b/>
        <sz val="12"/>
        <color rgb="FF7030A0"/>
        <rFont val="Arial"/>
        <family val="2"/>
      </rPr>
      <t>Romão</t>
    </r>
    <r>
      <rPr>
        <sz val="12"/>
        <rFont val="Arial"/>
        <family val="2"/>
      </rPr>
      <t xml:space="preserve"> Borges Pereira</t>
    </r>
  </si>
  <si>
    <r>
      <rPr>
        <sz val="12"/>
        <color theme="1"/>
        <rFont val="Arial"/>
        <family val="2"/>
      </rPr>
      <t xml:space="preserve">Stephany </t>
    </r>
    <r>
      <rPr>
        <b/>
        <sz val="12"/>
        <color rgb="FF7030A0"/>
        <rFont val="Arial"/>
        <family val="2"/>
      </rPr>
      <t>Gonçalves</t>
    </r>
  </si>
  <si>
    <r>
      <rPr>
        <b/>
        <sz val="12"/>
        <color rgb="FF00B050"/>
        <rFont val="Arial"/>
        <family val="2"/>
      </rPr>
      <t>Anderson</t>
    </r>
    <r>
      <rPr>
        <sz val="12"/>
        <color indexed="17"/>
        <rFont val="Arial"/>
        <family val="2"/>
      </rPr>
      <t xml:space="preserve"> </t>
    </r>
    <r>
      <rPr>
        <sz val="12"/>
        <color indexed="8"/>
        <rFont val="Arial"/>
        <family val="2"/>
      </rPr>
      <t>José de Mário</t>
    </r>
  </si>
  <si>
    <r>
      <t xml:space="preserve">Ricardo </t>
    </r>
    <r>
      <rPr>
        <sz val="12"/>
        <rFont val="Arial"/>
        <family val="2"/>
      </rPr>
      <t>Lopes da Silva</t>
    </r>
  </si>
  <si>
    <r>
      <t>Diogo</t>
    </r>
    <r>
      <rPr>
        <b/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Jorge</t>
    </r>
    <r>
      <rPr>
        <b/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Alves de Oliveira</t>
    </r>
  </si>
  <si>
    <r>
      <rPr>
        <b/>
        <sz val="12"/>
        <color rgb="FFFF0000"/>
        <rFont val="Arial"/>
        <family val="2"/>
      </rPr>
      <t>Juliana</t>
    </r>
    <r>
      <rPr>
        <sz val="12"/>
        <rFont val="Arial"/>
        <family val="2"/>
      </rPr>
      <t xml:space="preserve"> Gonzaga Ferreira Lima</t>
    </r>
  </si>
  <si>
    <r>
      <rPr>
        <b/>
        <sz val="12"/>
        <color rgb="FF00B050"/>
        <rFont val="Arial"/>
        <family val="2"/>
      </rPr>
      <t>Angela</t>
    </r>
    <r>
      <rPr>
        <b/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 xml:space="preserve">dos Santos </t>
    </r>
  </si>
  <si>
    <r>
      <t xml:space="preserve">Wellington Gonçalves de </t>
    </r>
    <r>
      <rPr>
        <b/>
        <sz val="12"/>
        <color rgb="FF00B050"/>
        <rFont val="Arial"/>
        <family val="2"/>
      </rPr>
      <t>Lima</t>
    </r>
  </si>
  <si>
    <r>
      <rPr>
        <sz val="12"/>
        <rFont val="Arial"/>
        <family val="2"/>
      </rPr>
      <t>Sérgio</t>
    </r>
    <r>
      <rPr>
        <b/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Moreira</t>
    </r>
    <r>
      <rPr>
        <sz val="12"/>
        <rFont val="Arial"/>
        <family val="2"/>
      </rPr>
      <t xml:space="preserve"> de Oliveira</t>
    </r>
  </si>
  <si>
    <r>
      <t xml:space="preserve">Paulo Barbosa de </t>
    </r>
    <r>
      <rPr>
        <b/>
        <sz val="12"/>
        <color rgb="FF00B050"/>
        <rFont val="Arial"/>
        <family val="2"/>
      </rPr>
      <t>Carvalho</t>
    </r>
  </si>
  <si>
    <r>
      <rPr>
        <b/>
        <sz val="12"/>
        <color rgb="FF7030A0"/>
        <rFont val="Arial"/>
        <family val="2"/>
      </rPr>
      <t>Kaique</t>
    </r>
    <r>
      <rPr>
        <sz val="12"/>
        <rFont val="Arial"/>
        <family val="2"/>
      </rPr>
      <t xml:space="preserve"> Monteiro Passos</t>
    </r>
  </si>
  <si>
    <r>
      <rPr>
        <b/>
        <sz val="12"/>
        <color indexed="10"/>
        <rFont val="Arial"/>
        <family val="2"/>
      </rPr>
      <t>Esli</t>
    </r>
    <r>
      <rPr>
        <sz val="12"/>
        <rFont val="Arial"/>
        <family val="2"/>
      </rPr>
      <t xml:space="preserve"> Rodrigues da Silva</t>
    </r>
  </si>
  <si>
    <r>
      <t xml:space="preserve">ST DE TRANSPORTES E GUINCHOS </t>
    </r>
    <r>
      <rPr>
        <b/>
        <sz val="12"/>
        <color rgb="FFFF0000"/>
        <rFont val="Arial"/>
        <family val="2"/>
      </rPr>
      <t>Adm</t>
    </r>
  </si>
  <si>
    <r>
      <rPr>
        <b/>
        <sz val="12"/>
        <color rgb="FFFF0000"/>
        <rFont val="Arial"/>
        <family val="2"/>
      </rPr>
      <t>Murilo</t>
    </r>
    <r>
      <rPr>
        <sz val="12"/>
        <rFont val="Arial"/>
        <family val="2"/>
      </rPr>
      <t xml:space="preserve"> de Cerqueira </t>
    </r>
    <r>
      <rPr>
        <b/>
        <sz val="12"/>
        <color rgb="FFFF0000"/>
        <rFont val="Arial"/>
        <family val="2"/>
      </rPr>
      <t>Barros</t>
    </r>
  </si>
  <si>
    <r>
      <t>Israel</t>
    </r>
    <r>
      <rPr>
        <b/>
        <sz val="12"/>
        <color rgb="FFFF0000"/>
        <rFont val="Arial"/>
        <family val="2"/>
      </rPr>
      <t xml:space="preserve"> Naveca</t>
    </r>
    <r>
      <rPr>
        <sz val="12"/>
        <rFont val="Arial"/>
        <family val="2"/>
      </rPr>
      <t xml:space="preserve"> da Silva</t>
    </r>
  </si>
  <si>
    <r>
      <rPr>
        <b/>
        <sz val="12"/>
        <color rgb="FF00B050"/>
        <rFont val="Arial"/>
        <family val="2"/>
      </rPr>
      <t>R</t>
    </r>
    <r>
      <rPr>
        <sz val="12"/>
        <rFont val="Arial"/>
        <family val="2"/>
      </rPr>
      <t>ogério</t>
    </r>
    <r>
      <rPr>
        <b/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Santana</t>
    </r>
    <r>
      <rPr>
        <sz val="12"/>
        <rFont val="Arial"/>
        <family val="2"/>
      </rPr>
      <t xml:space="preserve"> da Silva</t>
    </r>
  </si>
  <si>
    <r>
      <t xml:space="preserve">Alexandre </t>
    </r>
    <r>
      <rPr>
        <b/>
        <sz val="12"/>
        <color rgb="FF00B050"/>
        <rFont val="Arial"/>
        <family val="2"/>
      </rPr>
      <t>Escames</t>
    </r>
  </si>
  <si>
    <r>
      <t>ST DE TRANSPORTES E GUINCHOS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ADM</t>
    </r>
  </si>
  <si>
    <r>
      <rPr>
        <b/>
        <sz val="12"/>
        <color rgb="FF00B050"/>
        <rFont val="Arial"/>
        <family val="2"/>
      </rPr>
      <t>Ricardo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Pereira dos Santos</t>
    </r>
  </si>
  <si>
    <r>
      <rPr>
        <b/>
        <sz val="12"/>
        <color rgb="FF00B050"/>
        <rFont val="Arial"/>
        <family val="2"/>
      </rPr>
      <t>Jefferson</t>
    </r>
    <r>
      <rPr>
        <sz val="12"/>
        <rFont val="Arial"/>
        <family val="2"/>
      </rPr>
      <t xml:space="preserve"> Santos Matos</t>
    </r>
  </si>
  <si>
    <r>
      <rPr>
        <b/>
        <sz val="12"/>
        <color rgb="FF00B050"/>
        <rFont val="Arial"/>
        <family val="2"/>
      </rPr>
      <t>Rivaldo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Cosmo da Cruz</t>
    </r>
  </si>
  <si>
    <r>
      <t xml:space="preserve">Minervino </t>
    </r>
    <r>
      <rPr>
        <b/>
        <sz val="12"/>
        <color rgb="FF00B050"/>
        <rFont val="Arial"/>
        <family val="2"/>
      </rPr>
      <t>Neto</t>
    </r>
    <r>
      <rPr>
        <sz val="12"/>
        <rFont val="Arial"/>
        <family val="2"/>
      </rPr>
      <t xml:space="preserve"> Ribeiro de Souza</t>
    </r>
  </si>
  <si>
    <r>
      <t xml:space="preserve">Eliseu </t>
    </r>
    <r>
      <rPr>
        <b/>
        <sz val="12"/>
        <color rgb="FF00B050"/>
        <rFont val="Arial"/>
        <family val="2"/>
      </rPr>
      <t>Teotônio</t>
    </r>
    <r>
      <rPr>
        <sz val="12"/>
        <rFont val="Arial"/>
        <family val="2"/>
      </rPr>
      <t xml:space="preserve"> da Silva</t>
    </r>
  </si>
  <si>
    <r>
      <t>Jeferson</t>
    </r>
    <r>
      <rPr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Al</t>
    </r>
    <r>
      <rPr>
        <sz val="12"/>
        <color indexed="8"/>
        <rFont val="Arial"/>
        <family val="2"/>
      </rPr>
      <t>ves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De Oliveira</t>
    </r>
  </si>
  <si>
    <r>
      <rPr>
        <b/>
        <sz val="12"/>
        <color rgb="FF00B050"/>
        <rFont val="Arial"/>
        <family val="2"/>
      </rPr>
      <t>Paulo Cezar</t>
    </r>
    <r>
      <rPr>
        <b/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Ferreira</t>
    </r>
  </si>
  <si>
    <r>
      <t xml:space="preserve">Rogério Soares </t>
    </r>
    <r>
      <rPr>
        <b/>
        <sz val="12"/>
        <color rgb="FF00B050"/>
        <rFont val="Arial"/>
        <family val="2"/>
      </rPr>
      <t>Nunes</t>
    </r>
  </si>
  <si>
    <r>
      <t xml:space="preserve">ST DE TRANSPORTES E GUINCHOS </t>
    </r>
    <r>
      <rPr>
        <b/>
        <sz val="12"/>
        <color rgb="FFFF0000"/>
        <rFont val="Arial"/>
        <family val="2"/>
      </rPr>
      <t>ADM</t>
    </r>
  </si>
  <si>
    <r>
      <rPr>
        <b/>
        <sz val="12"/>
        <color rgb="FF00B050"/>
        <rFont val="Arial"/>
        <family val="2"/>
      </rPr>
      <t>Moacir</t>
    </r>
    <r>
      <rPr>
        <sz val="12"/>
        <color indexed="8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Nunes</t>
    </r>
    <r>
      <rPr>
        <sz val="12"/>
        <color indexed="8"/>
        <rFont val="Arial"/>
        <family val="2"/>
      </rPr>
      <t xml:space="preserve"> da Silva Júnior</t>
    </r>
  </si>
  <si>
    <r>
      <rPr>
        <b/>
        <sz val="12"/>
        <color rgb="FF00B050"/>
        <rFont val="Arial"/>
        <family val="2"/>
      </rPr>
      <t>Jackson</t>
    </r>
    <r>
      <rPr>
        <sz val="12"/>
        <color indexed="8"/>
        <rFont val="Arial"/>
        <family val="2"/>
      </rPr>
      <t xml:space="preserve"> Araujo dos Santos</t>
    </r>
  </si>
  <si>
    <r>
      <rPr>
        <b/>
        <sz val="12"/>
        <color rgb="FF00B050"/>
        <rFont val="Arial"/>
        <family val="2"/>
      </rPr>
      <t>Henrique</t>
    </r>
    <r>
      <rPr>
        <sz val="12"/>
        <color indexed="8"/>
        <rFont val="Arial"/>
        <family val="2"/>
      </rPr>
      <t xml:space="preserve"> Felício Florêncio</t>
    </r>
  </si>
  <si>
    <r>
      <t xml:space="preserve">Leandro </t>
    </r>
    <r>
      <rPr>
        <b/>
        <sz val="12"/>
        <color rgb="FF00B050"/>
        <rFont val="Arial"/>
        <family val="2"/>
      </rPr>
      <t>Guelfi</t>
    </r>
  </si>
  <si>
    <r>
      <t xml:space="preserve">Vagner Rodrigues de </t>
    </r>
    <r>
      <rPr>
        <b/>
        <sz val="12"/>
        <color rgb="FF00B050"/>
        <rFont val="Arial"/>
        <family val="2"/>
      </rPr>
      <t>Arruda</t>
    </r>
  </si>
  <si>
    <r>
      <rPr>
        <sz val="12"/>
        <color indexed="8"/>
        <rFont val="Arial"/>
        <family val="2"/>
      </rPr>
      <t>Ronaldo Adriano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Gregório</t>
    </r>
  </si>
  <si>
    <r>
      <rPr>
        <sz val="12"/>
        <rFont val="Arial"/>
        <family val="2"/>
      </rPr>
      <t>Sandro Manoel Francisco da</t>
    </r>
    <r>
      <rPr>
        <sz val="12"/>
        <color theme="1"/>
        <rFont val="Arial"/>
        <family val="2"/>
      </rPr>
      <t xml:space="preserve"> Silv</t>
    </r>
    <r>
      <rPr>
        <sz val="12"/>
        <color indexed="8"/>
        <rFont val="Arial"/>
        <family val="2"/>
      </rPr>
      <t>a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Adão</t>
    </r>
  </si>
  <si>
    <r>
      <t xml:space="preserve">Anderson </t>
    </r>
    <r>
      <rPr>
        <b/>
        <sz val="12"/>
        <color rgb="FF00B050"/>
        <rFont val="Arial"/>
        <family val="2"/>
      </rPr>
      <t>Leite</t>
    </r>
    <r>
      <rPr>
        <sz val="12"/>
        <rFont val="Arial"/>
        <family val="2"/>
      </rPr>
      <t xml:space="preserve"> Cavalcante</t>
    </r>
  </si>
  <si>
    <r>
      <t xml:space="preserve">Nivaldo </t>
    </r>
    <r>
      <rPr>
        <b/>
        <sz val="12"/>
        <color rgb="FF00B050"/>
        <rFont val="Arial"/>
        <family val="2"/>
      </rPr>
      <t>Tavares</t>
    </r>
    <r>
      <rPr>
        <sz val="12"/>
        <rFont val="Arial"/>
        <family val="2"/>
      </rPr>
      <t xml:space="preserve"> dos Santos</t>
    </r>
  </si>
  <si>
    <r>
      <t xml:space="preserve">Marco Aurélio </t>
    </r>
    <r>
      <rPr>
        <b/>
        <sz val="12"/>
        <color rgb="FF00B050"/>
        <rFont val="Arial"/>
        <family val="2"/>
      </rPr>
      <t>Danzo</t>
    </r>
  </si>
  <si>
    <r>
      <t xml:space="preserve">Mauro Aparecido Girasoli </t>
    </r>
    <r>
      <rPr>
        <b/>
        <sz val="12"/>
        <color rgb="FF00B050"/>
        <rFont val="Arial"/>
        <family val="2"/>
      </rPr>
      <t>Narciso</t>
    </r>
  </si>
  <si>
    <r>
      <t xml:space="preserve">Valter </t>
    </r>
    <r>
      <rPr>
        <b/>
        <sz val="12"/>
        <color rgb="FF00B050"/>
        <rFont val="Arial"/>
        <family val="2"/>
      </rPr>
      <t>Clemes</t>
    </r>
    <r>
      <rPr>
        <sz val="12"/>
        <color indexed="8"/>
        <rFont val="Arial"/>
        <family val="2"/>
      </rPr>
      <t xml:space="preserve"> Bezerra</t>
    </r>
  </si>
  <si>
    <r>
      <rPr>
        <b/>
        <sz val="12"/>
        <color rgb="FF00B050"/>
        <rFont val="Arial"/>
        <family val="2"/>
      </rPr>
      <t>Odilon</t>
    </r>
    <r>
      <rPr>
        <sz val="12"/>
        <color indexed="8"/>
        <rFont val="Arial"/>
        <family val="2"/>
      </rPr>
      <t xml:space="preserve"> Gonçalves Santos</t>
    </r>
  </si>
  <si>
    <r>
      <t xml:space="preserve">Wellington Flores do </t>
    </r>
    <r>
      <rPr>
        <b/>
        <sz val="12"/>
        <color rgb="FF00B050"/>
        <rFont val="Arial"/>
        <family val="2"/>
      </rPr>
      <t>Nascimento</t>
    </r>
  </si>
  <si>
    <r>
      <t xml:space="preserve">Cleber Rodrigues </t>
    </r>
    <r>
      <rPr>
        <b/>
        <sz val="12"/>
        <color rgb="FF00B050"/>
        <rFont val="Arial"/>
        <family val="2"/>
      </rPr>
      <t>Miranda</t>
    </r>
  </si>
  <si>
    <r>
      <rPr>
        <b/>
        <sz val="12"/>
        <color rgb="FF00B050"/>
        <rFont val="Arial"/>
        <family val="2"/>
      </rPr>
      <t xml:space="preserve">Gildásio </t>
    </r>
    <r>
      <rPr>
        <sz val="12"/>
        <rFont val="Arial"/>
        <family val="2"/>
      </rPr>
      <t>Gomes da Silva</t>
    </r>
  </si>
  <si>
    <r>
      <rPr>
        <b/>
        <sz val="12"/>
        <color rgb="FF00B050"/>
        <rFont val="Arial"/>
        <family val="2"/>
      </rPr>
      <t>J</t>
    </r>
    <r>
      <rPr>
        <sz val="12"/>
        <rFont val="Arial"/>
        <family val="2"/>
      </rPr>
      <t>oão Batista</t>
    </r>
    <r>
      <rPr>
        <b/>
        <sz val="12"/>
        <color rgb="FF00B050"/>
        <rFont val="Arial"/>
        <family val="2"/>
      </rPr>
      <t xml:space="preserve"> Alves</t>
    </r>
  </si>
  <si>
    <r>
      <t>Lucas</t>
    </r>
    <r>
      <rPr>
        <sz val="12"/>
        <color rgb="FF7030A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Moraes</t>
    </r>
    <r>
      <rPr>
        <b/>
        <sz val="12"/>
        <color rgb="FF7030A0"/>
        <rFont val="Arial"/>
        <family val="2"/>
      </rPr>
      <t xml:space="preserve"> </t>
    </r>
    <r>
      <rPr>
        <sz val="12"/>
        <rFont val="Arial"/>
        <family val="2"/>
      </rPr>
      <t xml:space="preserve">da </t>
    </r>
    <r>
      <rPr>
        <b/>
        <sz val="12"/>
        <color rgb="FF00B050"/>
        <rFont val="Arial"/>
        <family val="2"/>
      </rPr>
      <t>Silva</t>
    </r>
  </si>
  <si>
    <r>
      <t>Cicero Alex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Saraiva</t>
    </r>
    <r>
      <rPr>
        <b/>
        <sz val="12"/>
        <color rgb="FF7030A0"/>
        <rFont val="Arial"/>
        <family val="2"/>
      </rPr>
      <t xml:space="preserve"> </t>
    </r>
    <r>
      <rPr>
        <sz val="12"/>
        <rFont val="Arial"/>
        <family val="2"/>
      </rPr>
      <t>dos Santos</t>
    </r>
  </si>
  <si>
    <r>
      <t xml:space="preserve">Elialdo dos Santos </t>
    </r>
    <r>
      <rPr>
        <b/>
        <sz val="12"/>
        <color rgb="FF7030A0"/>
        <rFont val="Arial"/>
        <family val="2"/>
      </rPr>
      <t>Paixão</t>
    </r>
  </si>
  <si>
    <r>
      <t xml:space="preserve">Fábio da Silva </t>
    </r>
    <r>
      <rPr>
        <b/>
        <sz val="12"/>
        <color rgb="FF7030A0"/>
        <rFont val="Arial"/>
        <family val="2"/>
      </rPr>
      <t>Peixoto</t>
    </r>
  </si>
  <si>
    <r>
      <t>Marlon</t>
    </r>
    <r>
      <rPr>
        <sz val="12"/>
        <color rgb="FF7030A0"/>
        <rFont val="Arial"/>
        <family val="2"/>
      </rPr>
      <t xml:space="preserve"> </t>
    </r>
    <r>
      <rPr>
        <b/>
        <sz val="12"/>
        <color rgb="FF7030A0"/>
        <rFont val="Arial"/>
        <family val="2"/>
      </rPr>
      <t>Vinicius</t>
    </r>
    <r>
      <rPr>
        <sz val="12"/>
        <rFont val="Arial"/>
        <family val="2"/>
      </rPr>
      <t xml:space="preserve"> Antônio de Melo</t>
    </r>
  </si>
  <si>
    <r>
      <t xml:space="preserve">Rogério </t>
    </r>
    <r>
      <rPr>
        <b/>
        <sz val="12"/>
        <color rgb="FF7030A0"/>
        <rFont val="Arial"/>
        <family val="2"/>
      </rPr>
      <t>Vidal</t>
    </r>
    <r>
      <rPr>
        <sz val="12"/>
        <color indexed="8"/>
        <rFont val="Arial"/>
        <family val="2"/>
      </rPr>
      <t xml:space="preserve"> Filho</t>
    </r>
  </si>
  <si>
    <r>
      <t>Felipe Expedito</t>
    </r>
    <r>
      <rPr>
        <b/>
        <sz val="12"/>
        <color rgb="FF7030A0"/>
        <rFont val="Arial"/>
        <family val="2"/>
      </rPr>
      <t xml:space="preserve"> Rodrigues</t>
    </r>
    <r>
      <rPr>
        <sz val="12"/>
        <rFont val="Arial"/>
        <family val="2"/>
      </rPr>
      <t xml:space="preserve"> de Souza</t>
    </r>
  </si>
  <si>
    <r>
      <rPr>
        <sz val="12"/>
        <rFont val="Arial"/>
        <family val="2"/>
      </rPr>
      <t>Igor</t>
    </r>
    <r>
      <rPr>
        <b/>
        <sz val="12"/>
        <color rgb="FF7030A0"/>
        <rFont val="Arial"/>
        <family val="2"/>
      </rPr>
      <t xml:space="preserve"> Fellipe Santos</t>
    </r>
  </si>
  <si>
    <r>
      <rPr>
        <b/>
        <sz val="12"/>
        <color indexed="10"/>
        <rFont val="Arial"/>
        <family val="2"/>
      </rPr>
      <t xml:space="preserve">Rodrigo </t>
    </r>
    <r>
      <rPr>
        <sz val="12"/>
        <rFont val="Arial"/>
        <family val="2"/>
      </rPr>
      <t>Moreira da Silva</t>
    </r>
  </si>
  <si>
    <r>
      <t xml:space="preserve">Luciano Ferreira </t>
    </r>
    <r>
      <rPr>
        <b/>
        <sz val="12"/>
        <color rgb="FFFF0000"/>
        <rFont val="Arial"/>
        <family val="2"/>
      </rPr>
      <t>Pinheiro</t>
    </r>
  </si>
  <si>
    <r>
      <rPr>
        <b/>
        <sz val="12"/>
        <color rgb="FFFF0000"/>
        <rFont val="Arial"/>
        <family val="2"/>
      </rPr>
      <t>Cristina</t>
    </r>
    <r>
      <rPr>
        <sz val="12"/>
        <rFont val="Arial"/>
        <family val="2"/>
      </rPr>
      <t xml:space="preserve"> dos Santos Oliveira</t>
    </r>
  </si>
  <si>
    <r>
      <rPr>
        <b/>
        <sz val="12"/>
        <color indexed="10"/>
        <rFont val="Arial"/>
        <family val="2"/>
      </rPr>
      <t>Roberta</t>
    </r>
    <r>
      <rPr>
        <sz val="12"/>
        <rFont val="Arial"/>
        <family val="2"/>
      </rPr>
      <t xml:space="preserve"> Carvalho de Farias Rodrigues</t>
    </r>
  </si>
  <si>
    <r>
      <rPr>
        <b/>
        <sz val="12"/>
        <color rgb="FFFF0000"/>
        <rFont val="Arial"/>
        <family val="2"/>
      </rPr>
      <t xml:space="preserve">Gisele </t>
    </r>
    <r>
      <rPr>
        <sz val="12"/>
        <rFont val="Arial"/>
        <family val="2"/>
      </rPr>
      <t>Ferreira Rosa Simões</t>
    </r>
  </si>
  <si>
    <r>
      <rPr>
        <b/>
        <sz val="12"/>
        <color rgb="FF00B050"/>
        <rFont val="Arial"/>
        <family val="2"/>
      </rPr>
      <t>Sidnei</t>
    </r>
    <r>
      <rPr>
        <sz val="12"/>
        <color rgb="FF00B050"/>
        <rFont val="Arial"/>
        <family val="2"/>
      </rPr>
      <t xml:space="preserve"> </t>
    </r>
    <r>
      <rPr>
        <sz val="12"/>
        <rFont val="Arial"/>
        <family val="2"/>
      </rPr>
      <t>de Souza</t>
    </r>
  </si>
  <si>
    <r>
      <t>Alan Pires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Bueno</t>
    </r>
    <r>
      <rPr>
        <sz val="12"/>
        <rFont val="Arial"/>
        <family val="2"/>
      </rPr>
      <t xml:space="preserve"> da Silva</t>
    </r>
  </si>
  <si>
    <r>
      <rPr>
        <b/>
        <sz val="12"/>
        <color rgb="FF00B050"/>
        <rFont val="Arial"/>
        <family val="2"/>
      </rPr>
      <t>Ana</t>
    </r>
    <r>
      <rPr>
        <b/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Paula</t>
    </r>
    <r>
      <rPr>
        <b/>
        <sz val="12"/>
        <color rgb="FF00B050"/>
        <rFont val="Arial"/>
        <family val="2"/>
      </rPr>
      <t xml:space="preserve"> Kinjo</t>
    </r>
  </si>
  <si>
    <r>
      <rPr>
        <b/>
        <sz val="12"/>
        <color rgb="FF00B050"/>
        <rFont val="Arial"/>
        <family val="2"/>
      </rPr>
      <t>Marcelo</t>
    </r>
    <r>
      <rPr>
        <sz val="12"/>
        <rFont val="Arial"/>
        <family val="2"/>
      </rPr>
      <t xml:space="preserve"> Jesus </t>
    </r>
    <r>
      <rPr>
        <b/>
        <sz val="12"/>
        <color rgb="FF00B050"/>
        <rFont val="Arial"/>
        <family val="2"/>
      </rPr>
      <t>Santos</t>
    </r>
  </si>
  <si>
    <r>
      <rPr>
        <b/>
        <sz val="12"/>
        <color rgb="FF00B050"/>
        <rFont val="Arial"/>
        <family val="2"/>
      </rPr>
      <t>Nilson</t>
    </r>
    <r>
      <rPr>
        <sz val="12"/>
        <rFont val="Arial"/>
        <family val="2"/>
      </rPr>
      <t xml:space="preserve"> Lopes de Goes</t>
    </r>
  </si>
  <si>
    <r>
      <rPr>
        <sz val="12"/>
        <color rgb="FFFF0000"/>
        <rFont val="Arial"/>
        <family val="2"/>
      </rPr>
      <t>MOTORISTA CHEFE</t>
    </r>
    <r>
      <rPr>
        <sz val="12"/>
        <rFont val="Arial"/>
        <family val="2"/>
      </rPr>
      <t xml:space="preserve"> </t>
    </r>
  </si>
  <si>
    <r>
      <rPr>
        <b/>
        <sz val="12"/>
        <color rgb="FF00B050"/>
        <rFont val="Arial"/>
        <family val="2"/>
      </rPr>
      <t>Mateus</t>
    </r>
    <r>
      <rPr>
        <sz val="12"/>
        <color indexed="8"/>
        <rFont val="Arial"/>
        <family val="2"/>
      </rPr>
      <t xml:space="preserve"> dos Santos</t>
    </r>
  </si>
  <si>
    <r>
      <t>Paulo Henrique de Almeida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Machado</t>
    </r>
  </si>
  <si>
    <r>
      <rPr>
        <b/>
        <sz val="12"/>
        <color rgb="FF00B050"/>
        <rFont val="Arial"/>
        <family val="2"/>
      </rPr>
      <t>Joel</t>
    </r>
    <r>
      <rPr>
        <sz val="12"/>
        <color indexed="8"/>
        <rFont val="Arial"/>
        <family val="2"/>
      </rPr>
      <t xml:space="preserve"> Máximo de Araújo</t>
    </r>
  </si>
  <si>
    <r>
      <t xml:space="preserve">Ismael </t>
    </r>
    <r>
      <rPr>
        <b/>
        <sz val="12"/>
        <color rgb="FF00B050"/>
        <rFont val="Arial"/>
        <family val="2"/>
      </rPr>
      <t xml:space="preserve">Mendonça </t>
    </r>
    <r>
      <rPr>
        <sz val="12"/>
        <color indexed="8"/>
        <rFont val="Arial"/>
        <family val="2"/>
      </rPr>
      <t>dos Santos</t>
    </r>
  </si>
  <si>
    <r>
      <rPr>
        <b/>
        <sz val="12"/>
        <color rgb="FF00B050"/>
        <rFont val="Arial"/>
        <family val="2"/>
      </rPr>
      <t xml:space="preserve">Davi </t>
    </r>
    <r>
      <rPr>
        <sz val="12"/>
        <color theme="1"/>
        <rFont val="Arial"/>
        <family val="2"/>
      </rPr>
      <t>Rogério Alves Feitosa</t>
    </r>
  </si>
  <si>
    <r>
      <t>Marcos Antônio da Silva</t>
    </r>
    <r>
      <rPr>
        <b/>
        <sz val="12"/>
        <color rgb="FF7030A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Júnior</t>
    </r>
  </si>
  <si>
    <r>
      <t xml:space="preserve">Luciano </t>
    </r>
    <r>
      <rPr>
        <b/>
        <sz val="12"/>
        <color rgb="FF00B050"/>
        <rFont val="Arial"/>
        <family val="2"/>
      </rPr>
      <t>Amilton</t>
    </r>
    <r>
      <rPr>
        <sz val="12"/>
        <color theme="1"/>
        <rFont val="Arial"/>
        <family val="2"/>
      </rPr>
      <t xml:space="preserve"> Luiz dos Santos</t>
    </r>
  </si>
  <si>
    <r>
      <rPr>
        <b/>
        <sz val="12"/>
        <color rgb="FF00B050"/>
        <rFont val="Arial"/>
        <family val="2"/>
      </rPr>
      <t>Felipe</t>
    </r>
    <r>
      <rPr>
        <sz val="12"/>
        <rFont val="Arial"/>
        <family val="2"/>
      </rPr>
      <t xml:space="preserve"> Querico de Araújo</t>
    </r>
  </si>
  <si>
    <r>
      <rPr>
        <b/>
        <sz val="12"/>
        <color rgb="FF00B050"/>
        <rFont val="Arial"/>
        <family val="2"/>
      </rPr>
      <t>Willian</t>
    </r>
    <r>
      <rPr>
        <sz val="12"/>
        <rFont val="Arial"/>
        <family val="2"/>
      </rPr>
      <t xml:space="preserve"> Ramos dos Santos</t>
    </r>
  </si>
  <si>
    <r>
      <t xml:space="preserve">Rodrigo Sócio da Silva e </t>
    </r>
    <r>
      <rPr>
        <b/>
        <sz val="12"/>
        <color rgb="FF00B050"/>
        <rFont val="Arial"/>
        <family val="2"/>
      </rPr>
      <t>Sá</t>
    </r>
  </si>
  <si>
    <r>
      <rPr>
        <b/>
        <sz val="12"/>
        <color rgb="FF00B050"/>
        <rFont val="Arial"/>
        <family val="2"/>
      </rPr>
      <t>Quezia</t>
    </r>
    <r>
      <rPr>
        <sz val="12"/>
        <rFont val="Arial"/>
        <family val="2"/>
      </rPr>
      <t xml:space="preserve"> da Rocha Reis</t>
    </r>
  </si>
  <si>
    <r>
      <t>Filipe</t>
    </r>
    <r>
      <rPr>
        <sz val="12"/>
        <color rgb="FF7030A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Lanzilotti</t>
    </r>
    <r>
      <rPr>
        <sz val="12"/>
        <rFont val="Arial"/>
        <family val="2"/>
      </rPr>
      <t xml:space="preserve"> da Silva</t>
    </r>
  </si>
  <si>
    <r>
      <t xml:space="preserve">Alexandre </t>
    </r>
    <r>
      <rPr>
        <b/>
        <sz val="12"/>
        <color rgb="FF7030A0"/>
        <rFont val="Arial"/>
        <family val="2"/>
      </rPr>
      <t>Custódio</t>
    </r>
    <r>
      <rPr>
        <sz val="12"/>
        <rFont val="Arial"/>
        <family val="2"/>
      </rPr>
      <t xml:space="preserve"> de Oliveira</t>
    </r>
  </si>
  <si>
    <r>
      <t xml:space="preserve">Raphael Alexandre Peixoto de </t>
    </r>
    <r>
      <rPr>
        <b/>
        <sz val="12"/>
        <color rgb="FF7030A0"/>
        <rFont val="Arial"/>
        <family val="2"/>
      </rPr>
      <t>Resende</t>
    </r>
  </si>
  <si>
    <r>
      <t xml:space="preserve">Roberto </t>
    </r>
    <r>
      <rPr>
        <sz val="12"/>
        <rFont val="Arial"/>
        <family val="2"/>
      </rPr>
      <t>da Silva de Souza</t>
    </r>
  </si>
  <si>
    <r>
      <t xml:space="preserve">Johnny Lopes </t>
    </r>
    <r>
      <rPr>
        <b/>
        <sz val="12"/>
        <color indexed="10"/>
        <rFont val="Arial"/>
        <family val="2"/>
      </rPr>
      <t>Caires</t>
    </r>
  </si>
  <si>
    <r>
      <t xml:space="preserve">Diego </t>
    </r>
    <r>
      <rPr>
        <b/>
        <sz val="12"/>
        <color rgb="FFFF0000"/>
        <rFont val="Arial"/>
        <family val="2"/>
      </rPr>
      <t>Lima Pontes</t>
    </r>
    <r>
      <rPr>
        <sz val="12"/>
        <rFont val="Arial"/>
        <family val="2"/>
      </rPr>
      <t xml:space="preserve"> de Araújo</t>
    </r>
  </si>
  <si>
    <r>
      <t xml:space="preserve">Rubens Antonio </t>
    </r>
    <r>
      <rPr>
        <b/>
        <sz val="12"/>
        <color rgb="FF00B050"/>
        <rFont val="Arial"/>
        <family val="2"/>
      </rPr>
      <t>Plez</t>
    </r>
    <r>
      <rPr>
        <sz val="12"/>
        <rFont val="Arial"/>
        <family val="2"/>
      </rPr>
      <t xml:space="preserve"> Junior</t>
    </r>
  </si>
  <si>
    <r>
      <rPr>
        <b/>
        <sz val="12"/>
        <color rgb="FF00B050"/>
        <rFont val="Arial"/>
        <family val="2"/>
      </rPr>
      <t>Jeronimo</t>
    </r>
    <r>
      <rPr>
        <sz val="12"/>
        <rFont val="Arial"/>
        <family val="2"/>
      </rPr>
      <t xml:space="preserve"> Pereira de Castro Neto</t>
    </r>
  </si>
  <si>
    <r>
      <t>Joaquim Gomes da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Silveira</t>
    </r>
    <r>
      <rPr>
        <sz val="12"/>
        <rFont val="Arial"/>
        <family val="2"/>
      </rPr>
      <t xml:space="preserve"> Júnior</t>
    </r>
  </si>
  <si>
    <r>
      <rPr>
        <sz val="12"/>
        <rFont val="Arial"/>
        <family val="2"/>
      </rPr>
      <t>Gabriel</t>
    </r>
    <r>
      <rPr>
        <b/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da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Cruz</t>
    </r>
    <r>
      <rPr>
        <sz val="12"/>
        <rFont val="Arial"/>
        <family val="2"/>
      </rPr>
      <t xml:space="preserve"> Brito</t>
    </r>
  </si>
  <si>
    <r>
      <t xml:space="preserve">Amauri </t>
    </r>
    <r>
      <rPr>
        <b/>
        <sz val="12"/>
        <color rgb="FF00B050"/>
        <rFont val="Arial"/>
        <family val="2"/>
      </rPr>
      <t>Carrion</t>
    </r>
    <r>
      <rPr>
        <sz val="12"/>
        <rFont val="Arial"/>
        <family val="2"/>
      </rPr>
      <t xml:space="preserve"> de Brito Mortaia</t>
    </r>
  </si>
  <si>
    <r>
      <t>Edelvan Gomes</t>
    </r>
    <r>
      <rPr>
        <b/>
        <sz val="12"/>
        <color rgb="FF00B050"/>
        <rFont val="Arial"/>
        <family val="2"/>
      </rPr>
      <t xml:space="preserve"> Ferreira</t>
    </r>
  </si>
  <si>
    <r>
      <rPr>
        <b/>
        <sz val="12"/>
        <color rgb="FF7030A0"/>
        <rFont val="Arial"/>
        <family val="2"/>
      </rPr>
      <t>Rafael Martins</t>
    </r>
    <r>
      <rPr>
        <sz val="12"/>
        <color rgb="FF7030A0"/>
        <rFont val="Arial"/>
        <family val="2"/>
      </rPr>
      <t xml:space="preserve"> </t>
    </r>
    <r>
      <rPr>
        <sz val="12"/>
        <rFont val="Arial"/>
        <family val="2"/>
      </rPr>
      <t>da Silva</t>
    </r>
  </si>
  <si>
    <r>
      <rPr>
        <sz val="12"/>
        <rFont val="Arial"/>
        <family val="2"/>
      </rPr>
      <t>Fabio dos</t>
    </r>
    <r>
      <rPr>
        <b/>
        <sz val="12"/>
        <color indexed="10"/>
        <rFont val="Arial"/>
        <family val="2"/>
      </rPr>
      <t xml:space="preserve"> Reis </t>
    </r>
    <r>
      <rPr>
        <sz val="12"/>
        <rFont val="Arial"/>
        <family val="2"/>
      </rPr>
      <t>Pinheiro</t>
    </r>
  </si>
  <si>
    <r>
      <t xml:space="preserve">Fábio </t>
    </r>
    <r>
      <rPr>
        <b/>
        <sz val="12"/>
        <color indexed="10"/>
        <rFont val="Arial"/>
        <family val="2"/>
      </rPr>
      <t>Augusto</t>
    </r>
    <r>
      <rPr>
        <sz val="12"/>
        <rFont val="Arial"/>
        <family val="2"/>
      </rPr>
      <t xml:space="preserve"> dos Santos</t>
    </r>
  </si>
  <si>
    <r>
      <t>Valderley</t>
    </r>
    <r>
      <rPr>
        <b/>
        <sz val="12"/>
        <color rgb="FFFF0000"/>
        <rFont val="Arial"/>
        <family val="2"/>
      </rPr>
      <t xml:space="preserve"> Brito</t>
    </r>
    <r>
      <rPr>
        <sz val="12"/>
        <rFont val="Arial"/>
        <family val="2"/>
      </rPr>
      <t xml:space="preserve"> Moura</t>
    </r>
  </si>
  <si>
    <r>
      <rPr>
        <b/>
        <sz val="12"/>
        <color rgb="FFFF0000"/>
        <rFont val="Arial"/>
        <family val="2"/>
      </rPr>
      <t>Luciano</t>
    </r>
    <r>
      <rPr>
        <sz val="12"/>
        <rFont val="Arial"/>
        <family val="2"/>
      </rPr>
      <t xml:space="preserve"> Pereira de Souza</t>
    </r>
  </si>
  <si>
    <r>
      <t>Marcelo</t>
    </r>
    <r>
      <rPr>
        <b/>
        <sz val="12"/>
        <color rgb="FF00B050"/>
        <rFont val="Arial"/>
        <family val="2"/>
      </rPr>
      <t xml:space="preserve"> Barone</t>
    </r>
    <r>
      <rPr>
        <sz val="12"/>
        <rFont val="Arial"/>
        <family val="2"/>
      </rPr>
      <t xml:space="preserve"> Rodrigues</t>
    </r>
  </si>
  <si>
    <r>
      <t xml:space="preserve">Givaldo </t>
    </r>
    <r>
      <rPr>
        <b/>
        <sz val="12"/>
        <color rgb="FF00B050"/>
        <rFont val="Arial"/>
        <family val="2"/>
      </rPr>
      <t>Torquato</t>
    </r>
    <r>
      <rPr>
        <sz val="12"/>
        <rFont val="Arial"/>
        <family val="2"/>
      </rPr>
      <t xml:space="preserve"> de Souza</t>
    </r>
  </si>
  <si>
    <r>
      <t xml:space="preserve">Vadalina </t>
    </r>
    <r>
      <rPr>
        <b/>
        <sz val="12"/>
        <color rgb="FF00B050"/>
        <rFont val="Arial"/>
        <family val="2"/>
      </rPr>
      <t>Zuleica</t>
    </r>
    <r>
      <rPr>
        <sz val="12"/>
        <rFont val="Arial"/>
        <family val="2"/>
      </rPr>
      <t xml:space="preserve">  Costa</t>
    </r>
  </si>
  <si>
    <r>
      <rPr>
        <b/>
        <sz val="12"/>
        <color rgb="FF00B050"/>
        <rFont val="Arial"/>
        <family val="2"/>
      </rPr>
      <t>Andrea</t>
    </r>
    <r>
      <rPr>
        <sz val="12"/>
        <rFont val="Arial"/>
        <family val="2"/>
      </rPr>
      <t xml:space="preserve"> Maria </t>
    </r>
    <r>
      <rPr>
        <b/>
        <sz val="12"/>
        <color rgb="FF00B050"/>
        <rFont val="Arial"/>
        <family val="2"/>
      </rPr>
      <t>Lima</t>
    </r>
  </si>
  <si>
    <r>
      <rPr>
        <b/>
        <sz val="12"/>
        <color rgb="FF00B050"/>
        <rFont val="Arial"/>
        <family val="2"/>
      </rPr>
      <t>Juliana</t>
    </r>
    <r>
      <rPr>
        <sz val="12"/>
        <rFont val="Arial"/>
        <family val="2"/>
      </rPr>
      <t xml:space="preserve"> Marino</t>
    </r>
  </si>
  <si>
    <r>
      <t xml:space="preserve">Djalma Luiz Santana </t>
    </r>
    <r>
      <rPr>
        <b/>
        <sz val="12"/>
        <color rgb="FF00B050"/>
        <rFont val="Arial"/>
        <family val="2"/>
      </rPr>
      <t>Neto</t>
    </r>
  </si>
  <si>
    <r>
      <t xml:space="preserve">Leandro da Silva </t>
    </r>
    <r>
      <rPr>
        <b/>
        <sz val="12"/>
        <color rgb="FF00B050"/>
        <rFont val="Arial"/>
        <family val="2"/>
      </rPr>
      <t>Garcia</t>
    </r>
  </si>
  <si>
    <r>
      <rPr>
        <b/>
        <sz val="12"/>
        <color rgb="FF00B050"/>
        <rFont val="Arial"/>
        <family val="2"/>
      </rPr>
      <t>Carlos</t>
    </r>
    <r>
      <rPr>
        <sz val="12"/>
        <rFont val="Arial"/>
        <family val="2"/>
      </rPr>
      <t xml:space="preserve"> Diercey Araújo </t>
    </r>
  </si>
  <si>
    <r>
      <t>Leandro Ferreira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Galvão</t>
    </r>
  </si>
  <si>
    <r>
      <rPr>
        <b/>
        <sz val="12"/>
        <color rgb="FF00B050"/>
        <rFont val="Arial"/>
        <family val="2"/>
      </rPr>
      <t xml:space="preserve">Thiago </t>
    </r>
    <r>
      <rPr>
        <sz val="12"/>
        <rFont val="Arial"/>
        <family val="2"/>
      </rPr>
      <t>Gonçalves</t>
    </r>
  </si>
  <si>
    <r>
      <t>Rodrigo</t>
    </r>
    <r>
      <rPr>
        <b/>
        <sz val="12"/>
        <color rgb="FF00B050"/>
        <rFont val="Arial"/>
        <family val="2"/>
      </rPr>
      <t xml:space="preserve"> Moura</t>
    </r>
    <r>
      <rPr>
        <b/>
        <sz val="12"/>
        <color indexed="36"/>
        <rFont val="Arial"/>
        <family val="2"/>
      </rPr>
      <t xml:space="preserve"> </t>
    </r>
    <r>
      <rPr>
        <sz val="12"/>
        <color indexed="8"/>
        <rFont val="Arial"/>
        <family val="2"/>
      </rPr>
      <t>da Silva</t>
    </r>
  </si>
  <si>
    <r>
      <rPr>
        <b/>
        <sz val="12"/>
        <color rgb="FF00B050"/>
        <rFont val="Arial"/>
        <family val="2"/>
      </rPr>
      <t>Alexandre</t>
    </r>
    <r>
      <rPr>
        <sz val="12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Nunes</t>
    </r>
    <r>
      <rPr>
        <sz val="12"/>
        <rFont val="Arial"/>
        <family val="2"/>
      </rPr>
      <t xml:space="preserve"> da Costa Oliveira</t>
    </r>
  </si>
  <si>
    <r>
      <rPr>
        <b/>
        <sz val="12"/>
        <color rgb="FF00B050"/>
        <rFont val="Arial"/>
        <family val="2"/>
      </rPr>
      <t>Airon</t>
    </r>
    <r>
      <rPr>
        <sz val="12"/>
        <rFont val="Arial"/>
        <family val="2"/>
      </rPr>
      <t xml:space="preserve"> Pascarelli e Silva</t>
    </r>
  </si>
  <si>
    <r>
      <t xml:space="preserve">Artur </t>
    </r>
    <r>
      <rPr>
        <b/>
        <sz val="12"/>
        <color rgb="FF00B050"/>
        <rFont val="Arial"/>
        <family val="2"/>
      </rPr>
      <t>Santiago</t>
    </r>
    <r>
      <rPr>
        <sz val="12"/>
        <rFont val="Arial"/>
        <family val="2"/>
      </rPr>
      <t xml:space="preserve"> da Silva Almeida</t>
    </r>
  </si>
  <si>
    <r>
      <rPr>
        <b/>
        <sz val="12"/>
        <color rgb="FF00B050"/>
        <rFont val="Arial"/>
        <family val="2"/>
      </rPr>
      <t>Cleber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Diniz Arruda</t>
    </r>
  </si>
  <si>
    <r>
      <rPr>
        <b/>
        <sz val="12"/>
        <color rgb="FF00B050"/>
        <rFont val="Arial"/>
        <family val="2"/>
      </rPr>
      <t>Eduardo</t>
    </r>
    <r>
      <rPr>
        <sz val="12"/>
        <rFont val="Arial"/>
        <family val="2"/>
      </rPr>
      <t xml:space="preserve"> de Almeida</t>
    </r>
  </si>
  <si>
    <r>
      <t>Neilson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Faustino</t>
    </r>
    <r>
      <rPr>
        <b/>
        <sz val="12"/>
        <color indexed="36"/>
        <rFont val="Arial"/>
        <family val="2"/>
      </rPr>
      <t xml:space="preserve"> </t>
    </r>
    <r>
      <rPr>
        <sz val="12"/>
        <rFont val="Arial"/>
        <family val="2"/>
      </rPr>
      <t>Rosa</t>
    </r>
  </si>
  <si>
    <r>
      <t xml:space="preserve">Roberto </t>
    </r>
    <r>
      <rPr>
        <b/>
        <sz val="12"/>
        <color rgb="FF00B050"/>
        <rFont val="Arial"/>
        <family val="2"/>
      </rPr>
      <t>Gaspar</t>
    </r>
    <r>
      <rPr>
        <sz val="12"/>
        <rFont val="Arial"/>
        <family val="2"/>
      </rPr>
      <t xml:space="preserve"> de Oliveira</t>
    </r>
  </si>
  <si>
    <r>
      <t xml:space="preserve">Everton Santana </t>
    </r>
    <r>
      <rPr>
        <b/>
        <sz val="12"/>
        <color rgb="FF00B050"/>
        <rFont val="Arial"/>
        <family val="2"/>
      </rPr>
      <t>Dantas</t>
    </r>
  </si>
  <si>
    <r>
      <t>Luiz Francisco</t>
    </r>
    <r>
      <rPr>
        <b/>
        <sz val="12"/>
        <color indexed="36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Bazoni</t>
    </r>
    <r>
      <rPr>
        <sz val="12"/>
        <rFont val="Arial"/>
        <family val="2"/>
      </rPr>
      <t xml:space="preserve"> Coelho da Rosa</t>
    </r>
  </si>
  <si>
    <r>
      <t xml:space="preserve">Samuel </t>
    </r>
    <r>
      <rPr>
        <b/>
        <sz val="12"/>
        <color rgb="FF00B050"/>
        <rFont val="Arial"/>
        <family val="2"/>
      </rPr>
      <t>dos Santos</t>
    </r>
  </si>
  <si>
    <r>
      <t xml:space="preserve">Gleilson de Jesus </t>
    </r>
    <r>
      <rPr>
        <b/>
        <sz val="12"/>
        <color rgb="FF00B050"/>
        <rFont val="Arial"/>
        <family val="2"/>
      </rPr>
      <t>Tiburcio</t>
    </r>
    <r>
      <rPr>
        <sz val="12"/>
        <rFont val="Arial"/>
        <family val="2"/>
      </rPr>
      <t xml:space="preserve"> Marques</t>
    </r>
  </si>
  <si>
    <r>
      <rPr>
        <b/>
        <sz val="12"/>
        <color rgb="FF7030A0"/>
        <rFont val="Arial"/>
        <family val="2"/>
      </rPr>
      <t>Willian</t>
    </r>
    <r>
      <rPr>
        <sz val="12"/>
        <rFont val="Arial"/>
        <family val="2"/>
      </rPr>
      <t xml:space="preserve"> De Paula Melo</t>
    </r>
  </si>
  <si>
    <r>
      <rPr>
        <b/>
        <sz val="12"/>
        <color rgb="FF7030A0"/>
        <rFont val="Arial"/>
        <family val="2"/>
      </rPr>
      <t>Ronaldo</t>
    </r>
    <r>
      <rPr>
        <sz val="12"/>
        <rFont val="Arial"/>
        <family val="2"/>
      </rPr>
      <t xml:space="preserve"> Barbosa Rocha dos Santos</t>
    </r>
  </si>
  <si>
    <r>
      <rPr>
        <b/>
        <sz val="12"/>
        <color indexed="10"/>
        <rFont val="Arial"/>
        <family val="2"/>
      </rPr>
      <t>Giovanni</t>
    </r>
    <r>
      <rPr>
        <sz val="12"/>
        <rFont val="Arial"/>
        <family val="2"/>
      </rPr>
      <t xml:space="preserve"> Ferreira de Souza</t>
    </r>
  </si>
  <si>
    <r>
      <rPr>
        <b/>
        <sz val="12"/>
        <color rgb="FFFF0000"/>
        <rFont val="Arial"/>
        <family val="2"/>
      </rPr>
      <t>Elisângela</t>
    </r>
    <r>
      <rPr>
        <sz val="12"/>
        <rFont val="Arial"/>
        <family val="2"/>
      </rPr>
      <t xml:space="preserve"> Ferreira Lima</t>
    </r>
  </si>
  <si>
    <r>
      <t xml:space="preserve">Jean </t>
    </r>
    <r>
      <rPr>
        <b/>
        <sz val="12"/>
        <color rgb="FFFF0000"/>
        <rFont val="Arial"/>
        <family val="2"/>
      </rPr>
      <t>Ricardo Borges</t>
    </r>
  </si>
  <si>
    <r>
      <rPr>
        <b/>
        <sz val="12"/>
        <color rgb="FFFF0000"/>
        <rFont val="Arial"/>
        <family val="2"/>
      </rPr>
      <t>Cleos</t>
    </r>
    <r>
      <rPr>
        <sz val="12"/>
        <rFont val="Arial"/>
        <family val="2"/>
      </rPr>
      <t xml:space="preserve"> da Silva Pereira</t>
    </r>
  </si>
  <si>
    <r>
      <rPr>
        <b/>
        <sz val="12"/>
        <color rgb="FF00B050"/>
        <rFont val="Arial"/>
        <family val="2"/>
      </rPr>
      <t>Lilian</t>
    </r>
    <r>
      <rPr>
        <sz val="12"/>
        <rFont val="Arial"/>
        <family val="2"/>
      </rPr>
      <t xml:space="preserve"> Simone Moreira</t>
    </r>
    <r>
      <rPr>
        <sz val="12"/>
        <color rgb="FFFF0000"/>
        <rFont val="Arial"/>
        <family val="2"/>
      </rPr>
      <t xml:space="preserve"> </t>
    </r>
  </si>
  <si>
    <r>
      <t>Emerson Batista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Rocha</t>
    </r>
  </si>
  <si>
    <r>
      <t>Antonio Carlos</t>
    </r>
    <r>
      <rPr>
        <sz val="12"/>
        <color indexed="17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L</t>
    </r>
    <r>
      <rPr>
        <sz val="12"/>
        <rFont val="Arial"/>
        <family val="2"/>
      </rPr>
      <t xml:space="preserve">eite </t>
    </r>
    <r>
      <rPr>
        <b/>
        <sz val="12"/>
        <color rgb="FF00B050"/>
        <rFont val="Arial"/>
        <family val="2"/>
      </rPr>
      <t>Sobrinho</t>
    </r>
  </si>
  <si>
    <r>
      <t xml:space="preserve">Sidnei </t>
    </r>
    <r>
      <rPr>
        <b/>
        <sz val="12"/>
        <color rgb="FF00B050"/>
        <rFont val="Arial"/>
        <family val="2"/>
      </rPr>
      <t>J</t>
    </r>
    <r>
      <rPr>
        <sz val="12"/>
        <rFont val="Arial"/>
        <family val="2"/>
      </rPr>
      <t xml:space="preserve">osé de </t>
    </r>
    <r>
      <rPr>
        <b/>
        <sz val="12"/>
        <color rgb="FF00B050"/>
        <rFont val="Arial"/>
        <family val="2"/>
      </rPr>
      <t>Almeida</t>
    </r>
  </si>
  <si>
    <r>
      <rPr>
        <b/>
        <sz val="12"/>
        <color rgb="FF00B050"/>
        <rFont val="Arial"/>
        <family val="2"/>
      </rPr>
      <t>Daniel</t>
    </r>
    <r>
      <rPr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Henrique da Silva</t>
    </r>
  </si>
  <si>
    <r>
      <rPr>
        <b/>
        <sz val="12"/>
        <color rgb="FF00B050"/>
        <rFont val="Arial"/>
        <family val="2"/>
      </rPr>
      <t>F</t>
    </r>
    <r>
      <rPr>
        <sz val="12"/>
        <rFont val="Arial"/>
        <family val="2"/>
      </rPr>
      <t>ábio</t>
    </r>
    <r>
      <rPr>
        <b/>
        <sz val="12"/>
        <color indexed="36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Henrique</t>
    </r>
    <r>
      <rPr>
        <b/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 xml:space="preserve">da Silva </t>
    </r>
  </si>
  <si>
    <r>
      <rPr>
        <b/>
        <sz val="12"/>
        <color rgb="FF00B050"/>
        <rFont val="Arial"/>
        <family val="2"/>
      </rPr>
      <t>Weslley</t>
    </r>
    <r>
      <rPr>
        <sz val="12"/>
        <color indexed="17"/>
        <rFont val="Arial"/>
        <family val="2"/>
      </rPr>
      <t xml:space="preserve"> </t>
    </r>
    <r>
      <rPr>
        <sz val="12"/>
        <rFont val="Arial"/>
        <family val="2"/>
      </rPr>
      <t>Geosme da Silva</t>
    </r>
  </si>
  <si>
    <r>
      <rPr>
        <b/>
        <sz val="12"/>
        <color rgb="FF00B050"/>
        <rFont val="Arial"/>
        <family val="2"/>
      </rPr>
      <t>Erick</t>
    </r>
    <r>
      <rPr>
        <sz val="12"/>
        <rFont val="Arial"/>
        <family val="2"/>
      </rPr>
      <t xml:space="preserve"> Henrique Teixeira </t>
    </r>
    <r>
      <rPr>
        <b/>
        <sz val="12"/>
        <color rgb="FF00B050"/>
        <rFont val="Arial"/>
        <family val="2"/>
      </rPr>
      <t>Santiago</t>
    </r>
  </si>
  <si>
    <r>
      <t xml:space="preserve">Maicon </t>
    </r>
    <r>
      <rPr>
        <b/>
        <sz val="12"/>
        <color rgb="FF7030A0"/>
        <rFont val="Arial"/>
        <family val="2"/>
      </rPr>
      <t>Antoni</t>
    </r>
    <r>
      <rPr>
        <sz val="12"/>
        <rFont val="Arial"/>
        <family val="2"/>
      </rPr>
      <t xml:space="preserve"> Alves Carneiro</t>
    </r>
  </si>
  <si>
    <r>
      <rPr>
        <b/>
        <sz val="12"/>
        <color rgb="FF7030A0"/>
        <rFont val="Arial"/>
        <family val="2"/>
      </rPr>
      <t>Denis</t>
    </r>
    <r>
      <rPr>
        <sz val="12"/>
        <rFont val="Arial"/>
        <family val="2"/>
      </rPr>
      <t xml:space="preserve"> Washington Ferreira da Silva</t>
    </r>
  </si>
  <si>
    <r>
      <rPr>
        <sz val="12"/>
        <rFont val="Arial"/>
        <family val="2"/>
      </rPr>
      <t>Willian de Souza</t>
    </r>
    <r>
      <rPr>
        <b/>
        <sz val="12"/>
        <color rgb="FF7030A0"/>
        <rFont val="Arial"/>
        <family val="2"/>
      </rPr>
      <t xml:space="preserve"> Garcia</t>
    </r>
  </si>
  <si>
    <r>
      <t xml:space="preserve">Vencimento IAS _ Deverá estar com </t>
    </r>
    <r>
      <rPr>
        <b/>
        <i/>
        <sz val="20"/>
        <color rgb="FFFF0000"/>
        <rFont val="Arial"/>
        <family val="2"/>
      </rPr>
      <t xml:space="preserve">IAS </t>
    </r>
    <r>
      <rPr>
        <b/>
        <sz val="20"/>
        <color rgb="FFFF0000"/>
        <rFont val="Arial"/>
        <family val="2"/>
      </rPr>
      <t>regular</t>
    </r>
    <r>
      <rPr>
        <b/>
        <i/>
        <sz val="20"/>
        <color rgb="FFFF0000"/>
        <rFont val="Arial"/>
        <family val="2"/>
      </rPr>
      <t xml:space="preserve"> na a data do EAP(presencial)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</si>
</sst>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6]dd\-mmm\-yy;@"/>
    <numFmt numFmtId="165" formatCode="[$-416]d\-mmm\-yy;@"/>
    <numFmt numFmtId="166" formatCode="dd\-mmm\-yy"/>
  </numFmts>
  <fonts count="5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sz val="10"/>
      <color rgb="FF00B050"/>
      <name val="Arial"/>
      <family val="2"/>
    </font>
    <font>
      <b/>
      <sz val="10"/>
      <color indexed="10"/>
      <name val="Arial"/>
      <family val="2"/>
    </font>
    <font>
      <b/>
      <sz val="10"/>
      <color rgb="FF7030A0"/>
      <name val="Arial"/>
      <family val="2"/>
    </font>
    <font>
      <sz val="10"/>
      <color theme="1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1"/>
      <name val="Calibri"/>
      <family val="2"/>
      <scheme val="minor"/>
    </font>
    <font>
      <b/>
      <sz val="7"/>
      <color theme="1"/>
      <name val="Arial"/>
      <family val="2"/>
    </font>
    <font>
      <b/>
      <sz val="12"/>
      <color rgb="FFFF0000"/>
      <name val="Arial"/>
      <family val="2"/>
    </font>
    <font>
      <b/>
      <sz val="9"/>
      <color theme="1"/>
      <name val="Arial"/>
      <family val="2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</font>
    <font>
      <b/>
      <sz val="18"/>
      <color theme="1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sz val="36"/>
      <color theme="1"/>
      <name val="Arial"/>
      <family val="2"/>
    </font>
    <font>
      <b/>
      <sz val="11"/>
      <color rgb="FF000000"/>
      <name val="Calibri"/>
      <family val="2"/>
    </font>
    <font>
      <sz val="12"/>
      <color indexed="8"/>
      <name val="Arial"/>
      <family val="2"/>
    </font>
    <font>
      <b/>
      <i/>
      <u/>
      <sz val="12"/>
      <color rgb="FFFF0000"/>
      <name val="Arial"/>
      <family val="2"/>
    </font>
    <font>
      <b/>
      <sz val="12"/>
      <color indexed="17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7030A0"/>
      <name val="Arial"/>
      <family val="2"/>
    </font>
    <font>
      <sz val="12"/>
      <color indexed="17"/>
      <name val="Arial"/>
      <family val="2"/>
    </font>
    <font>
      <b/>
      <sz val="12"/>
      <color indexed="10"/>
      <name val="Arial"/>
      <family val="2"/>
    </font>
    <font>
      <sz val="12"/>
      <color rgb="FF7030A0"/>
      <name val="Arial"/>
      <family val="2"/>
    </font>
    <font>
      <b/>
      <sz val="12"/>
      <color indexed="36"/>
      <name val="Arial"/>
      <family val="2"/>
    </font>
    <font>
      <sz val="12"/>
      <color rgb="FF000000"/>
      <name val="Arial"/>
      <family val="2"/>
    </font>
    <font>
      <b/>
      <i/>
      <sz val="20"/>
      <color rgb="FFFF0000"/>
      <name val="Arial"/>
      <family val="2"/>
    </font>
    <font>
      <b/>
      <sz val="2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A9C9E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wrapText="1"/>
    </xf>
  </cellStyleXfs>
  <cellXfs count="199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10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9" fillId="13" borderId="23" xfId="0" applyFont="1" applyFill="1" applyBorder="1"/>
    <xf numFmtId="0" fontId="22" fillId="15" borderId="23" xfId="0" applyFont="1" applyFill="1" applyBorder="1"/>
    <xf numFmtId="0" fontId="25" fillId="14" borderId="23" xfId="0" applyFont="1" applyFill="1" applyBorder="1"/>
    <xf numFmtId="0" fontId="31" fillId="0" borderId="25" xfId="0" applyFont="1" applyBorder="1" applyAlignment="1"/>
    <xf numFmtId="0" fontId="31" fillId="0" borderId="26" xfId="0" applyFont="1" applyBorder="1" applyAlignment="1"/>
    <xf numFmtId="0" fontId="0" fillId="3" borderId="0" xfId="0" applyFill="1" applyBorder="1"/>
    <xf numFmtId="0" fontId="1" fillId="0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23" xfId="0" applyFill="1" applyBorder="1"/>
    <xf numFmtId="0" fontId="1" fillId="8" borderId="2" xfId="0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8" fillId="9" borderId="15" xfId="0" applyFont="1" applyFill="1" applyBorder="1" applyAlignment="1">
      <alignment horizontal="center" vertical="center" textRotation="90" wrapText="1"/>
    </xf>
    <xf numFmtId="0" fontId="18" fillId="9" borderId="17" xfId="0" applyFont="1" applyFill="1" applyBorder="1" applyAlignment="1">
      <alignment horizontal="center" vertical="center" wrapText="1"/>
    </xf>
    <xf numFmtId="0" fontId="31" fillId="0" borderId="31" xfId="0" applyFont="1" applyBorder="1" applyAlignment="1"/>
    <xf numFmtId="166" fontId="36" fillId="22" borderId="0" xfId="0" applyNumberFormat="1" applyFont="1" applyFill="1" applyBorder="1" applyAlignment="1">
      <alignment horizontal="center" vertical="center"/>
    </xf>
    <xf numFmtId="0" fontId="0" fillId="0" borderId="21" xfId="0" applyFill="1" applyBorder="1"/>
    <xf numFmtId="0" fontId="29" fillId="13" borderId="14" xfId="0" applyFont="1" applyFill="1" applyBorder="1"/>
    <xf numFmtId="0" fontId="30" fillId="17" borderId="23" xfId="0" applyFont="1" applyFill="1" applyBorder="1"/>
    <xf numFmtId="0" fontId="30" fillId="17" borderId="3" xfId="0" applyFont="1" applyFill="1" applyBorder="1"/>
    <xf numFmtId="0" fontId="15" fillId="3" borderId="9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165" fontId="15" fillId="3" borderId="9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/>
    </xf>
    <xf numFmtId="165" fontId="15" fillId="3" borderId="12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165" fontId="33" fillId="5" borderId="2" xfId="0" applyNumberFormat="1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/>
    </xf>
    <xf numFmtId="0" fontId="35" fillId="7" borderId="24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5" fontId="1" fillId="0" borderId="9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65" fontId="1" fillId="0" borderId="12" xfId="0" applyNumberFormat="1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165" fontId="1" fillId="0" borderId="27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5" fontId="15" fillId="0" borderId="12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44" fillId="0" borderId="9" xfId="0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65" fontId="33" fillId="3" borderId="2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 wrapText="1"/>
    </xf>
    <xf numFmtId="0" fontId="37" fillId="0" borderId="2" xfId="0" applyFont="1" applyFill="1" applyBorder="1" applyAlignment="1">
      <alignment horizontal="center" vertical="center" wrapText="1"/>
    </xf>
    <xf numFmtId="0" fontId="39" fillId="0" borderId="2" xfId="0" applyFont="1" applyFill="1" applyBorder="1" applyAlignment="1">
      <alignment horizontal="center" vertical="center" wrapText="1"/>
    </xf>
    <xf numFmtId="0" fontId="41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14" fontId="15" fillId="0" borderId="2" xfId="0" applyNumberFormat="1" applyFont="1" applyFill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165" fontId="47" fillId="0" borderId="2" xfId="0" applyNumberFormat="1" applyFont="1" applyBorder="1" applyAlignment="1">
      <alignment horizontal="center" vertical="center"/>
    </xf>
    <xf numFmtId="0" fontId="15" fillId="17" borderId="6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1" fillId="15" borderId="10" xfId="0" applyFont="1" applyFill="1" applyBorder="1" applyAlignment="1">
      <alignment horizontal="center"/>
    </xf>
    <xf numFmtId="0" fontId="21" fillId="15" borderId="1" xfId="0" applyFont="1" applyFill="1" applyBorder="1" applyAlignment="1">
      <alignment horizontal="center"/>
    </xf>
    <xf numFmtId="0" fontId="17" fillId="20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0" fontId="17" fillId="20" borderId="10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25" borderId="13" xfId="0" applyFont="1" applyFill="1" applyBorder="1" applyAlignment="1">
      <alignment horizontal="center" vertical="center"/>
    </xf>
    <xf numFmtId="0" fontId="15" fillId="21" borderId="13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7" fillId="20" borderId="13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165" fontId="15" fillId="4" borderId="9" xfId="0" applyNumberFormat="1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65" fontId="15" fillId="4" borderId="2" xfId="0" applyNumberFormat="1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 wrapText="1"/>
    </xf>
    <xf numFmtId="0" fontId="37" fillId="4" borderId="12" xfId="0" applyFont="1" applyFill="1" applyBorder="1" applyAlignment="1">
      <alignment horizontal="center" vertical="center" wrapText="1"/>
    </xf>
    <xf numFmtId="165" fontId="15" fillId="4" borderId="12" xfId="0" applyNumberFormat="1" applyFont="1" applyFill="1" applyBorder="1" applyAlignment="1">
      <alignment horizontal="center" vertical="center"/>
    </xf>
    <xf numFmtId="0" fontId="44" fillId="4" borderId="9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165" fontId="33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/>
    </xf>
    <xf numFmtId="165" fontId="47" fillId="4" borderId="2" xfId="0" applyNumberFormat="1" applyFont="1" applyFill="1" applyBorder="1" applyAlignment="1">
      <alignment horizontal="center" vertical="center"/>
    </xf>
    <xf numFmtId="0" fontId="15" fillId="0" borderId="32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41" fillId="0" borderId="32" xfId="0" applyFont="1" applyFill="1" applyBorder="1" applyAlignment="1">
      <alignment horizontal="center" vertical="center"/>
    </xf>
    <xf numFmtId="165" fontId="15" fillId="0" borderId="32" xfId="0" applyNumberFormat="1" applyFont="1" applyFill="1" applyBorder="1" applyAlignment="1">
      <alignment horizontal="center" vertical="center"/>
    </xf>
    <xf numFmtId="165" fontId="15" fillId="3" borderId="32" xfId="0" applyNumberFormat="1" applyFont="1" applyFill="1" applyBorder="1" applyAlignment="1">
      <alignment horizontal="center" vertical="center"/>
    </xf>
    <xf numFmtId="0" fontId="15" fillId="23" borderId="19" xfId="0" applyFont="1" applyFill="1" applyBorder="1" applyAlignment="1">
      <alignment horizontal="center" vertical="center"/>
    </xf>
    <xf numFmtId="165" fontId="1" fillId="0" borderId="10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165" fontId="1" fillId="0" borderId="28" xfId="0" applyNumberFormat="1" applyFont="1" applyFill="1" applyBorder="1" applyAlignment="1">
      <alignment horizontal="center" vertical="center"/>
    </xf>
    <xf numFmtId="0" fontId="34" fillId="20" borderId="15" xfId="0" applyFont="1" applyFill="1" applyBorder="1" applyAlignment="1">
      <alignment horizontal="center" vertical="center" wrapText="1"/>
    </xf>
    <xf numFmtId="0" fontId="48" fillId="20" borderId="16" xfId="0" applyFont="1" applyFill="1" applyBorder="1" applyAlignment="1">
      <alignment horizontal="center" vertical="center" wrapText="1"/>
    </xf>
    <xf numFmtId="0" fontId="19" fillId="11" borderId="15" xfId="0" applyFont="1" applyFill="1" applyBorder="1" applyAlignment="1">
      <alignment horizontal="center" vertical="center" wrapText="1"/>
    </xf>
    <xf numFmtId="0" fontId="19" fillId="11" borderId="29" xfId="0" applyFont="1" applyFill="1" applyBorder="1" applyAlignment="1">
      <alignment horizontal="center" vertical="center" wrapText="1"/>
    </xf>
    <xf numFmtId="0" fontId="32" fillId="19" borderId="15" xfId="0" applyFont="1" applyFill="1" applyBorder="1" applyAlignment="1">
      <alignment horizontal="center" vertical="center" wrapText="1"/>
    </xf>
    <xf numFmtId="0" fontId="32" fillId="19" borderId="29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26" fillId="9" borderId="15" xfId="0" applyFont="1" applyFill="1" applyBorder="1" applyAlignment="1">
      <alignment horizontal="center" vertical="center" wrapText="1"/>
    </xf>
    <xf numFmtId="0" fontId="26" fillId="9" borderId="29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9" borderId="22" xfId="0" applyFont="1" applyFill="1" applyBorder="1" applyAlignment="1">
      <alignment horizontal="center" vertical="center" wrapText="1"/>
    </xf>
  </cellXfs>
  <cellStyles count="8">
    <cellStyle name="Normal" xfId="0" builtinId="0"/>
    <cellStyle name="Normal 16 2" xfId="2"/>
    <cellStyle name="Normal 17 2" xfId="3"/>
    <cellStyle name="Normal 2" xfId="1"/>
    <cellStyle name="Normal 21 2" xfId="4"/>
    <cellStyle name="Normal 3 2" xfId="5"/>
    <cellStyle name="Normal 4" xfId="7"/>
    <cellStyle name="Normal 9 2" xfId="6"/>
  </cellStyles>
  <dxfs count="6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FF99"/>
      <color rgb="FF99FF33"/>
      <color rgb="FFFA9C9E"/>
      <color rgb="FF99CCFF"/>
      <color rgb="FFFFEAA7"/>
      <color rgb="FFFFFFCC"/>
      <color rgb="FF90F030"/>
      <color rgb="FFCCECFF"/>
      <color rgb="FFFF3300"/>
      <color rgb="FF75A8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F/ADM/P1/ST%20PESSOAL%20-%202025/P1/12%20-%20EFETIVO/9.%20MATRIZ%20SET25/4.%20MATRIZ%20ABR25/2.%20MATRIZ%20FEV25/5.%20Matriz%202025%20-%2027FEV25%20Apresenta&#231;&#227;o%20Sd%20Livieri%20M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ções"/>
      <sheetName val="EFETIVO"/>
      <sheetName val="EFETIVO P SEÇ"/>
      <sheetName val="QPO QUANTITATIVO"/>
      <sheetName val="EFETIVO OBSOLETO"/>
      <sheetName val="controle TAF IV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35"/>
  <sheetViews>
    <sheetView topLeftCell="G1" workbookViewId="0">
      <selection activeCell="M26" sqref="M26"/>
    </sheetView>
  </sheetViews>
  <sheetFormatPr defaultRowHeight="15" x14ac:dyDescent="0.25"/>
  <cols>
    <col min="1" max="1" width="18.140625" bestFit="1" customWidth="1"/>
    <col min="2" max="2" width="7.7109375" bestFit="1" customWidth="1"/>
    <col min="3" max="3" width="15.28515625" bestFit="1" customWidth="1"/>
    <col min="4" max="4" width="15.85546875" bestFit="1" customWidth="1"/>
    <col min="5" max="5" width="17.85546875" bestFit="1" customWidth="1"/>
    <col min="6" max="6" width="59" bestFit="1" customWidth="1"/>
    <col min="7" max="7" width="6.5703125" bestFit="1" customWidth="1"/>
    <col min="8" max="8" width="15.85546875" bestFit="1" customWidth="1"/>
    <col min="9" max="9" width="23.140625" bestFit="1" customWidth="1"/>
    <col min="10" max="10" width="7.5703125" bestFit="1" customWidth="1"/>
    <col min="11" max="11" width="38.5703125" bestFit="1" customWidth="1"/>
    <col min="12" max="12" width="18.7109375" customWidth="1"/>
    <col min="13" max="13" width="14.140625" bestFit="1" customWidth="1"/>
    <col min="14" max="14" width="23" customWidth="1"/>
  </cols>
  <sheetData>
    <row r="1" spans="1:14" x14ac:dyDescent="0.25">
      <c r="A1" s="7" t="s">
        <v>266</v>
      </c>
      <c r="B1" s="7" t="s">
        <v>162</v>
      </c>
      <c r="C1" s="7" t="s">
        <v>3</v>
      </c>
      <c r="D1" s="7" t="s">
        <v>240</v>
      </c>
      <c r="E1" s="7" t="s">
        <v>4</v>
      </c>
      <c r="F1" s="7" t="s">
        <v>5</v>
      </c>
      <c r="G1" s="7" t="s">
        <v>232</v>
      </c>
      <c r="H1" s="7" t="s">
        <v>247</v>
      </c>
      <c r="I1" s="8" t="s">
        <v>267</v>
      </c>
      <c r="J1" s="7" t="s">
        <v>250</v>
      </c>
      <c r="K1" s="37" t="s">
        <v>359</v>
      </c>
      <c r="L1" s="37" t="s">
        <v>361</v>
      </c>
      <c r="M1" s="37" t="s">
        <v>388</v>
      </c>
      <c r="N1" s="37" t="s">
        <v>389</v>
      </c>
    </row>
    <row r="2" spans="1:14" x14ac:dyDescent="0.25">
      <c r="A2" s="9" t="s">
        <v>233</v>
      </c>
      <c r="B2" s="9" t="s">
        <v>164</v>
      </c>
      <c r="C2" s="9" t="s">
        <v>263</v>
      </c>
      <c r="D2" s="9" t="s">
        <v>235</v>
      </c>
      <c r="E2" s="9" t="s">
        <v>8</v>
      </c>
      <c r="F2" s="6" t="s">
        <v>114</v>
      </c>
      <c r="G2" s="9" t="s">
        <v>16</v>
      </c>
      <c r="H2" s="9">
        <v>15</v>
      </c>
      <c r="I2" s="9" t="s">
        <v>223</v>
      </c>
      <c r="J2" s="9" t="s">
        <v>252</v>
      </c>
      <c r="K2" s="77" t="s">
        <v>435</v>
      </c>
      <c r="L2" s="76" t="s">
        <v>362</v>
      </c>
      <c r="M2" s="49" t="s">
        <v>385</v>
      </c>
      <c r="N2" s="49" t="s">
        <v>381</v>
      </c>
    </row>
    <row r="3" spans="1:14" ht="22.5" customHeight="1" x14ac:dyDescent="0.25">
      <c r="A3" s="9" t="s">
        <v>6</v>
      </c>
      <c r="B3" s="9" t="s">
        <v>163</v>
      </c>
      <c r="C3" s="9" t="s">
        <v>264</v>
      </c>
      <c r="D3" s="9" t="s">
        <v>271</v>
      </c>
      <c r="E3" s="9" t="s">
        <v>236</v>
      </c>
      <c r="F3" s="6" t="s">
        <v>124</v>
      </c>
      <c r="G3" s="9" t="s">
        <v>30</v>
      </c>
      <c r="H3" s="9">
        <v>30</v>
      </c>
      <c r="I3" s="9" t="s">
        <v>230</v>
      </c>
      <c r="J3" s="9" t="s">
        <v>251</v>
      </c>
      <c r="K3" s="38" t="s">
        <v>436</v>
      </c>
      <c r="L3" s="76" t="s">
        <v>363</v>
      </c>
      <c r="M3" s="49" t="s">
        <v>387</v>
      </c>
      <c r="N3" s="49" t="s">
        <v>378</v>
      </c>
    </row>
    <row r="4" spans="1:14" ht="23.25" customHeight="1" x14ac:dyDescent="0.25">
      <c r="A4" s="9" t="s">
        <v>14</v>
      </c>
      <c r="B4" s="9"/>
      <c r="C4" s="9" t="s">
        <v>76</v>
      </c>
      <c r="D4" s="9" t="s">
        <v>272</v>
      </c>
      <c r="E4" s="9" t="s">
        <v>407</v>
      </c>
      <c r="F4" s="6" t="s">
        <v>44</v>
      </c>
      <c r="G4" s="9" t="s">
        <v>9</v>
      </c>
      <c r="H4" s="9"/>
      <c r="I4" s="9" t="s">
        <v>224</v>
      </c>
      <c r="J4" s="9"/>
      <c r="K4" s="38" t="s">
        <v>437</v>
      </c>
      <c r="L4" s="76" t="s">
        <v>364</v>
      </c>
      <c r="M4" s="49" t="s">
        <v>386</v>
      </c>
      <c r="N4" s="49" t="s">
        <v>380</v>
      </c>
    </row>
    <row r="5" spans="1:14" x14ac:dyDescent="0.25">
      <c r="A5" s="9" t="s">
        <v>17</v>
      </c>
      <c r="B5" s="9"/>
      <c r="C5" s="9" t="s">
        <v>11</v>
      </c>
      <c r="D5" s="9" t="s">
        <v>241</v>
      </c>
      <c r="E5" s="9" t="s">
        <v>237</v>
      </c>
      <c r="F5" s="6" t="s">
        <v>64</v>
      </c>
      <c r="G5" s="9" t="s">
        <v>28</v>
      </c>
      <c r="H5" s="9"/>
      <c r="I5" s="9" t="s">
        <v>231</v>
      </c>
      <c r="J5" s="9"/>
      <c r="K5" s="39" t="s">
        <v>439</v>
      </c>
      <c r="N5" s="49" t="s">
        <v>379</v>
      </c>
    </row>
    <row r="6" spans="1:14" x14ac:dyDescent="0.25">
      <c r="A6" s="9" t="s">
        <v>225</v>
      </c>
      <c r="B6" s="9"/>
      <c r="C6" s="9" t="s">
        <v>7</v>
      </c>
      <c r="D6" s="9" t="s">
        <v>242</v>
      </c>
      <c r="E6" s="9" t="s">
        <v>285</v>
      </c>
      <c r="F6" s="6" t="s">
        <v>58</v>
      </c>
      <c r="G6" s="9" t="s">
        <v>61</v>
      </c>
      <c r="H6" s="9"/>
      <c r="I6" s="9" t="s">
        <v>226</v>
      </c>
      <c r="J6" s="9"/>
      <c r="K6" s="39" t="s">
        <v>438</v>
      </c>
      <c r="N6" s="49" t="s">
        <v>399</v>
      </c>
    </row>
    <row r="7" spans="1:14" x14ac:dyDescent="0.25">
      <c r="A7" s="9" t="s">
        <v>234</v>
      </c>
      <c r="B7" s="9"/>
      <c r="C7" s="9" t="s">
        <v>161</v>
      </c>
      <c r="D7" s="9" t="s">
        <v>243</v>
      </c>
      <c r="E7" s="9" t="s">
        <v>282</v>
      </c>
      <c r="F7" s="6" t="s">
        <v>45</v>
      </c>
      <c r="G7" s="9" t="s">
        <v>23</v>
      </c>
      <c r="H7" s="9"/>
      <c r="I7" s="9"/>
      <c r="J7" s="9"/>
      <c r="K7" s="39" t="s">
        <v>440</v>
      </c>
      <c r="N7" s="49" t="s">
        <v>402</v>
      </c>
    </row>
    <row r="8" spans="1:14" x14ac:dyDescent="0.25">
      <c r="A8" s="9" t="s">
        <v>43</v>
      </c>
      <c r="B8" s="9"/>
      <c r="C8" s="9" t="s">
        <v>278</v>
      </c>
      <c r="D8" s="9" t="s">
        <v>244</v>
      </c>
      <c r="E8" s="9" t="s">
        <v>18</v>
      </c>
      <c r="F8" s="6" t="s">
        <v>81</v>
      </c>
      <c r="G8" s="9" t="s">
        <v>33</v>
      </c>
      <c r="H8" s="9"/>
      <c r="I8" s="9"/>
      <c r="J8" s="9"/>
      <c r="K8" s="39" t="s">
        <v>441</v>
      </c>
      <c r="N8" s="49" t="s">
        <v>403</v>
      </c>
    </row>
    <row r="9" spans="1:14" x14ac:dyDescent="0.25">
      <c r="A9" s="9" t="s">
        <v>46</v>
      </c>
      <c r="B9" s="9"/>
      <c r="C9" s="9" t="s">
        <v>279</v>
      </c>
      <c r="D9" s="9" t="s">
        <v>245</v>
      </c>
      <c r="E9" s="9" t="s">
        <v>29</v>
      </c>
      <c r="F9" s="6" t="s">
        <v>69</v>
      </c>
      <c r="G9" s="9" t="s">
        <v>10</v>
      </c>
      <c r="H9" s="9"/>
      <c r="I9" s="9"/>
      <c r="J9" s="9"/>
      <c r="K9" s="39" t="s">
        <v>442</v>
      </c>
      <c r="N9" s="49" t="s">
        <v>404</v>
      </c>
    </row>
    <row r="10" spans="1:14" x14ac:dyDescent="0.25">
      <c r="A10" s="9" t="s">
        <v>55</v>
      </c>
      <c r="B10" s="9"/>
      <c r="C10" s="9" t="s">
        <v>336</v>
      </c>
      <c r="D10" s="9" t="s">
        <v>246</v>
      </c>
      <c r="E10" s="9" t="s">
        <v>21</v>
      </c>
      <c r="F10" s="6" t="s">
        <v>49</v>
      </c>
      <c r="G10" s="9" t="s">
        <v>39</v>
      </c>
      <c r="H10" s="9"/>
      <c r="I10" s="9"/>
      <c r="J10" s="9"/>
      <c r="K10" s="39" t="s">
        <v>443</v>
      </c>
      <c r="L10" s="43"/>
      <c r="N10" s="49" t="s">
        <v>405</v>
      </c>
    </row>
    <row r="11" spans="1:14" x14ac:dyDescent="0.25">
      <c r="A11" s="9" t="s">
        <v>63</v>
      </c>
      <c r="B11" s="9"/>
      <c r="C11" s="9"/>
      <c r="D11" s="9" t="s">
        <v>265</v>
      </c>
      <c r="E11" s="9" t="s">
        <v>24</v>
      </c>
      <c r="F11" s="6" t="s">
        <v>65</v>
      </c>
      <c r="G11" s="9" t="s">
        <v>20</v>
      </c>
      <c r="H11" s="9"/>
      <c r="I11" s="9"/>
      <c r="J11" s="9"/>
      <c r="K11" s="40" t="s">
        <v>446</v>
      </c>
      <c r="L11" s="75"/>
      <c r="N11" s="49" t="s">
        <v>406</v>
      </c>
    </row>
    <row r="12" spans="1:14" x14ac:dyDescent="0.25">
      <c r="A12" s="9" t="s">
        <v>74</v>
      </c>
      <c r="B12" s="9"/>
      <c r="C12" s="9"/>
      <c r="D12" s="9" t="s">
        <v>283</v>
      </c>
      <c r="E12" s="9" t="s">
        <v>31</v>
      </c>
      <c r="F12" s="6" t="s">
        <v>56</v>
      </c>
      <c r="G12" s="9" t="s">
        <v>37</v>
      </c>
      <c r="H12" s="9"/>
      <c r="I12" s="9"/>
      <c r="J12" s="9"/>
      <c r="K12" s="40" t="s">
        <v>447</v>
      </c>
      <c r="L12" s="75"/>
    </row>
    <row r="13" spans="1:14" x14ac:dyDescent="0.25">
      <c r="A13" s="9" t="s">
        <v>147</v>
      </c>
      <c r="B13" s="9"/>
      <c r="C13" s="9"/>
      <c r="D13" s="9" t="s">
        <v>270</v>
      </c>
      <c r="E13" s="9" t="s">
        <v>288</v>
      </c>
      <c r="F13" s="6" t="s">
        <v>36</v>
      </c>
      <c r="G13" s="9" t="s">
        <v>13</v>
      </c>
      <c r="H13" s="9"/>
      <c r="I13" s="9"/>
      <c r="J13" s="9"/>
      <c r="K13" s="40" t="s">
        <v>448</v>
      </c>
      <c r="L13" s="75"/>
    </row>
    <row r="14" spans="1:14" x14ac:dyDescent="0.25">
      <c r="A14" s="9" t="s">
        <v>262</v>
      </c>
      <c r="B14" s="9"/>
      <c r="C14" s="9"/>
      <c r="D14" s="9" t="s">
        <v>298</v>
      </c>
      <c r="E14" s="9" t="s">
        <v>322</v>
      </c>
      <c r="F14" s="6" t="s">
        <v>66</v>
      </c>
      <c r="G14" s="9"/>
      <c r="H14" s="9"/>
      <c r="I14" s="9"/>
      <c r="J14" s="9"/>
      <c r="K14" s="40" t="s">
        <v>449</v>
      </c>
      <c r="L14" s="75"/>
    </row>
    <row r="15" spans="1:14" x14ac:dyDescent="0.25">
      <c r="A15" s="9" t="s">
        <v>300</v>
      </c>
      <c r="B15" s="9"/>
      <c r="C15" s="9"/>
      <c r="D15" s="9" t="s">
        <v>287</v>
      </c>
      <c r="E15" s="9"/>
      <c r="F15" s="6" t="s">
        <v>84</v>
      </c>
      <c r="G15" s="9"/>
      <c r="H15" s="9"/>
      <c r="I15" s="9"/>
      <c r="J15" s="9"/>
      <c r="K15" s="40" t="s">
        <v>450</v>
      </c>
      <c r="L15" s="75"/>
    </row>
    <row r="16" spans="1:14" x14ac:dyDescent="0.25">
      <c r="A16" s="9"/>
      <c r="B16" s="9"/>
      <c r="C16" s="9"/>
      <c r="D16" s="9" t="s">
        <v>294</v>
      </c>
      <c r="E16" s="9"/>
      <c r="F16" s="6" t="s">
        <v>48</v>
      </c>
      <c r="G16" s="9"/>
      <c r="H16" s="9"/>
      <c r="I16" s="9"/>
      <c r="J16" s="9"/>
      <c r="K16" s="40" t="s">
        <v>451</v>
      </c>
      <c r="L16" s="75"/>
    </row>
    <row r="17" spans="1:16" x14ac:dyDescent="0.25">
      <c r="A17" s="9"/>
      <c r="B17" s="9"/>
      <c r="C17" s="9"/>
      <c r="D17" s="9"/>
      <c r="E17" s="9"/>
      <c r="F17" s="6" t="s">
        <v>8</v>
      </c>
      <c r="G17" s="9"/>
      <c r="H17" s="9"/>
      <c r="I17" s="9"/>
      <c r="J17" s="9"/>
      <c r="K17" s="40" t="s">
        <v>452</v>
      </c>
      <c r="L17" s="75"/>
    </row>
    <row r="18" spans="1:16" x14ac:dyDescent="0.25">
      <c r="A18" s="9"/>
      <c r="B18" s="9"/>
      <c r="C18" s="9"/>
      <c r="D18" s="9"/>
      <c r="E18" s="9"/>
      <c r="F18" s="6" t="s">
        <v>12</v>
      </c>
      <c r="G18" s="9"/>
      <c r="H18" s="9"/>
      <c r="I18" s="9"/>
      <c r="J18" s="9"/>
      <c r="K18" s="40" t="s">
        <v>453</v>
      </c>
      <c r="L18" s="75"/>
    </row>
    <row r="19" spans="1:16" x14ac:dyDescent="0.25">
      <c r="A19" s="9"/>
      <c r="B19" s="9"/>
      <c r="C19" s="9"/>
      <c r="D19" s="9"/>
      <c r="E19" s="9"/>
      <c r="F19" s="6" t="s">
        <v>15</v>
      </c>
      <c r="G19" s="9"/>
      <c r="H19" s="9"/>
      <c r="I19" s="9"/>
      <c r="J19" s="9"/>
      <c r="K19" s="40" t="s">
        <v>454</v>
      </c>
      <c r="L19" s="75"/>
    </row>
    <row r="20" spans="1:16" x14ac:dyDescent="0.25">
      <c r="A20" s="9"/>
      <c r="B20" s="9"/>
      <c r="C20" s="9"/>
      <c r="D20" s="9"/>
      <c r="E20" s="9"/>
      <c r="F20" s="6" t="s">
        <v>25</v>
      </c>
      <c r="G20" s="9"/>
      <c r="H20" s="9"/>
      <c r="I20" s="9"/>
      <c r="J20" s="9"/>
      <c r="K20" s="40" t="s">
        <v>455</v>
      </c>
      <c r="L20" s="75"/>
    </row>
    <row r="21" spans="1:16" x14ac:dyDescent="0.25">
      <c r="A21" s="9"/>
      <c r="B21" s="9"/>
      <c r="C21" s="9"/>
      <c r="D21" s="9"/>
      <c r="E21" s="9"/>
      <c r="F21" s="6" t="s">
        <v>19</v>
      </c>
      <c r="G21" s="9"/>
      <c r="H21" s="9"/>
      <c r="I21" s="9"/>
      <c r="J21" s="9"/>
      <c r="K21" s="78" t="s">
        <v>444</v>
      </c>
      <c r="L21" s="74"/>
      <c r="M21" s="41"/>
      <c r="N21" s="41"/>
      <c r="O21" s="41"/>
      <c r="P21" s="42"/>
    </row>
    <row r="22" spans="1:16" x14ac:dyDescent="0.25">
      <c r="A22" s="9"/>
      <c r="B22" s="9"/>
      <c r="C22" s="9"/>
      <c r="D22" s="9"/>
      <c r="E22" s="9"/>
      <c r="F22" s="6" t="s">
        <v>27</v>
      </c>
      <c r="G22" s="9"/>
      <c r="H22" s="9"/>
      <c r="I22" s="9"/>
      <c r="J22" s="9"/>
      <c r="K22" s="79" t="s">
        <v>445</v>
      </c>
    </row>
    <row r="23" spans="1:16" x14ac:dyDescent="0.25">
      <c r="A23" s="9"/>
      <c r="B23" s="9"/>
      <c r="C23" s="9"/>
      <c r="D23" s="9"/>
      <c r="E23" s="9"/>
      <c r="F23" s="6" t="s">
        <v>32</v>
      </c>
      <c r="G23" s="9"/>
      <c r="H23" s="9"/>
      <c r="I23" s="9"/>
      <c r="J23" s="9"/>
    </row>
    <row r="24" spans="1:16" x14ac:dyDescent="0.25">
      <c r="A24" s="9"/>
      <c r="B24" s="9"/>
      <c r="C24" s="9"/>
      <c r="D24" s="9"/>
      <c r="E24" s="9"/>
      <c r="F24" s="6" t="s">
        <v>22</v>
      </c>
      <c r="G24" s="9"/>
      <c r="H24" s="9"/>
      <c r="I24" s="9"/>
      <c r="J24" s="9"/>
    </row>
    <row r="25" spans="1:16" x14ac:dyDescent="0.25">
      <c r="A25" s="9"/>
      <c r="B25" s="9"/>
      <c r="C25" s="9"/>
      <c r="D25" s="9"/>
      <c r="E25" s="9"/>
      <c r="F25" s="6" t="s">
        <v>34</v>
      </c>
      <c r="G25" s="9"/>
      <c r="H25" s="9"/>
      <c r="I25" s="9"/>
      <c r="J25" s="9"/>
    </row>
    <row r="26" spans="1:16" x14ac:dyDescent="0.25">
      <c r="A26" s="9"/>
      <c r="B26" s="9"/>
      <c r="C26" s="9"/>
      <c r="D26" s="9"/>
      <c r="E26" s="9"/>
      <c r="F26" s="6" t="s">
        <v>41</v>
      </c>
      <c r="G26" s="9"/>
      <c r="H26" s="9"/>
      <c r="I26" s="9"/>
      <c r="J26" s="9"/>
    </row>
    <row r="27" spans="1:16" x14ac:dyDescent="0.25">
      <c r="A27" s="9"/>
      <c r="B27" s="9"/>
      <c r="C27" s="9"/>
      <c r="D27" s="9"/>
      <c r="E27" s="9"/>
      <c r="F27" s="6" t="s">
        <v>35</v>
      </c>
      <c r="G27" s="9"/>
      <c r="H27" s="9"/>
      <c r="I27" s="9"/>
      <c r="J27" s="9"/>
    </row>
    <row r="28" spans="1:16" x14ac:dyDescent="0.25">
      <c r="A28" s="9"/>
      <c r="B28" s="9"/>
      <c r="C28" s="9"/>
      <c r="D28" s="9"/>
      <c r="E28" s="9"/>
      <c r="F28" s="6" t="s">
        <v>40</v>
      </c>
      <c r="G28" s="9"/>
      <c r="H28" s="9"/>
      <c r="I28" s="9"/>
      <c r="J28" s="9"/>
    </row>
    <row r="29" spans="1:16" x14ac:dyDescent="0.25">
      <c r="A29" s="9"/>
      <c r="B29" s="9"/>
      <c r="C29" s="9"/>
      <c r="D29" s="9"/>
      <c r="E29" s="9"/>
      <c r="F29" s="6" t="s">
        <v>42</v>
      </c>
      <c r="G29" s="9"/>
      <c r="H29" s="9"/>
      <c r="I29" s="9"/>
      <c r="J29" s="9"/>
    </row>
    <row r="30" spans="1:16" x14ac:dyDescent="0.25">
      <c r="A30" s="9"/>
      <c r="B30" s="9"/>
      <c r="C30" s="9"/>
      <c r="D30" s="9"/>
      <c r="E30" s="9"/>
      <c r="F30" s="6" t="s">
        <v>54</v>
      </c>
      <c r="G30" s="9"/>
      <c r="H30" s="9"/>
      <c r="I30" s="9"/>
      <c r="J30" s="9"/>
    </row>
    <row r="31" spans="1:16" x14ac:dyDescent="0.25">
      <c r="A31" s="9"/>
      <c r="B31" s="9"/>
      <c r="C31" s="9"/>
      <c r="D31" s="9"/>
      <c r="E31" s="9"/>
      <c r="F31" s="6" t="s">
        <v>82</v>
      </c>
      <c r="G31" s="9"/>
      <c r="H31" s="9"/>
      <c r="I31" s="9"/>
      <c r="J31" s="9"/>
    </row>
    <row r="32" spans="1:16" x14ac:dyDescent="0.25">
      <c r="A32" s="9"/>
      <c r="B32" s="9"/>
      <c r="C32" s="9"/>
      <c r="D32" s="9"/>
      <c r="E32" s="9"/>
      <c r="F32" s="6" t="s">
        <v>52</v>
      </c>
      <c r="G32" s="9"/>
      <c r="H32" s="9"/>
      <c r="I32" s="9"/>
      <c r="J32" s="9"/>
    </row>
    <row r="33" spans="1:10" x14ac:dyDescent="0.25">
      <c r="A33" s="9"/>
      <c r="B33" s="9"/>
      <c r="C33" s="9"/>
      <c r="D33" s="9"/>
      <c r="E33" s="9"/>
      <c r="F33" s="6" t="s">
        <v>38</v>
      </c>
      <c r="G33" s="9"/>
      <c r="H33" s="9"/>
      <c r="I33" s="9"/>
      <c r="J33" s="9"/>
    </row>
    <row r="34" spans="1:10" x14ac:dyDescent="0.25">
      <c r="A34" s="9"/>
      <c r="B34" s="9"/>
      <c r="C34" s="9"/>
      <c r="D34" s="9"/>
      <c r="E34" s="9"/>
      <c r="F34" s="6" t="s">
        <v>62</v>
      </c>
      <c r="G34" s="9"/>
      <c r="H34" s="9"/>
      <c r="I34" s="9"/>
      <c r="J34" s="9"/>
    </row>
    <row r="35" spans="1:1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G1074"/>
  <sheetViews>
    <sheetView tabSelected="1" zoomScale="80" zoomScaleNormal="80" workbookViewId="0">
      <pane ySplit="1" topLeftCell="A95" activePane="bottomLeft" state="frozen"/>
      <selection activeCell="F1" sqref="F1"/>
      <selection pane="bottomLeft" activeCell="I120" sqref="I120"/>
    </sheetView>
  </sheetViews>
  <sheetFormatPr defaultRowHeight="12.75" x14ac:dyDescent="0.25"/>
  <cols>
    <col min="1" max="1" width="4.7109375" style="5" customWidth="1"/>
    <col min="2" max="2" width="14.42578125" style="3" customWidth="1"/>
    <col min="3" max="3" width="12.42578125" style="3" customWidth="1"/>
    <col min="4" max="4" width="53.28515625" style="3" customWidth="1"/>
    <col min="5" max="5" width="24.85546875" style="3" bestFit="1" customWidth="1"/>
    <col min="6" max="6" width="51" style="3" bestFit="1" customWidth="1"/>
    <col min="7" max="7" width="13.42578125" style="3" customWidth="1"/>
    <col min="8" max="8" width="35.85546875" style="25" customWidth="1"/>
    <col min="9" max="9" width="49.140625" style="3" customWidth="1"/>
    <col min="10" max="10" width="8.42578125" style="29" customWidth="1"/>
    <col min="11" max="11" width="13.5703125" style="29" bestFit="1" customWidth="1"/>
    <col min="12" max="12" width="14.140625" style="29" bestFit="1" customWidth="1"/>
    <col min="13" max="13" width="9.28515625" style="29" customWidth="1"/>
    <col min="14" max="15" width="11.28515625" style="29" customWidth="1"/>
    <col min="16" max="30" width="7.28515625" style="29" customWidth="1"/>
    <col min="31" max="61" width="9.140625" style="29"/>
    <col min="62" max="16384" width="9.140625" style="3"/>
  </cols>
  <sheetData>
    <row r="1" spans="1:206" s="13" customFormat="1" ht="132" customHeight="1" thickBot="1" x14ac:dyDescent="0.3">
      <c r="A1" s="72" t="s">
        <v>223</v>
      </c>
      <c r="B1" s="73" t="s">
        <v>0</v>
      </c>
      <c r="C1" s="68" t="s">
        <v>1</v>
      </c>
      <c r="D1" s="92" t="s">
        <v>2</v>
      </c>
      <c r="E1" s="68" t="s">
        <v>4</v>
      </c>
      <c r="F1" s="68" t="s">
        <v>5</v>
      </c>
      <c r="G1" s="186" t="s">
        <v>249</v>
      </c>
      <c r="H1" s="185" t="s">
        <v>609</v>
      </c>
      <c r="I1" s="96" t="s">
        <v>468</v>
      </c>
      <c r="J1" s="70" t="s">
        <v>273</v>
      </c>
      <c r="K1" s="71" t="s">
        <v>274</v>
      </c>
      <c r="L1" s="71" t="s">
        <v>275</v>
      </c>
      <c r="M1" s="69" t="s">
        <v>276</v>
      </c>
      <c r="N1" s="69" t="s">
        <v>277</v>
      </c>
      <c r="O1" s="69" t="s">
        <v>248</v>
      </c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</row>
    <row r="2" spans="1:206" s="109" customFormat="1" ht="23.1" customHeight="1" x14ac:dyDescent="0.2">
      <c r="A2" s="153">
        <v>1</v>
      </c>
      <c r="B2" s="154" t="s">
        <v>63</v>
      </c>
      <c r="C2" s="154" t="s">
        <v>291</v>
      </c>
      <c r="D2" s="154" t="s">
        <v>469</v>
      </c>
      <c r="E2" s="154" t="s">
        <v>26</v>
      </c>
      <c r="F2" s="154" t="s">
        <v>376</v>
      </c>
      <c r="G2" s="155">
        <v>45811</v>
      </c>
      <c r="H2" s="155">
        <f t="shared" ref="H2:H19" si="0">G2+365</f>
        <v>46176</v>
      </c>
      <c r="I2" s="133" t="s">
        <v>442</v>
      </c>
      <c r="J2" s="98">
        <v>30</v>
      </c>
      <c r="K2" s="100">
        <v>46209</v>
      </c>
      <c r="L2" s="100">
        <f t="shared" ref="L2:L33" si="1">J2-1+K2</f>
        <v>46238</v>
      </c>
      <c r="M2" s="98"/>
      <c r="N2" s="100"/>
      <c r="O2" s="180">
        <f t="shared" ref="O2:O33" si="2">M2-1+N2</f>
        <v>-1</v>
      </c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</row>
    <row r="3" spans="1:206" s="109" customFormat="1" ht="23.1" customHeight="1" x14ac:dyDescent="0.2">
      <c r="A3" s="156">
        <v>2</v>
      </c>
      <c r="B3" s="157" t="s">
        <v>63</v>
      </c>
      <c r="C3" s="157" t="s">
        <v>342</v>
      </c>
      <c r="D3" s="157" t="s">
        <v>470</v>
      </c>
      <c r="E3" s="157" t="s">
        <v>26</v>
      </c>
      <c r="F3" s="157" t="s">
        <v>376</v>
      </c>
      <c r="G3" s="158">
        <v>46007</v>
      </c>
      <c r="H3" s="158">
        <f t="shared" si="0"/>
        <v>46372</v>
      </c>
      <c r="I3" s="134" t="s">
        <v>441</v>
      </c>
      <c r="J3" s="34">
        <v>30</v>
      </c>
      <c r="K3" s="14">
        <v>46328</v>
      </c>
      <c r="L3" s="14">
        <f t="shared" si="1"/>
        <v>46357</v>
      </c>
      <c r="M3" s="34"/>
      <c r="N3" s="14"/>
      <c r="O3" s="181">
        <f t="shared" si="2"/>
        <v>-1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</row>
    <row r="4" spans="1:206" s="109" customFormat="1" ht="23.1" customHeight="1" x14ac:dyDescent="0.2">
      <c r="A4" s="156">
        <v>3</v>
      </c>
      <c r="B4" s="157" t="s">
        <v>63</v>
      </c>
      <c r="C4" s="157" t="s">
        <v>416</v>
      </c>
      <c r="D4" s="157" t="s">
        <v>471</v>
      </c>
      <c r="E4" s="157" t="s">
        <v>26</v>
      </c>
      <c r="F4" s="157" t="s">
        <v>376</v>
      </c>
      <c r="G4" s="158">
        <v>46035</v>
      </c>
      <c r="H4" s="158">
        <f t="shared" si="0"/>
        <v>46400</v>
      </c>
      <c r="I4" s="134" t="s">
        <v>442</v>
      </c>
      <c r="J4" s="34">
        <v>30</v>
      </c>
      <c r="K4" s="20">
        <v>46358</v>
      </c>
      <c r="L4" s="14">
        <f t="shared" si="1"/>
        <v>46387</v>
      </c>
      <c r="M4" s="19"/>
      <c r="N4" s="20"/>
      <c r="O4" s="181">
        <f t="shared" si="2"/>
        <v>-1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</row>
    <row r="5" spans="1:206" s="109" customFormat="1" ht="23.1" customHeight="1" x14ac:dyDescent="0.2">
      <c r="A5" s="156">
        <v>4</v>
      </c>
      <c r="B5" s="157" t="s">
        <v>63</v>
      </c>
      <c r="C5" s="157" t="s">
        <v>419</v>
      </c>
      <c r="D5" s="157" t="s">
        <v>472</v>
      </c>
      <c r="E5" s="157" t="s">
        <v>26</v>
      </c>
      <c r="F5" s="157" t="s">
        <v>376</v>
      </c>
      <c r="G5" s="158">
        <v>45994</v>
      </c>
      <c r="H5" s="158">
        <f t="shared" si="0"/>
        <v>46359</v>
      </c>
      <c r="I5" s="134" t="s">
        <v>440</v>
      </c>
      <c r="J5" s="34">
        <v>30</v>
      </c>
      <c r="K5" s="20">
        <v>46280</v>
      </c>
      <c r="L5" s="14">
        <f t="shared" si="1"/>
        <v>46309</v>
      </c>
      <c r="M5" s="19"/>
      <c r="N5" s="20"/>
      <c r="O5" s="181">
        <f t="shared" si="2"/>
        <v>-1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</row>
    <row r="6" spans="1:206" s="109" customFormat="1" ht="23.1" customHeight="1" x14ac:dyDescent="0.2">
      <c r="A6" s="156">
        <v>5</v>
      </c>
      <c r="B6" s="157" t="s">
        <v>63</v>
      </c>
      <c r="C6" s="157" t="s">
        <v>427</v>
      </c>
      <c r="D6" s="157" t="s">
        <v>473</v>
      </c>
      <c r="E6" s="157" t="s">
        <v>26</v>
      </c>
      <c r="F6" s="157" t="s">
        <v>376</v>
      </c>
      <c r="G6" s="158">
        <v>45755</v>
      </c>
      <c r="H6" s="158">
        <f t="shared" si="0"/>
        <v>46120</v>
      </c>
      <c r="I6" s="134" t="s">
        <v>438</v>
      </c>
      <c r="J6" s="34">
        <v>15</v>
      </c>
      <c r="K6" s="20">
        <v>46083</v>
      </c>
      <c r="L6" s="14">
        <f t="shared" si="1"/>
        <v>46097</v>
      </c>
      <c r="M6" s="19">
        <v>15</v>
      </c>
      <c r="N6" s="20">
        <v>46209</v>
      </c>
      <c r="O6" s="181">
        <f t="shared" si="2"/>
        <v>46223</v>
      </c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</row>
    <row r="7" spans="1:206" s="109" customFormat="1" ht="23.1" customHeight="1" x14ac:dyDescent="0.25">
      <c r="A7" s="156">
        <v>6</v>
      </c>
      <c r="B7" s="157" t="s">
        <v>74</v>
      </c>
      <c r="C7" s="157" t="s">
        <v>117</v>
      </c>
      <c r="D7" s="159" t="s">
        <v>474</v>
      </c>
      <c r="E7" s="157" t="s">
        <v>26</v>
      </c>
      <c r="F7" s="157" t="s">
        <v>376</v>
      </c>
      <c r="G7" s="158">
        <v>45740</v>
      </c>
      <c r="H7" s="158">
        <f t="shared" si="0"/>
        <v>46105</v>
      </c>
      <c r="I7" s="135" t="s">
        <v>445</v>
      </c>
      <c r="J7" s="34">
        <v>30</v>
      </c>
      <c r="K7" s="14">
        <v>46205</v>
      </c>
      <c r="L7" s="14">
        <f t="shared" si="1"/>
        <v>46234</v>
      </c>
      <c r="M7" s="34"/>
      <c r="N7" s="14"/>
      <c r="O7" s="181">
        <f t="shared" si="2"/>
        <v>-1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</row>
    <row r="8" spans="1:206" s="109" customFormat="1" ht="23.1" customHeight="1" x14ac:dyDescent="0.25">
      <c r="A8" s="156">
        <v>7</v>
      </c>
      <c r="B8" s="157" t="s">
        <v>74</v>
      </c>
      <c r="C8" s="157" t="s">
        <v>126</v>
      </c>
      <c r="D8" s="157" t="s">
        <v>475</v>
      </c>
      <c r="E8" s="157" t="s">
        <v>26</v>
      </c>
      <c r="F8" s="157" t="s">
        <v>376</v>
      </c>
      <c r="G8" s="158">
        <v>45890</v>
      </c>
      <c r="H8" s="158">
        <f t="shared" si="0"/>
        <v>46255</v>
      </c>
      <c r="I8" s="136" t="s">
        <v>452</v>
      </c>
      <c r="J8" s="34">
        <v>30</v>
      </c>
      <c r="K8" s="14">
        <v>46357</v>
      </c>
      <c r="L8" s="14">
        <f t="shared" si="1"/>
        <v>46386</v>
      </c>
      <c r="M8" s="34"/>
      <c r="N8" s="14"/>
      <c r="O8" s="181">
        <f t="shared" si="2"/>
        <v>-1</v>
      </c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</row>
    <row r="9" spans="1:206" s="109" customFormat="1" ht="23.1" customHeight="1" x14ac:dyDescent="0.25">
      <c r="A9" s="156">
        <v>8</v>
      </c>
      <c r="B9" s="157" t="s">
        <v>74</v>
      </c>
      <c r="C9" s="157" t="s">
        <v>134</v>
      </c>
      <c r="D9" s="159" t="s">
        <v>476</v>
      </c>
      <c r="E9" s="157" t="s">
        <v>26</v>
      </c>
      <c r="F9" s="157" t="s">
        <v>376</v>
      </c>
      <c r="G9" s="158">
        <v>45951</v>
      </c>
      <c r="H9" s="158">
        <f t="shared" si="0"/>
        <v>46316</v>
      </c>
      <c r="I9" s="137" t="s">
        <v>451</v>
      </c>
      <c r="J9" s="34">
        <v>30</v>
      </c>
      <c r="K9" s="14">
        <v>46218</v>
      </c>
      <c r="L9" s="14">
        <f t="shared" si="1"/>
        <v>46247</v>
      </c>
      <c r="M9" s="34"/>
      <c r="N9" s="14"/>
      <c r="O9" s="181">
        <f t="shared" si="2"/>
        <v>-1</v>
      </c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11"/>
      <c r="BZ9" s="111"/>
      <c r="CA9" s="111"/>
      <c r="CB9" s="111"/>
      <c r="CC9" s="111"/>
      <c r="CD9" s="111"/>
      <c r="CE9" s="111"/>
      <c r="CF9" s="111"/>
      <c r="CG9" s="111"/>
      <c r="CH9" s="111"/>
      <c r="CI9" s="111"/>
      <c r="CJ9" s="111"/>
      <c r="CK9" s="111"/>
      <c r="CL9" s="111"/>
      <c r="CM9" s="111"/>
      <c r="CN9" s="111"/>
      <c r="CO9" s="111"/>
      <c r="CP9" s="111"/>
      <c r="CQ9" s="111"/>
      <c r="CR9" s="111"/>
      <c r="CS9" s="111"/>
      <c r="CT9" s="111"/>
      <c r="CU9" s="111"/>
      <c r="CV9" s="111"/>
      <c r="CW9" s="111"/>
      <c r="CX9" s="111"/>
      <c r="CY9" s="111"/>
      <c r="CZ9" s="111"/>
      <c r="DA9" s="111"/>
      <c r="DB9" s="111"/>
      <c r="DC9" s="111"/>
      <c r="DD9" s="111"/>
      <c r="DE9" s="111"/>
      <c r="DF9" s="111"/>
      <c r="DG9" s="111"/>
      <c r="DH9" s="111"/>
      <c r="DI9" s="111"/>
      <c r="DJ9" s="111"/>
      <c r="DK9" s="111"/>
      <c r="DL9" s="111"/>
      <c r="DM9" s="111"/>
      <c r="DN9" s="111"/>
      <c r="DO9" s="111"/>
      <c r="DP9" s="111"/>
      <c r="DQ9" s="111"/>
      <c r="DR9" s="111"/>
      <c r="DS9" s="111"/>
      <c r="DT9" s="111"/>
      <c r="DU9" s="111"/>
      <c r="DV9" s="111"/>
      <c r="DW9" s="111"/>
      <c r="DX9" s="111"/>
      <c r="DY9" s="111"/>
      <c r="DZ9" s="111"/>
      <c r="EA9" s="111"/>
      <c r="EB9" s="111"/>
      <c r="EC9" s="111"/>
      <c r="ED9" s="111"/>
      <c r="EE9" s="111"/>
      <c r="EF9" s="111"/>
      <c r="EG9" s="111"/>
      <c r="EH9" s="111"/>
      <c r="EI9" s="111"/>
      <c r="EJ9" s="111"/>
      <c r="EK9" s="111"/>
      <c r="EL9" s="111"/>
      <c r="EM9" s="111"/>
      <c r="EN9" s="111"/>
      <c r="EO9" s="111"/>
      <c r="EP9" s="111"/>
      <c r="EQ9" s="111"/>
      <c r="ER9" s="111"/>
      <c r="ES9" s="111"/>
      <c r="ET9" s="111"/>
      <c r="EU9" s="111"/>
      <c r="EV9" s="111"/>
      <c r="EW9" s="111"/>
      <c r="EX9" s="111"/>
      <c r="EY9" s="111"/>
      <c r="EZ9" s="111"/>
      <c r="FA9" s="111"/>
      <c r="FB9" s="111"/>
      <c r="FC9" s="111"/>
      <c r="FD9" s="111"/>
      <c r="FE9" s="111"/>
      <c r="FF9" s="111"/>
      <c r="FG9" s="111"/>
      <c r="FH9" s="111"/>
      <c r="FI9" s="111"/>
      <c r="FJ9" s="111"/>
      <c r="FK9" s="111"/>
      <c r="FL9" s="111"/>
      <c r="FM9" s="111"/>
      <c r="FN9" s="111"/>
      <c r="FO9" s="111"/>
      <c r="FP9" s="111"/>
      <c r="FQ9" s="111"/>
      <c r="FR9" s="111"/>
      <c r="FS9" s="111"/>
      <c r="FT9" s="111"/>
      <c r="FU9" s="111"/>
      <c r="FV9" s="111"/>
      <c r="FW9" s="111"/>
      <c r="FX9" s="111"/>
      <c r="FY9" s="111"/>
      <c r="FZ9" s="111"/>
      <c r="GA9" s="111"/>
      <c r="GB9" s="111"/>
      <c r="GC9" s="111"/>
      <c r="GD9" s="111"/>
      <c r="GE9" s="111"/>
      <c r="GF9" s="111"/>
      <c r="GG9" s="111"/>
      <c r="GH9" s="111"/>
      <c r="GI9" s="111"/>
      <c r="GJ9" s="111"/>
      <c r="GK9" s="111"/>
      <c r="GL9" s="111"/>
      <c r="GM9" s="111"/>
      <c r="GN9" s="111"/>
      <c r="GO9" s="111"/>
      <c r="GP9" s="111"/>
      <c r="GQ9" s="111"/>
      <c r="GR9" s="111"/>
      <c r="GS9" s="111"/>
      <c r="GT9" s="111"/>
      <c r="GU9" s="111"/>
      <c r="GV9" s="111"/>
      <c r="GW9" s="111"/>
      <c r="GX9" s="111"/>
    </row>
    <row r="10" spans="1:206" s="109" customFormat="1" ht="23.1" customHeight="1" x14ac:dyDescent="0.25">
      <c r="A10" s="156">
        <v>9</v>
      </c>
      <c r="B10" s="157" t="s">
        <v>74</v>
      </c>
      <c r="C10" s="157" t="s">
        <v>152</v>
      </c>
      <c r="D10" s="157" t="s">
        <v>477</v>
      </c>
      <c r="E10" s="157" t="s">
        <v>26</v>
      </c>
      <c r="F10" s="157" t="s">
        <v>376</v>
      </c>
      <c r="G10" s="158">
        <v>45680</v>
      </c>
      <c r="H10" s="158">
        <f t="shared" si="0"/>
        <v>46045</v>
      </c>
      <c r="I10" s="138" t="s">
        <v>446</v>
      </c>
      <c r="J10" s="34">
        <v>15</v>
      </c>
      <c r="K10" s="14">
        <v>46134</v>
      </c>
      <c r="L10" s="14">
        <f t="shared" si="1"/>
        <v>46148</v>
      </c>
      <c r="M10" s="34">
        <v>15</v>
      </c>
      <c r="N10" s="14">
        <v>46244</v>
      </c>
      <c r="O10" s="181">
        <f t="shared" si="2"/>
        <v>46258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1"/>
      <c r="DA10" s="111"/>
      <c r="DB10" s="111"/>
      <c r="DC10" s="111"/>
      <c r="DD10" s="111"/>
      <c r="DE10" s="111"/>
      <c r="DF10" s="111"/>
      <c r="DG10" s="111"/>
      <c r="DH10" s="111"/>
      <c r="DI10" s="111"/>
      <c r="DJ10" s="111"/>
      <c r="DK10" s="111"/>
      <c r="DL10" s="111"/>
      <c r="DM10" s="111"/>
      <c r="DN10" s="111"/>
      <c r="DO10" s="111"/>
      <c r="DP10" s="111"/>
      <c r="DQ10" s="111"/>
      <c r="DR10" s="111"/>
      <c r="DS10" s="111"/>
      <c r="DT10" s="111"/>
      <c r="DU10" s="111"/>
      <c r="DV10" s="111"/>
      <c r="DW10" s="111"/>
      <c r="DX10" s="111"/>
      <c r="DY10" s="111"/>
      <c r="DZ10" s="111"/>
      <c r="EA10" s="111"/>
      <c r="EB10" s="111"/>
      <c r="EC10" s="111"/>
      <c r="ED10" s="111"/>
      <c r="EE10" s="111"/>
      <c r="EF10" s="111"/>
      <c r="EG10" s="111"/>
      <c r="EH10" s="111"/>
      <c r="EI10" s="111"/>
      <c r="EJ10" s="111"/>
      <c r="EK10" s="111"/>
      <c r="EL10" s="111"/>
      <c r="EM10" s="111"/>
      <c r="EN10" s="111"/>
      <c r="EO10" s="111"/>
      <c r="EP10" s="111"/>
      <c r="EQ10" s="111"/>
      <c r="ER10" s="111"/>
      <c r="ES10" s="111"/>
      <c r="ET10" s="111"/>
      <c r="EU10" s="111"/>
      <c r="EV10" s="111"/>
      <c r="EW10" s="111"/>
      <c r="EX10" s="111"/>
      <c r="EY10" s="111"/>
      <c r="EZ10" s="111"/>
      <c r="FA10" s="111"/>
      <c r="FB10" s="111"/>
      <c r="FC10" s="111"/>
      <c r="FD10" s="111"/>
      <c r="FE10" s="111"/>
      <c r="FF10" s="111"/>
      <c r="FG10" s="111"/>
      <c r="FH10" s="111"/>
      <c r="FI10" s="111"/>
      <c r="FJ10" s="111"/>
      <c r="FK10" s="111"/>
      <c r="FL10" s="111"/>
      <c r="FM10" s="111"/>
      <c r="FN10" s="111"/>
      <c r="FO10" s="111"/>
      <c r="FP10" s="111"/>
      <c r="FQ10" s="111"/>
      <c r="FR10" s="111"/>
      <c r="FS10" s="111"/>
      <c r="FT10" s="111"/>
      <c r="FU10" s="111"/>
      <c r="FV10" s="111"/>
      <c r="FW10" s="111"/>
      <c r="FX10" s="111"/>
      <c r="FY10" s="111"/>
      <c r="FZ10" s="111"/>
      <c r="GA10" s="111"/>
      <c r="GB10" s="111"/>
      <c r="GC10" s="111"/>
      <c r="GD10" s="111"/>
      <c r="GE10" s="111"/>
      <c r="GF10" s="111"/>
      <c r="GG10" s="111"/>
      <c r="GH10" s="111"/>
      <c r="GI10" s="111"/>
      <c r="GJ10" s="111"/>
      <c r="GK10" s="111"/>
      <c r="GL10" s="111"/>
      <c r="GM10" s="111"/>
      <c r="GN10" s="111"/>
      <c r="GO10" s="111"/>
      <c r="GP10" s="111"/>
      <c r="GQ10" s="111"/>
      <c r="GR10" s="111"/>
      <c r="GS10" s="111"/>
      <c r="GT10" s="111"/>
      <c r="GU10" s="111"/>
      <c r="GV10" s="111"/>
      <c r="GW10" s="111"/>
      <c r="GX10" s="111"/>
    </row>
    <row r="11" spans="1:206" s="109" customFormat="1" ht="23.1" customHeight="1" x14ac:dyDescent="0.25">
      <c r="A11" s="156">
        <v>10</v>
      </c>
      <c r="B11" s="157" t="s">
        <v>147</v>
      </c>
      <c r="C11" s="157" t="s">
        <v>360</v>
      </c>
      <c r="D11" s="157" t="s">
        <v>478</v>
      </c>
      <c r="E11" s="157" t="s">
        <v>237</v>
      </c>
      <c r="F11" s="157" t="s">
        <v>376</v>
      </c>
      <c r="G11" s="158">
        <v>45763</v>
      </c>
      <c r="H11" s="158">
        <f t="shared" si="0"/>
        <v>46128</v>
      </c>
      <c r="I11" s="139" t="s">
        <v>455</v>
      </c>
      <c r="J11" s="34">
        <v>30</v>
      </c>
      <c r="K11" s="14">
        <v>46174</v>
      </c>
      <c r="L11" s="14">
        <f t="shared" si="1"/>
        <v>46203</v>
      </c>
      <c r="M11" s="34"/>
      <c r="N11" s="14"/>
      <c r="O11" s="181">
        <f t="shared" si="2"/>
        <v>-1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1"/>
      <c r="CN11" s="111"/>
      <c r="CO11" s="111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  <c r="CZ11" s="111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111"/>
      <c r="DN11" s="111"/>
      <c r="DO11" s="111"/>
      <c r="DP11" s="111"/>
      <c r="DQ11" s="111"/>
      <c r="DR11" s="111"/>
      <c r="DS11" s="111"/>
      <c r="DT11" s="111"/>
      <c r="DU11" s="111"/>
      <c r="DV11" s="111"/>
      <c r="DW11" s="111"/>
      <c r="DX11" s="111"/>
      <c r="DY11" s="111"/>
      <c r="DZ11" s="111"/>
      <c r="EA11" s="111"/>
      <c r="EB11" s="111"/>
      <c r="EC11" s="111"/>
      <c r="ED11" s="111"/>
      <c r="EE11" s="111"/>
      <c r="EF11" s="111"/>
      <c r="EG11" s="111"/>
      <c r="EH11" s="111"/>
      <c r="EI11" s="111"/>
      <c r="EJ11" s="111"/>
      <c r="EK11" s="111"/>
      <c r="EL11" s="111"/>
      <c r="EM11" s="111"/>
      <c r="EN11" s="111"/>
      <c r="EO11" s="111"/>
      <c r="EP11" s="111"/>
      <c r="EQ11" s="111"/>
      <c r="ER11" s="111"/>
      <c r="ES11" s="111"/>
      <c r="ET11" s="111"/>
      <c r="EU11" s="111"/>
      <c r="EV11" s="111"/>
      <c r="EW11" s="111"/>
      <c r="EX11" s="111"/>
      <c r="EY11" s="111"/>
      <c r="EZ11" s="111"/>
      <c r="FA11" s="111"/>
      <c r="FB11" s="111"/>
      <c r="FC11" s="111"/>
      <c r="FD11" s="111"/>
      <c r="FE11" s="111"/>
      <c r="FF11" s="111"/>
      <c r="FG11" s="111"/>
      <c r="FH11" s="111"/>
      <c r="FI11" s="111"/>
      <c r="FJ11" s="111"/>
      <c r="FK11" s="111"/>
      <c r="FL11" s="111"/>
      <c r="FM11" s="111"/>
      <c r="FN11" s="111"/>
      <c r="FO11" s="111"/>
      <c r="FP11" s="111"/>
      <c r="FQ11" s="111"/>
      <c r="FR11" s="111"/>
      <c r="FS11" s="111"/>
      <c r="FT11" s="111"/>
      <c r="FU11" s="111"/>
      <c r="FV11" s="111"/>
      <c r="FW11" s="111"/>
      <c r="FX11" s="111"/>
      <c r="FY11" s="111"/>
      <c r="FZ11" s="111"/>
      <c r="GA11" s="111"/>
      <c r="GB11" s="111"/>
      <c r="GC11" s="111"/>
      <c r="GD11" s="111"/>
      <c r="GE11" s="111"/>
      <c r="GF11" s="111"/>
      <c r="GG11" s="111"/>
      <c r="GH11" s="111"/>
      <c r="GI11" s="111"/>
      <c r="GJ11" s="111"/>
      <c r="GK11" s="111"/>
      <c r="GL11" s="111"/>
      <c r="GM11" s="111"/>
      <c r="GN11" s="111"/>
      <c r="GO11" s="111"/>
      <c r="GP11" s="111"/>
      <c r="GQ11" s="111"/>
      <c r="GR11" s="111"/>
      <c r="GS11" s="111"/>
      <c r="GT11" s="111"/>
      <c r="GU11" s="111"/>
      <c r="GV11" s="111"/>
      <c r="GW11" s="111"/>
      <c r="GX11" s="111"/>
    </row>
    <row r="12" spans="1:206" s="109" customFormat="1" ht="23.1" customHeight="1" x14ac:dyDescent="0.25">
      <c r="A12" s="156">
        <v>11</v>
      </c>
      <c r="B12" s="157" t="s">
        <v>147</v>
      </c>
      <c r="C12" s="157" t="s">
        <v>365</v>
      </c>
      <c r="D12" s="157" t="s">
        <v>479</v>
      </c>
      <c r="E12" s="157" t="s">
        <v>26</v>
      </c>
      <c r="F12" s="157" t="s">
        <v>376</v>
      </c>
      <c r="G12" s="158">
        <v>45819</v>
      </c>
      <c r="H12" s="158">
        <f t="shared" si="0"/>
        <v>46184</v>
      </c>
      <c r="I12" s="140" t="s">
        <v>448</v>
      </c>
      <c r="J12" s="34">
        <v>15</v>
      </c>
      <c r="K12" s="14">
        <v>46098</v>
      </c>
      <c r="L12" s="14">
        <f t="shared" si="1"/>
        <v>46112</v>
      </c>
      <c r="M12" s="34">
        <v>15</v>
      </c>
      <c r="N12" s="14">
        <v>46327</v>
      </c>
      <c r="O12" s="181">
        <f t="shared" si="2"/>
        <v>46341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1"/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111"/>
      <c r="FG12" s="111"/>
      <c r="FH12" s="111"/>
      <c r="FI12" s="111"/>
      <c r="FJ12" s="111"/>
      <c r="FK12" s="111"/>
      <c r="FL12" s="111"/>
      <c r="FM12" s="111"/>
      <c r="FN12" s="111"/>
      <c r="FO12" s="111"/>
      <c r="FP12" s="111"/>
      <c r="FQ12" s="111"/>
      <c r="FR12" s="111"/>
      <c r="FS12" s="111"/>
      <c r="FT12" s="111"/>
      <c r="FU12" s="111"/>
      <c r="FV12" s="111"/>
      <c r="FW12" s="111"/>
      <c r="FX12" s="111"/>
      <c r="FY12" s="111"/>
      <c r="FZ12" s="111"/>
      <c r="GA12" s="111"/>
      <c r="GB12" s="111"/>
      <c r="GC12" s="111"/>
      <c r="GD12" s="111"/>
      <c r="GE12" s="111"/>
      <c r="GF12" s="111"/>
      <c r="GG12" s="111"/>
      <c r="GH12" s="111"/>
      <c r="GI12" s="111"/>
      <c r="GJ12" s="111"/>
      <c r="GK12" s="111"/>
      <c r="GL12" s="111"/>
      <c r="GM12" s="111"/>
      <c r="GN12" s="111"/>
      <c r="GO12" s="111"/>
      <c r="GP12" s="111"/>
      <c r="GQ12" s="111"/>
      <c r="GR12" s="111"/>
      <c r="GS12" s="111"/>
      <c r="GT12" s="111"/>
      <c r="GU12" s="111"/>
      <c r="GV12" s="111"/>
      <c r="GW12" s="111"/>
      <c r="GX12" s="111"/>
    </row>
    <row r="13" spans="1:206" s="109" customFormat="1" ht="23.1" customHeight="1" thickBot="1" x14ac:dyDescent="0.3">
      <c r="A13" s="160">
        <v>12</v>
      </c>
      <c r="B13" s="161" t="s">
        <v>147</v>
      </c>
      <c r="C13" s="162" t="s">
        <v>292</v>
      </c>
      <c r="D13" s="163" t="s">
        <v>480</v>
      </c>
      <c r="E13" s="161" t="s">
        <v>26</v>
      </c>
      <c r="F13" s="161" t="s">
        <v>376</v>
      </c>
      <c r="G13" s="164">
        <v>45881</v>
      </c>
      <c r="H13" s="164">
        <f t="shared" si="0"/>
        <v>46246</v>
      </c>
      <c r="I13" s="141" t="s">
        <v>449</v>
      </c>
      <c r="J13" s="102">
        <v>15</v>
      </c>
      <c r="K13" s="103">
        <v>46104</v>
      </c>
      <c r="L13" s="103">
        <f t="shared" si="1"/>
        <v>46118</v>
      </c>
      <c r="M13" s="102">
        <v>15</v>
      </c>
      <c r="N13" s="103">
        <v>46349</v>
      </c>
      <c r="O13" s="182">
        <f t="shared" si="2"/>
        <v>46363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111"/>
      <c r="CS13" s="111"/>
      <c r="CT13" s="111"/>
      <c r="CU13" s="111"/>
      <c r="CV13" s="111"/>
      <c r="CW13" s="111"/>
      <c r="CX13" s="111"/>
      <c r="CY13" s="111"/>
      <c r="CZ13" s="111"/>
      <c r="DA13" s="111"/>
      <c r="DB13" s="111"/>
      <c r="DC13" s="111"/>
      <c r="DD13" s="111"/>
      <c r="DE13" s="111"/>
      <c r="DF13" s="111"/>
      <c r="DG13" s="111"/>
      <c r="DH13" s="111"/>
      <c r="DI13" s="111"/>
      <c r="DJ13" s="111"/>
      <c r="DK13" s="111"/>
      <c r="DL13" s="111"/>
      <c r="DM13" s="111"/>
      <c r="DN13" s="111"/>
      <c r="DO13" s="111"/>
      <c r="DP13" s="111"/>
      <c r="DQ13" s="111"/>
      <c r="DR13" s="111"/>
      <c r="DS13" s="111"/>
      <c r="DT13" s="111"/>
      <c r="DU13" s="111"/>
      <c r="DV13" s="111"/>
      <c r="DW13" s="111"/>
      <c r="DX13" s="111"/>
      <c r="DY13" s="111"/>
      <c r="DZ13" s="111"/>
      <c r="EA13" s="111"/>
      <c r="EB13" s="111"/>
      <c r="EC13" s="111"/>
      <c r="ED13" s="111"/>
      <c r="EE13" s="111"/>
      <c r="EF13" s="111"/>
      <c r="EG13" s="111"/>
      <c r="EH13" s="111"/>
      <c r="EI13" s="111"/>
      <c r="EJ13" s="111"/>
      <c r="EK13" s="111"/>
      <c r="EL13" s="111"/>
      <c r="EM13" s="111"/>
      <c r="EN13" s="111"/>
      <c r="EO13" s="111"/>
      <c r="EP13" s="111"/>
      <c r="EQ13" s="111"/>
      <c r="ER13" s="111"/>
      <c r="ES13" s="111"/>
      <c r="ET13" s="111"/>
      <c r="EU13" s="111"/>
      <c r="EV13" s="111"/>
      <c r="EW13" s="111"/>
      <c r="EX13" s="111"/>
      <c r="EY13" s="111"/>
      <c r="EZ13" s="111"/>
      <c r="FA13" s="111"/>
      <c r="FB13" s="111"/>
      <c r="FC13" s="111"/>
      <c r="FD13" s="111"/>
      <c r="FE13" s="111"/>
      <c r="FF13" s="111"/>
      <c r="FG13" s="111"/>
      <c r="FH13" s="111"/>
      <c r="FI13" s="111"/>
      <c r="FJ13" s="111"/>
      <c r="FK13" s="111"/>
      <c r="FL13" s="111"/>
      <c r="FM13" s="111"/>
      <c r="FN13" s="111"/>
      <c r="FO13" s="111"/>
      <c r="FP13" s="111"/>
      <c r="FQ13" s="111"/>
      <c r="FR13" s="111"/>
      <c r="FS13" s="111"/>
      <c r="FT13" s="111"/>
      <c r="FU13" s="111"/>
      <c r="FV13" s="111"/>
      <c r="FW13" s="111"/>
      <c r="FX13" s="111"/>
      <c r="FY13" s="111"/>
      <c r="FZ13" s="111"/>
      <c r="GA13" s="111"/>
      <c r="GB13" s="111"/>
      <c r="GC13" s="111"/>
      <c r="GD13" s="111"/>
      <c r="GE13" s="111"/>
      <c r="GF13" s="111"/>
      <c r="GG13" s="111"/>
      <c r="GH13" s="111"/>
      <c r="GI13" s="111"/>
      <c r="GJ13" s="111"/>
      <c r="GK13" s="111"/>
      <c r="GL13" s="111"/>
      <c r="GM13" s="111"/>
      <c r="GN13" s="111"/>
      <c r="GO13" s="111"/>
      <c r="GP13" s="111"/>
      <c r="GQ13" s="111"/>
      <c r="GR13" s="111"/>
      <c r="GS13" s="111"/>
      <c r="GT13" s="111"/>
      <c r="GU13" s="111"/>
      <c r="GV13" s="111"/>
      <c r="GW13" s="111"/>
      <c r="GX13" s="111"/>
    </row>
    <row r="14" spans="1:206" s="113" customFormat="1" ht="23.1" customHeight="1" thickBot="1" x14ac:dyDescent="0.3">
      <c r="A14" s="95">
        <v>1</v>
      </c>
      <c r="B14" s="174" t="s">
        <v>74</v>
      </c>
      <c r="C14" s="175" t="s">
        <v>112</v>
      </c>
      <c r="D14" s="176" t="s">
        <v>481</v>
      </c>
      <c r="E14" s="174" t="s">
        <v>113</v>
      </c>
      <c r="F14" s="174" t="s">
        <v>113</v>
      </c>
      <c r="G14" s="177">
        <v>45699</v>
      </c>
      <c r="H14" s="178">
        <f t="shared" si="0"/>
        <v>46064</v>
      </c>
      <c r="I14" s="179" t="s">
        <v>453</v>
      </c>
      <c r="J14" s="183">
        <v>30</v>
      </c>
      <c r="K14" s="105">
        <v>46206</v>
      </c>
      <c r="L14" s="105">
        <f t="shared" si="1"/>
        <v>46235</v>
      </c>
      <c r="M14" s="104"/>
      <c r="N14" s="105"/>
      <c r="O14" s="184">
        <f t="shared" si="2"/>
        <v>-1</v>
      </c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1"/>
      <c r="CN14" s="111"/>
      <c r="CO14" s="111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  <c r="CZ14" s="111"/>
      <c r="DA14" s="111"/>
      <c r="DB14" s="111"/>
      <c r="DC14" s="111"/>
      <c r="DD14" s="111"/>
      <c r="DE14" s="111"/>
      <c r="DF14" s="111"/>
      <c r="DG14" s="111"/>
      <c r="DH14" s="111"/>
      <c r="DI14" s="111"/>
      <c r="DJ14" s="111"/>
      <c r="DK14" s="111"/>
      <c r="DL14" s="111"/>
      <c r="DM14" s="111"/>
      <c r="DN14" s="111"/>
      <c r="DO14" s="111"/>
      <c r="DP14" s="111"/>
      <c r="DQ14" s="111"/>
      <c r="DR14" s="111"/>
      <c r="DS14" s="111"/>
      <c r="DT14" s="111"/>
      <c r="DU14" s="111"/>
      <c r="DV14" s="111"/>
      <c r="DW14" s="111"/>
      <c r="DX14" s="111"/>
      <c r="DY14" s="111"/>
      <c r="DZ14" s="111"/>
      <c r="EA14" s="111"/>
      <c r="EB14" s="111"/>
      <c r="EC14" s="111"/>
      <c r="ED14" s="111"/>
      <c r="EE14" s="111"/>
      <c r="EF14" s="111"/>
      <c r="EG14" s="111"/>
      <c r="EH14" s="111"/>
      <c r="EI14" s="111"/>
      <c r="EJ14" s="111"/>
      <c r="EK14" s="111"/>
      <c r="EL14" s="111"/>
      <c r="EM14" s="111"/>
      <c r="EN14" s="111"/>
      <c r="EO14" s="111"/>
      <c r="EP14" s="111"/>
      <c r="EQ14" s="111"/>
      <c r="ER14" s="111"/>
      <c r="ES14" s="111"/>
      <c r="ET14" s="111"/>
      <c r="EU14" s="111"/>
      <c r="EV14" s="111"/>
      <c r="EW14" s="111"/>
      <c r="EX14" s="111"/>
      <c r="EY14" s="111"/>
      <c r="EZ14" s="111"/>
      <c r="FA14" s="111"/>
      <c r="FB14" s="111"/>
      <c r="FC14" s="111"/>
      <c r="FD14" s="111"/>
      <c r="FE14" s="111"/>
      <c r="FF14" s="111"/>
      <c r="FG14" s="111"/>
      <c r="FH14" s="111"/>
      <c r="FI14" s="111"/>
      <c r="FJ14" s="111"/>
      <c r="FK14" s="111"/>
      <c r="FL14" s="111"/>
      <c r="FM14" s="111"/>
      <c r="FN14" s="111"/>
      <c r="FO14" s="111"/>
      <c r="FP14" s="111"/>
      <c r="FQ14" s="111"/>
      <c r="FR14" s="111"/>
      <c r="FS14" s="111"/>
      <c r="FT14" s="111"/>
      <c r="FU14" s="111"/>
      <c r="FV14" s="111"/>
      <c r="FW14" s="111"/>
      <c r="FX14" s="111"/>
      <c r="FY14" s="111"/>
      <c r="FZ14" s="111"/>
      <c r="GA14" s="111"/>
      <c r="GB14" s="111"/>
      <c r="GC14" s="111"/>
      <c r="GD14" s="111"/>
      <c r="GE14" s="111"/>
      <c r="GF14" s="111"/>
      <c r="GG14" s="111"/>
      <c r="GH14" s="111"/>
      <c r="GI14" s="111"/>
      <c r="GJ14" s="111"/>
      <c r="GK14" s="111"/>
      <c r="GL14" s="111"/>
      <c r="GM14" s="111"/>
      <c r="GN14" s="111"/>
      <c r="GO14" s="111"/>
      <c r="GP14" s="111"/>
      <c r="GQ14" s="111"/>
      <c r="GR14" s="111"/>
      <c r="GS14" s="111"/>
      <c r="GT14" s="111"/>
      <c r="GU14" s="111"/>
      <c r="GV14" s="111"/>
      <c r="GW14" s="111"/>
      <c r="GX14" s="111"/>
    </row>
    <row r="15" spans="1:206" s="113" customFormat="1" ht="23.1" customHeight="1" thickBot="1" x14ac:dyDescent="0.25">
      <c r="A15" s="153">
        <v>1</v>
      </c>
      <c r="B15" s="154" t="s">
        <v>46</v>
      </c>
      <c r="C15" s="154" t="s">
        <v>53</v>
      </c>
      <c r="D15" s="165" t="s">
        <v>482</v>
      </c>
      <c r="E15" s="154" t="s">
        <v>18</v>
      </c>
      <c r="F15" s="154" t="s">
        <v>257</v>
      </c>
      <c r="G15" s="155">
        <v>45882</v>
      </c>
      <c r="H15" s="155">
        <f t="shared" si="0"/>
        <v>46247</v>
      </c>
      <c r="I15" s="133" t="s">
        <v>439</v>
      </c>
      <c r="J15" s="98">
        <v>30</v>
      </c>
      <c r="K15" s="100">
        <v>46266</v>
      </c>
      <c r="L15" s="100">
        <f t="shared" si="1"/>
        <v>46295</v>
      </c>
      <c r="M15" s="98"/>
      <c r="N15" s="100"/>
      <c r="O15" s="180">
        <f t="shared" si="2"/>
        <v>-1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1"/>
      <c r="CN15" s="111"/>
      <c r="CO15" s="111"/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  <c r="CZ15" s="111"/>
      <c r="DA15" s="111"/>
      <c r="DB15" s="111"/>
      <c r="DC15" s="111"/>
      <c r="DD15" s="111"/>
      <c r="DE15" s="111"/>
      <c r="DF15" s="111"/>
      <c r="DG15" s="111"/>
      <c r="DH15" s="111"/>
      <c r="DI15" s="111"/>
      <c r="DJ15" s="111"/>
      <c r="DK15" s="111"/>
      <c r="DL15" s="111"/>
      <c r="DM15" s="111"/>
      <c r="DN15" s="111"/>
      <c r="DO15" s="111"/>
      <c r="DP15" s="111"/>
      <c r="DQ15" s="111"/>
      <c r="DR15" s="111"/>
      <c r="DS15" s="111"/>
      <c r="DT15" s="111"/>
      <c r="DU15" s="111"/>
      <c r="DV15" s="111"/>
      <c r="DW15" s="111"/>
      <c r="DX15" s="111"/>
      <c r="DY15" s="111"/>
      <c r="DZ15" s="111"/>
      <c r="EA15" s="111"/>
      <c r="EB15" s="111"/>
      <c r="EC15" s="111"/>
      <c r="ED15" s="111"/>
      <c r="EE15" s="111"/>
      <c r="EF15" s="111"/>
      <c r="EG15" s="111"/>
      <c r="EH15" s="111"/>
      <c r="EI15" s="111"/>
      <c r="EJ15" s="111"/>
      <c r="EK15" s="111"/>
      <c r="EL15" s="111"/>
      <c r="EM15" s="111"/>
      <c r="EN15" s="111"/>
      <c r="EO15" s="111"/>
      <c r="EP15" s="111"/>
      <c r="EQ15" s="111"/>
      <c r="ER15" s="111"/>
      <c r="ES15" s="111"/>
      <c r="ET15" s="111"/>
      <c r="EU15" s="111"/>
      <c r="EV15" s="111"/>
      <c r="EW15" s="111"/>
      <c r="EX15" s="111"/>
      <c r="EY15" s="111"/>
      <c r="EZ15" s="111"/>
      <c r="FA15" s="111"/>
      <c r="FB15" s="111"/>
      <c r="FC15" s="111"/>
      <c r="FD15" s="111"/>
      <c r="FE15" s="111"/>
      <c r="FF15" s="111"/>
      <c r="FG15" s="111"/>
      <c r="FH15" s="111"/>
      <c r="FI15" s="111"/>
      <c r="FJ15" s="111"/>
      <c r="FK15" s="111"/>
      <c r="FL15" s="111"/>
      <c r="FM15" s="111"/>
      <c r="FN15" s="111"/>
      <c r="FO15" s="111"/>
      <c r="FP15" s="111"/>
      <c r="FQ15" s="111"/>
      <c r="FR15" s="111"/>
      <c r="FS15" s="111"/>
      <c r="FT15" s="111"/>
      <c r="FU15" s="111"/>
      <c r="FV15" s="111"/>
      <c r="FW15" s="111"/>
      <c r="FX15" s="111"/>
      <c r="FY15" s="111"/>
      <c r="FZ15" s="111"/>
      <c r="GA15" s="111"/>
      <c r="GB15" s="111"/>
      <c r="GC15" s="111"/>
      <c r="GD15" s="111"/>
      <c r="GE15" s="111"/>
      <c r="GF15" s="111"/>
      <c r="GG15" s="111"/>
      <c r="GH15" s="111"/>
      <c r="GI15" s="111"/>
      <c r="GJ15" s="111"/>
      <c r="GK15" s="111"/>
      <c r="GL15" s="111"/>
      <c r="GM15" s="111"/>
      <c r="GN15" s="111"/>
      <c r="GO15" s="111"/>
      <c r="GP15" s="111"/>
      <c r="GQ15" s="111"/>
      <c r="GR15" s="111"/>
      <c r="GS15" s="111"/>
      <c r="GT15" s="111"/>
      <c r="GU15" s="111"/>
      <c r="GV15" s="111"/>
      <c r="GW15" s="111"/>
      <c r="GX15" s="111"/>
    </row>
    <row r="16" spans="1:206" s="109" customFormat="1" ht="23.1" customHeight="1" thickBot="1" x14ac:dyDescent="0.25">
      <c r="A16" s="153">
        <v>2</v>
      </c>
      <c r="B16" s="157" t="s">
        <v>55</v>
      </c>
      <c r="C16" s="157" t="s">
        <v>57</v>
      </c>
      <c r="D16" s="166" t="s">
        <v>483</v>
      </c>
      <c r="E16" s="157" t="s">
        <v>18</v>
      </c>
      <c r="F16" s="157" t="s">
        <v>459</v>
      </c>
      <c r="G16" s="158">
        <v>45902</v>
      </c>
      <c r="H16" s="158">
        <f t="shared" si="0"/>
        <v>46267</v>
      </c>
      <c r="I16" s="134" t="s">
        <v>443</v>
      </c>
      <c r="J16" s="34">
        <v>30</v>
      </c>
      <c r="K16" s="14">
        <v>46218</v>
      </c>
      <c r="L16" s="14">
        <f t="shared" si="1"/>
        <v>46247</v>
      </c>
      <c r="M16" s="34"/>
      <c r="N16" s="14"/>
      <c r="O16" s="181">
        <f t="shared" si="2"/>
        <v>-1</v>
      </c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1"/>
      <c r="CM16" s="111"/>
      <c r="CN16" s="111"/>
      <c r="CO16" s="111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  <c r="CZ16" s="111"/>
      <c r="DA16" s="111"/>
      <c r="DB16" s="111"/>
      <c r="DC16" s="111"/>
      <c r="DD16" s="111"/>
      <c r="DE16" s="111"/>
      <c r="DF16" s="111"/>
      <c r="DG16" s="111"/>
      <c r="DH16" s="111"/>
      <c r="DI16" s="111"/>
      <c r="DJ16" s="111"/>
      <c r="DK16" s="111"/>
      <c r="DL16" s="111"/>
      <c r="DM16" s="111"/>
      <c r="DN16" s="111"/>
      <c r="DO16" s="111"/>
      <c r="DP16" s="111"/>
      <c r="DQ16" s="111"/>
      <c r="DR16" s="111"/>
      <c r="DS16" s="111"/>
      <c r="DT16" s="111"/>
      <c r="DU16" s="111"/>
      <c r="DV16" s="111"/>
      <c r="DW16" s="111"/>
      <c r="DX16" s="111"/>
      <c r="DY16" s="111"/>
      <c r="DZ16" s="111"/>
      <c r="EA16" s="111"/>
      <c r="EB16" s="111"/>
      <c r="EC16" s="111"/>
      <c r="ED16" s="111"/>
      <c r="EE16" s="111"/>
      <c r="EF16" s="111"/>
      <c r="EG16" s="111"/>
      <c r="EH16" s="111"/>
      <c r="EI16" s="111"/>
      <c r="EJ16" s="111"/>
      <c r="EK16" s="111"/>
      <c r="EL16" s="111"/>
      <c r="EM16" s="111"/>
      <c r="EN16" s="111"/>
      <c r="EO16" s="111"/>
      <c r="EP16" s="111"/>
      <c r="EQ16" s="111"/>
      <c r="ER16" s="111"/>
      <c r="ES16" s="111"/>
      <c r="ET16" s="111"/>
      <c r="EU16" s="111"/>
      <c r="EV16" s="111"/>
      <c r="EW16" s="111"/>
      <c r="EX16" s="111"/>
      <c r="EY16" s="111"/>
      <c r="EZ16" s="111"/>
      <c r="FA16" s="111"/>
      <c r="FB16" s="111"/>
      <c r="FC16" s="111"/>
      <c r="FD16" s="111"/>
      <c r="FE16" s="111"/>
      <c r="FF16" s="111"/>
      <c r="FG16" s="111"/>
      <c r="FH16" s="111"/>
      <c r="FI16" s="111"/>
      <c r="FJ16" s="111"/>
      <c r="FK16" s="111"/>
      <c r="FL16" s="111"/>
      <c r="FM16" s="111"/>
      <c r="FN16" s="111"/>
      <c r="FO16" s="111"/>
      <c r="FP16" s="111"/>
      <c r="FQ16" s="111"/>
      <c r="FR16" s="111"/>
      <c r="FS16" s="111"/>
      <c r="FT16" s="111"/>
      <c r="FU16" s="111"/>
      <c r="FV16" s="111"/>
      <c r="FW16" s="111"/>
      <c r="FX16" s="111"/>
      <c r="FY16" s="111"/>
      <c r="FZ16" s="111"/>
      <c r="GA16" s="111"/>
      <c r="GB16" s="111"/>
      <c r="GC16" s="111"/>
      <c r="GD16" s="111"/>
      <c r="GE16" s="111"/>
      <c r="GF16" s="111"/>
      <c r="GG16" s="111"/>
      <c r="GH16" s="111"/>
      <c r="GI16" s="111"/>
      <c r="GJ16" s="111"/>
      <c r="GK16" s="111"/>
      <c r="GL16" s="111"/>
      <c r="GM16" s="111"/>
      <c r="GN16" s="111"/>
      <c r="GO16" s="111"/>
      <c r="GP16" s="111"/>
      <c r="GQ16" s="111"/>
      <c r="GR16" s="111"/>
      <c r="GS16" s="111"/>
      <c r="GT16" s="111"/>
      <c r="GU16" s="111"/>
      <c r="GV16" s="111"/>
      <c r="GW16" s="111"/>
      <c r="GX16" s="111"/>
    </row>
    <row r="17" spans="1:206" s="109" customFormat="1" ht="23.1" customHeight="1" thickBot="1" x14ac:dyDescent="0.25">
      <c r="A17" s="153">
        <v>3</v>
      </c>
      <c r="B17" s="157" t="s">
        <v>55</v>
      </c>
      <c r="C17" s="157" t="s">
        <v>296</v>
      </c>
      <c r="D17" s="157" t="s">
        <v>484</v>
      </c>
      <c r="E17" s="157" t="s">
        <v>18</v>
      </c>
      <c r="F17" s="157" t="s">
        <v>460</v>
      </c>
      <c r="G17" s="158">
        <v>45901</v>
      </c>
      <c r="H17" s="158">
        <f t="shared" si="0"/>
        <v>46266</v>
      </c>
      <c r="I17" s="134" t="s">
        <v>442</v>
      </c>
      <c r="J17" s="19">
        <v>15</v>
      </c>
      <c r="K17" s="14">
        <v>46027</v>
      </c>
      <c r="L17" s="14">
        <f t="shared" si="1"/>
        <v>46041</v>
      </c>
      <c r="M17" s="19">
        <v>15</v>
      </c>
      <c r="N17" s="20">
        <v>46204</v>
      </c>
      <c r="O17" s="181">
        <f t="shared" si="2"/>
        <v>46218</v>
      </c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  <c r="CE17" s="111"/>
      <c r="CF17" s="111"/>
      <c r="CG17" s="111"/>
      <c r="CH17" s="111"/>
      <c r="CI17" s="111"/>
      <c r="CJ17" s="111"/>
      <c r="CK17" s="111"/>
      <c r="CL17" s="111"/>
      <c r="CM17" s="111"/>
      <c r="CN17" s="111"/>
      <c r="CO17" s="111"/>
      <c r="CP17" s="111"/>
      <c r="CQ17" s="111"/>
      <c r="CR17" s="111"/>
      <c r="CS17" s="111"/>
      <c r="CT17" s="111"/>
      <c r="CU17" s="111"/>
      <c r="CV17" s="111"/>
      <c r="CW17" s="111"/>
      <c r="CX17" s="111"/>
      <c r="CY17" s="111"/>
      <c r="CZ17" s="111"/>
      <c r="DA17" s="111"/>
      <c r="DB17" s="111"/>
      <c r="DC17" s="111"/>
      <c r="DD17" s="111"/>
      <c r="DE17" s="111"/>
      <c r="DF17" s="111"/>
      <c r="DG17" s="111"/>
      <c r="DH17" s="111"/>
      <c r="DI17" s="111"/>
      <c r="DJ17" s="111"/>
      <c r="DK17" s="111"/>
      <c r="DL17" s="111"/>
      <c r="DM17" s="111"/>
      <c r="DN17" s="111"/>
      <c r="DO17" s="111"/>
      <c r="DP17" s="111"/>
      <c r="DQ17" s="111"/>
      <c r="DR17" s="111"/>
      <c r="DS17" s="111"/>
      <c r="DT17" s="111"/>
      <c r="DU17" s="111"/>
      <c r="DV17" s="111"/>
      <c r="DW17" s="111"/>
      <c r="DX17" s="111"/>
      <c r="DY17" s="111"/>
      <c r="DZ17" s="111"/>
      <c r="EA17" s="111"/>
      <c r="EB17" s="111"/>
      <c r="EC17" s="111"/>
      <c r="ED17" s="111"/>
      <c r="EE17" s="111"/>
      <c r="EF17" s="111"/>
      <c r="EG17" s="111"/>
      <c r="EH17" s="111"/>
      <c r="EI17" s="111"/>
      <c r="EJ17" s="111"/>
      <c r="EK17" s="111"/>
      <c r="EL17" s="111"/>
      <c r="EM17" s="111"/>
      <c r="EN17" s="111"/>
      <c r="EO17" s="111"/>
      <c r="EP17" s="111"/>
      <c r="EQ17" s="111"/>
      <c r="ER17" s="111"/>
      <c r="ES17" s="111"/>
      <c r="ET17" s="111"/>
      <c r="EU17" s="111"/>
      <c r="EV17" s="111"/>
      <c r="EW17" s="111"/>
      <c r="EX17" s="111"/>
      <c r="EY17" s="111"/>
      <c r="EZ17" s="111"/>
      <c r="FA17" s="111"/>
      <c r="FB17" s="111"/>
      <c r="FC17" s="111"/>
      <c r="FD17" s="111"/>
      <c r="FE17" s="111"/>
      <c r="FF17" s="111"/>
      <c r="FG17" s="111"/>
      <c r="FH17" s="111"/>
      <c r="FI17" s="111"/>
      <c r="FJ17" s="111"/>
      <c r="FK17" s="111"/>
      <c r="FL17" s="111"/>
      <c r="FM17" s="111"/>
      <c r="FN17" s="111"/>
      <c r="FO17" s="111"/>
      <c r="FP17" s="111"/>
      <c r="FQ17" s="111"/>
      <c r="FR17" s="111"/>
      <c r="FS17" s="111"/>
      <c r="FT17" s="111"/>
      <c r="FU17" s="111"/>
      <c r="FV17" s="111"/>
      <c r="FW17" s="111"/>
      <c r="FX17" s="111"/>
      <c r="FY17" s="111"/>
      <c r="FZ17" s="111"/>
      <c r="GA17" s="111"/>
      <c r="GB17" s="111"/>
      <c r="GC17" s="111"/>
      <c r="GD17" s="111"/>
      <c r="GE17" s="111"/>
      <c r="GF17" s="111"/>
      <c r="GG17" s="111"/>
      <c r="GH17" s="111"/>
      <c r="GI17" s="111"/>
      <c r="GJ17" s="111"/>
      <c r="GK17" s="111"/>
      <c r="GL17" s="111"/>
      <c r="GM17" s="111"/>
      <c r="GN17" s="111"/>
      <c r="GO17" s="111"/>
      <c r="GP17" s="111"/>
      <c r="GQ17" s="111"/>
      <c r="GR17" s="111"/>
      <c r="GS17" s="111"/>
      <c r="GT17" s="111"/>
      <c r="GU17" s="111"/>
      <c r="GV17" s="111"/>
      <c r="GW17" s="111"/>
      <c r="GX17" s="111"/>
    </row>
    <row r="18" spans="1:206" s="109" customFormat="1" ht="23.1" customHeight="1" thickBot="1" x14ac:dyDescent="0.3">
      <c r="A18" s="153">
        <v>4</v>
      </c>
      <c r="B18" s="157" t="s">
        <v>74</v>
      </c>
      <c r="C18" s="157" t="s">
        <v>94</v>
      </c>
      <c r="D18" s="157" t="s">
        <v>485</v>
      </c>
      <c r="E18" s="157" t="s">
        <v>18</v>
      </c>
      <c r="F18" s="157" t="s">
        <v>459</v>
      </c>
      <c r="G18" s="158">
        <v>45820</v>
      </c>
      <c r="H18" s="158">
        <f t="shared" si="0"/>
        <v>46185</v>
      </c>
      <c r="I18" s="135" t="s">
        <v>444</v>
      </c>
      <c r="J18" s="34">
        <v>30</v>
      </c>
      <c r="K18" s="14">
        <v>46076</v>
      </c>
      <c r="L18" s="14">
        <f t="shared" si="1"/>
        <v>46105</v>
      </c>
      <c r="M18" s="34"/>
      <c r="N18" s="14"/>
      <c r="O18" s="181">
        <f t="shared" si="2"/>
        <v>-1</v>
      </c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1"/>
      <c r="CM18" s="111"/>
      <c r="CN18" s="111"/>
      <c r="CO18" s="111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1"/>
      <c r="DA18" s="111"/>
      <c r="DB18" s="111"/>
      <c r="DC18" s="111"/>
      <c r="DD18" s="111"/>
      <c r="DE18" s="111"/>
      <c r="DF18" s="111"/>
      <c r="DG18" s="111"/>
      <c r="DH18" s="111"/>
      <c r="DI18" s="111"/>
      <c r="DJ18" s="111"/>
      <c r="DK18" s="111"/>
      <c r="DL18" s="111"/>
      <c r="DM18" s="111"/>
      <c r="DN18" s="111"/>
      <c r="DO18" s="111"/>
      <c r="DP18" s="111"/>
      <c r="DQ18" s="111"/>
      <c r="DR18" s="111"/>
      <c r="DS18" s="111"/>
      <c r="DT18" s="111"/>
      <c r="DU18" s="111"/>
      <c r="DV18" s="111"/>
      <c r="DW18" s="111"/>
      <c r="DX18" s="111"/>
      <c r="DY18" s="111"/>
      <c r="DZ18" s="111"/>
      <c r="EA18" s="111"/>
      <c r="EB18" s="111"/>
      <c r="EC18" s="111"/>
      <c r="ED18" s="111"/>
      <c r="EE18" s="111"/>
      <c r="EF18" s="111"/>
      <c r="EG18" s="111"/>
      <c r="EH18" s="111"/>
      <c r="EI18" s="111"/>
      <c r="EJ18" s="111"/>
      <c r="EK18" s="111"/>
      <c r="EL18" s="111"/>
      <c r="EM18" s="111"/>
      <c r="EN18" s="111"/>
      <c r="EO18" s="111"/>
      <c r="EP18" s="111"/>
      <c r="EQ18" s="111"/>
      <c r="ER18" s="111"/>
      <c r="ES18" s="111"/>
      <c r="ET18" s="111"/>
      <c r="EU18" s="111"/>
      <c r="EV18" s="111"/>
      <c r="EW18" s="111"/>
      <c r="EX18" s="111"/>
      <c r="EY18" s="111"/>
      <c r="EZ18" s="111"/>
      <c r="FA18" s="111"/>
      <c r="FB18" s="111"/>
      <c r="FC18" s="111"/>
      <c r="FD18" s="111"/>
      <c r="FE18" s="111"/>
      <c r="FF18" s="111"/>
      <c r="FG18" s="111"/>
      <c r="FH18" s="111"/>
      <c r="FI18" s="111"/>
      <c r="FJ18" s="111"/>
      <c r="FK18" s="111"/>
      <c r="FL18" s="111"/>
      <c r="FM18" s="111"/>
      <c r="FN18" s="111"/>
      <c r="FO18" s="111"/>
      <c r="FP18" s="111"/>
      <c r="FQ18" s="111"/>
      <c r="FR18" s="111"/>
      <c r="FS18" s="111"/>
      <c r="FT18" s="111"/>
      <c r="FU18" s="111"/>
      <c r="FV18" s="111"/>
      <c r="FW18" s="111"/>
      <c r="FX18" s="111"/>
      <c r="FY18" s="111"/>
      <c r="FZ18" s="111"/>
      <c r="GA18" s="111"/>
      <c r="GB18" s="111"/>
      <c r="GC18" s="111"/>
      <c r="GD18" s="111"/>
      <c r="GE18" s="111"/>
      <c r="GF18" s="111"/>
      <c r="GG18" s="111"/>
      <c r="GH18" s="111"/>
      <c r="GI18" s="111"/>
      <c r="GJ18" s="111"/>
      <c r="GK18" s="111"/>
      <c r="GL18" s="111"/>
      <c r="GM18" s="111"/>
      <c r="GN18" s="111"/>
      <c r="GO18" s="111"/>
      <c r="GP18" s="111"/>
      <c r="GQ18" s="111"/>
      <c r="GR18" s="111"/>
      <c r="GS18" s="111"/>
      <c r="GT18" s="111"/>
      <c r="GU18" s="111"/>
      <c r="GV18" s="111"/>
      <c r="GW18" s="111"/>
      <c r="GX18" s="111"/>
    </row>
    <row r="19" spans="1:206" s="111" customFormat="1" ht="23.1" customHeight="1" thickBot="1" x14ac:dyDescent="0.3">
      <c r="A19" s="153">
        <v>5</v>
      </c>
      <c r="B19" s="157" t="s">
        <v>74</v>
      </c>
      <c r="C19" s="157" t="s">
        <v>98</v>
      </c>
      <c r="D19" s="157" t="s">
        <v>486</v>
      </c>
      <c r="E19" s="157" t="s">
        <v>18</v>
      </c>
      <c r="F19" s="157" t="s">
        <v>460</v>
      </c>
      <c r="G19" s="158">
        <v>45833</v>
      </c>
      <c r="H19" s="158">
        <f t="shared" si="0"/>
        <v>46198</v>
      </c>
      <c r="I19" s="137" t="s">
        <v>451</v>
      </c>
      <c r="J19" s="34">
        <v>15</v>
      </c>
      <c r="K19" s="14">
        <v>46220</v>
      </c>
      <c r="L19" s="14">
        <f t="shared" si="1"/>
        <v>46234</v>
      </c>
      <c r="M19" s="34">
        <v>15</v>
      </c>
      <c r="N19" s="14">
        <v>46342</v>
      </c>
      <c r="O19" s="181">
        <f t="shared" si="2"/>
        <v>46356</v>
      </c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</row>
    <row r="20" spans="1:206" s="109" customFormat="1" ht="23.1" customHeight="1" thickBot="1" x14ac:dyDescent="0.3">
      <c r="A20" s="153">
        <v>6</v>
      </c>
      <c r="B20" s="157" t="s">
        <v>74</v>
      </c>
      <c r="C20" s="157" t="s">
        <v>393</v>
      </c>
      <c r="D20" s="159" t="s">
        <v>487</v>
      </c>
      <c r="E20" s="157" t="s">
        <v>18</v>
      </c>
      <c r="F20" s="157" t="s">
        <v>459</v>
      </c>
      <c r="G20" s="158">
        <v>45967</v>
      </c>
      <c r="H20" s="158">
        <v>46332</v>
      </c>
      <c r="I20" s="142" t="s">
        <v>453</v>
      </c>
      <c r="J20" s="34">
        <v>30</v>
      </c>
      <c r="K20" s="14">
        <v>46358</v>
      </c>
      <c r="L20" s="14">
        <f t="shared" si="1"/>
        <v>46387</v>
      </c>
      <c r="M20" s="34"/>
      <c r="N20" s="14"/>
      <c r="O20" s="181">
        <f t="shared" si="2"/>
        <v>-1</v>
      </c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  <c r="DA20" s="111"/>
      <c r="DB20" s="111"/>
      <c r="DC20" s="111"/>
      <c r="DD20" s="111"/>
      <c r="DE20" s="111"/>
      <c r="DF20" s="111"/>
      <c r="DG20" s="111"/>
      <c r="DH20" s="111"/>
      <c r="DI20" s="111"/>
      <c r="DJ20" s="111"/>
      <c r="DK20" s="111"/>
      <c r="DL20" s="111"/>
      <c r="DM20" s="111"/>
      <c r="DN20" s="111"/>
      <c r="DO20" s="111"/>
      <c r="DP20" s="111"/>
      <c r="DQ20" s="111"/>
      <c r="DR20" s="111"/>
      <c r="DS20" s="111"/>
      <c r="DT20" s="111"/>
      <c r="DU20" s="111"/>
      <c r="DV20" s="111"/>
      <c r="DW20" s="111"/>
      <c r="DX20" s="111"/>
      <c r="DY20" s="111"/>
      <c r="DZ20" s="111"/>
      <c r="EA20" s="111"/>
      <c r="EB20" s="111"/>
      <c r="EC20" s="111"/>
      <c r="ED20" s="111"/>
      <c r="EE20" s="111"/>
      <c r="EF20" s="111"/>
      <c r="EG20" s="111"/>
      <c r="EH20" s="111"/>
      <c r="EI20" s="111"/>
      <c r="EJ20" s="111"/>
      <c r="EK20" s="111"/>
      <c r="EL20" s="111"/>
      <c r="EM20" s="111"/>
      <c r="EN20" s="111"/>
      <c r="EO20" s="111"/>
      <c r="EP20" s="111"/>
      <c r="EQ20" s="111"/>
      <c r="ER20" s="111"/>
      <c r="ES20" s="111"/>
      <c r="ET20" s="111"/>
      <c r="EU20" s="111"/>
      <c r="EV20" s="111"/>
      <c r="EW20" s="111"/>
      <c r="EX20" s="111"/>
      <c r="EY20" s="111"/>
      <c r="EZ20" s="111"/>
      <c r="FA20" s="111"/>
      <c r="FB20" s="111"/>
      <c r="FC20" s="111"/>
      <c r="FD20" s="111"/>
      <c r="FE20" s="111"/>
      <c r="FF20" s="111"/>
      <c r="FG20" s="111"/>
      <c r="FH20" s="111"/>
      <c r="FI20" s="111"/>
      <c r="FJ20" s="111"/>
      <c r="FK20" s="111"/>
      <c r="FL20" s="111"/>
      <c r="FM20" s="111"/>
      <c r="FN20" s="111"/>
      <c r="FO20" s="111"/>
      <c r="FP20" s="111"/>
      <c r="FQ20" s="111"/>
      <c r="FR20" s="111"/>
      <c r="FS20" s="111"/>
      <c r="FT20" s="111"/>
      <c r="FU20" s="111"/>
      <c r="FV20" s="111"/>
      <c r="FW20" s="111"/>
      <c r="FX20" s="111"/>
      <c r="FY20" s="111"/>
      <c r="FZ20" s="111"/>
      <c r="GA20" s="111"/>
      <c r="GB20" s="111"/>
      <c r="GC20" s="111"/>
      <c r="GD20" s="111"/>
      <c r="GE20" s="111"/>
      <c r="GF20" s="111"/>
      <c r="GG20" s="111"/>
      <c r="GH20" s="111"/>
      <c r="GI20" s="111"/>
      <c r="GJ20" s="111"/>
      <c r="GK20" s="111"/>
      <c r="GL20" s="111"/>
      <c r="GM20" s="111"/>
      <c r="GN20" s="111"/>
      <c r="GO20" s="111"/>
      <c r="GP20" s="111"/>
      <c r="GQ20" s="111"/>
      <c r="GR20" s="111"/>
      <c r="GS20" s="111"/>
      <c r="GT20" s="111"/>
      <c r="GU20" s="111"/>
      <c r="GV20" s="111"/>
      <c r="GW20" s="111"/>
      <c r="GX20" s="111"/>
    </row>
    <row r="21" spans="1:206" s="109" customFormat="1" ht="23.1" customHeight="1" thickBot="1" x14ac:dyDescent="0.3">
      <c r="A21" s="153">
        <v>7</v>
      </c>
      <c r="B21" s="157" t="s">
        <v>74</v>
      </c>
      <c r="C21" s="157" t="s">
        <v>133</v>
      </c>
      <c r="D21" s="157" t="s">
        <v>488</v>
      </c>
      <c r="E21" s="157" t="s">
        <v>18</v>
      </c>
      <c r="F21" s="157" t="s">
        <v>257</v>
      </c>
      <c r="G21" s="158">
        <v>45716</v>
      </c>
      <c r="H21" s="158">
        <f t="shared" ref="H21:H28" si="3">G21+365</f>
        <v>46081</v>
      </c>
      <c r="I21" s="138" t="s">
        <v>446</v>
      </c>
      <c r="J21" s="34">
        <v>15</v>
      </c>
      <c r="K21" s="14">
        <v>46042</v>
      </c>
      <c r="L21" s="14">
        <f t="shared" si="1"/>
        <v>46056</v>
      </c>
      <c r="M21" s="34">
        <v>15</v>
      </c>
      <c r="N21" s="14">
        <v>46107</v>
      </c>
      <c r="O21" s="181">
        <f t="shared" si="2"/>
        <v>46121</v>
      </c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  <c r="CZ21" s="111"/>
      <c r="DA21" s="111"/>
      <c r="DB21" s="111"/>
      <c r="DC21" s="111"/>
      <c r="DD21" s="111"/>
      <c r="DE21" s="111"/>
      <c r="DF21" s="111"/>
      <c r="DG21" s="111"/>
      <c r="DH21" s="111"/>
      <c r="DI21" s="111"/>
      <c r="DJ21" s="111"/>
      <c r="DK21" s="111"/>
      <c r="DL21" s="111"/>
      <c r="DM21" s="111"/>
      <c r="DN21" s="111"/>
      <c r="DO21" s="111"/>
      <c r="DP21" s="111"/>
      <c r="DQ21" s="111"/>
      <c r="DR21" s="111"/>
      <c r="DS21" s="111"/>
      <c r="DT21" s="111"/>
      <c r="DU21" s="111"/>
      <c r="DV21" s="111"/>
      <c r="DW21" s="111"/>
      <c r="DX21" s="111"/>
      <c r="DY21" s="111"/>
      <c r="DZ21" s="111"/>
      <c r="EA21" s="111"/>
      <c r="EB21" s="111"/>
      <c r="EC21" s="111"/>
      <c r="ED21" s="111"/>
      <c r="EE21" s="111"/>
      <c r="EF21" s="111"/>
      <c r="EG21" s="111"/>
      <c r="EH21" s="111"/>
      <c r="EI21" s="111"/>
      <c r="EJ21" s="111"/>
      <c r="EK21" s="111"/>
      <c r="EL21" s="111"/>
      <c r="EM21" s="111"/>
      <c r="EN21" s="111"/>
      <c r="EO21" s="111"/>
      <c r="EP21" s="111"/>
      <c r="EQ21" s="111"/>
      <c r="ER21" s="111"/>
      <c r="ES21" s="111"/>
      <c r="ET21" s="111"/>
      <c r="EU21" s="111"/>
      <c r="EV21" s="111"/>
      <c r="EW21" s="111"/>
      <c r="EX21" s="111"/>
      <c r="EY21" s="111"/>
      <c r="EZ21" s="111"/>
      <c r="FA21" s="111"/>
      <c r="FB21" s="111"/>
      <c r="FC21" s="111"/>
      <c r="FD21" s="111"/>
      <c r="FE21" s="111"/>
      <c r="FF21" s="111"/>
      <c r="FG21" s="111"/>
      <c r="FH21" s="111"/>
      <c r="FI21" s="111"/>
      <c r="FJ21" s="111"/>
      <c r="FK21" s="111"/>
      <c r="FL21" s="111"/>
      <c r="FM21" s="111"/>
      <c r="FN21" s="111"/>
      <c r="FO21" s="111"/>
      <c r="FP21" s="111"/>
      <c r="FQ21" s="111"/>
      <c r="FR21" s="111"/>
      <c r="FS21" s="111"/>
      <c r="FT21" s="111"/>
      <c r="FU21" s="111"/>
      <c r="FV21" s="111"/>
      <c r="FW21" s="111"/>
      <c r="FX21" s="111"/>
      <c r="FY21" s="111"/>
      <c r="FZ21" s="111"/>
      <c r="GA21" s="111"/>
      <c r="GB21" s="111"/>
      <c r="GC21" s="111"/>
      <c r="GD21" s="111"/>
      <c r="GE21" s="111"/>
      <c r="GF21" s="111"/>
      <c r="GG21" s="111"/>
      <c r="GH21" s="111"/>
      <c r="GI21" s="111"/>
      <c r="GJ21" s="111"/>
      <c r="GK21" s="111"/>
      <c r="GL21" s="111"/>
      <c r="GM21" s="111"/>
      <c r="GN21" s="111"/>
      <c r="GO21" s="111"/>
      <c r="GP21" s="111"/>
      <c r="GQ21" s="111"/>
      <c r="GR21" s="111"/>
      <c r="GS21" s="111"/>
      <c r="GT21" s="111"/>
      <c r="GU21" s="111"/>
      <c r="GV21" s="111"/>
      <c r="GW21" s="111"/>
      <c r="GX21" s="111"/>
    </row>
    <row r="22" spans="1:206" s="109" customFormat="1" ht="23.1" customHeight="1" thickBot="1" x14ac:dyDescent="0.3">
      <c r="A22" s="153">
        <v>8</v>
      </c>
      <c r="B22" s="161" t="s">
        <v>147</v>
      </c>
      <c r="C22" s="161" t="s">
        <v>156</v>
      </c>
      <c r="D22" s="161" t="s">
        <v>489</v>
      </c>
      <c r="E22" s="161" t="s">
        <v>18</v>
      </c>
      <c r="F22" s="161" t="s">
        <v>257</v>
      </c>
      <c r="G22" s="164">
        <v>46001</v>
      </c>
      <c r="H22" s="164">
        <f t="shared" si="3"/>
        <v>46366</v>
      </c>
      <c r="I22" s="143" t="s">
        <v>447</v>
      </c>
      <c r="J22" s="102">
        <v>30</v>
      </c>
      <c r="K22" s="103">
        <v>46237</v>
      </c>
      <c r="L22" s="103">
        <f t="shared" si="1"/>
        <v>46266</v>
      </c>
      <c r="M22" s="102"/>
      <c r="N22" s="103"/>
      <c r="O22" s="182">
        <f t="shared" si="2"/>
        <v>-1</v>
      </c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1"/>
      <c r="CF22" s="111"/>
      <c r="CG22" s="111"/>
      <c r="CH22" s="111"/>
      <c r="CI22" s="111"/>
      <c r="CJ22" s="111"/>
      <c r="CK22" s="111"/>
      <c r="CL22" s="111"/>
      <c r="CM22" s="111"/>
      <c r="CN22" s="111"/>
      <c r="CO22" s="111"/>
      <c r="CP22" s="111"/>
      <c r="CQ22" s="111"/>
      <c r="CR22" s="111"/>
      <c r="CS22" s="111"/>
      <c r="CT22" s="111"/>
      <c r="CU22" s="111"/>
      <c r="CV22" s="111"/>
      <c r="CW22" s="111"/>
      <c r="CX22" s="111"/>
      <c r="CY22" s="111"/>
      <c r="CZ22" s="111"/>
      <c r="DA22" s="111"/>
      <c r="DB22" s="111"/>
      <c r="DC22" s="111"/>
      <c r="DD22" s="111"/>
      <c r="DE22" s="111"/>
      <c r="DF22" s="111"/>
      <c r="DG22" s="111"/>
      <c r="DH22" s="111"/>
      <c r="DI22" s="111"/>
      <c r="DJ22" s="111"/>
      <c r="DK22" s="111"/>
      <c r="DL22" s="111"/>
      <c r="DM22" s="111"/>
      <c r="DN22" s="111"/>
      <c r="DO22" s="111"/>
      <c r="DP22" s="111"/>
      <c r="DQ22" s="111"/>
      <c r="DR22" s="111"/>
      <c r="DS22" s="111"/>
      <c r="DT22" s="111"/>
      <c r="DU22" s="111"/>
      <c r="DV22" s="111"/>
      <c r="DW22" s="111"/>
      <c r="DX22" s="111"/>
      <c r="DY22" s="111"/>
      <c r="DZ22" s="111"/>
      <c r="EA22" s="111"/>
      <c r="EB22" s="111"/>
      <c r="EC22" s="111"/>
      <c r="ED22" s="111"/>
      <c r="EE22" s="111"/>
      <c r="EF22" s="111"/>
      <c r="EG22" s="111"/>
      <c r="EH22" s="111"/>
      <c r="EI22" s="111"/>
      <c r="EJ22" s="111"/>
      <c r="EK22" s="111"/>
      <c r="EL22" s="111"/>
      <c r="EM22" s="111"/>
      <c r="EN22" s="111"/>
      <c r="EO22" s="111"/>
      <c r="EP22" s="111"/>
      <c r="EQ22" s="111"/>
      <c r="ER22" s="111"/>
      <c r="ES22" s="111"/>
      <c r="ET22" s="111"/>
      <c r="EU22" s="111"/>
      <c r="EV22" s="111"/>
      <c r="EW22" s="111"/>
      <c r="EX22" s="111"/>
      <c r="EY22" s="111"/>
      <c r="EZ22" s="111"/>
      <c r="FA22" s="111"/>
      <c r="FB22" s="111"/>
      <c r="FC22" s="111"/>
      <c r="FD22" s="111"/>
      <c r="FE22" s="111"/>
      <c r="FF22" s="111"/>
      <c r="FG22" s="111"/>
      <c r="FH22" s="111"/>
      <c r="FI22" s="111"/>
      <c r="FJ22" s="111"/>
      <c r="FK22" s="111"/>
      <c r="FL22" s="111"/>
      <c r="FM22" s="111"/>
      <c r="FN22" s="111"/>
      <c r="FO22" s="111"/>
      <c r="FP22" s="111"/>
      <c r="FQ22" s="111"/>
      <c r="FR22" s="111"/>
      <c r="FS22" s="111"/>
      <c r="FT22" s="111"/>
      <c r="FU22" s="111"/>
      <c r="FV22" s="111"/>
      <c r="FW22" s="111"/>
      <c r="FX22" s="111"/>
      <c r="FY22" s="111"/>
      <c r="FZ22" s="111"/>
      <c r="GA22" s="111"/>
      <c r="GB22" s="111"/>
      <c r="GC22" s="111"/>
      <c r="GD22" s="111"/>
      <c r="GE22" s="111"/>
      <c r="GF22" s="111"/>
      <c r="GG22" s="111"/>
      <c r="GH22" s="111"/>
      <c r="GI22" s="111"/>
      <c r="GJ22" s="111"/>
      <c r="GK22" s="111"/>
      <c r="GL22" s="111"/>
      <c r="GM22" s="111"/>
      <c r="GN22" s="111"/>
      <c r="GO22" s="111"/>
      <c r="GP22" s="111"/>
      <c r="GQ22" s="111"/>
      <c r="GR22" s="111"/>
      <c r="GS22" s="111"/>
      <c r="GT22" s="111"/>
      <c r="GU22" s="111"/>
      <c r="GV22" s="111"/>
      <c r="GW22" s="111"/>
      <c r="GX22" s="111"/>
    </row>
    <row r="23" spans="1:206" s="109" customFormat="1" ht="23.1" customHeight="1" thickBot="1" x14ac:dyDescent="0.3">
      <c r="A23" s="106">
        <v>1</v>
      </c>
      <c r="B23" s="81" t="s">
        <v>46</v>
      </c>
      <c r="C23" s="80" t="s">
        <v>47</v>
      </c>
      <c r="D23" s="80" t="s">
        <v>490</v>
      </c>
      <c r="E23" s="81" t="s">
        <v>29</v>
      </c>
      <c r="F23" s="81" t="s">
        <v>491</v>
      </c>
      <c r="G23" s="107">
        <v>45904</v>
      </c>
      <c r="H23" s="82">
        <f t="shared" si="3"/>
        <v>46269</v>
      </c>
      <c r="I23" s="144" t="s">
        <v>445</v>
      </c>
      <c r="J23" s="99">
        <v>30</v>
      </c>
      <c r="K23" s="101">
        <v>46041</v>
      </c>
      <c r="L23" s="100">
        <f t="shared" si="1"/>
        <v>46070</v>
      </c>
      <c r="M23" s="99"/>
      <c r="N23" s="101"/>
      <c r="O23" s="180">
        <f t="shared" si="2"/>
        <v>-1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108"/>
      <c r="GL23" s="108"/>
      <c r="GM23" s="108"/>
      <c r="GN23" s="108"/>
      <c r="GO23" s="108"/>
      <c r="GP23" s="108"/>
      <c r="GQ23" s="108"/>
      <c r="GR23" s="108"/>
      <c r="GS23" s="108"/>
      <c r="GT23" s="108"/>
      <c r="GU23" s="108"/>
      <c r="GV23" s="108"/>
      <c r="GW23" s="108"/>
      <c r="GX23" s="108"/>
    </row>
    <row r="24" spans="1:206" s="109" customFormat="1" ht="23.1" customHeight="1" thickBot="1" x14ac:dyDescent="0.25">
      <c r="A24" s="106">
        <v>2</v>
      </c>
      <c r="B24" s="84" t="s">
        <v>55</v>
      </c>
      <c r="C24" s="83" t="s">
        <v>160</v>
      </c>
      <c r="D24" s="116" t="s">
        <v>492</v>
      </c>
      <c r="E24" s="84" t="s">
        <v>29</v>
      </c>
      <c r="F24" s="84" t="s">
        <v>259</v>
      </c>
      <c r="G24" s="110">
        <v>45897</v>
      </c>
      <c r="H24" s="85">
        <f t="shared" si="3"/>
        <v>46262</v>
      </c>
      <c r="I24" s="134" t="s">
        <v>441</v>
      </c>
      <c r="J24" s="34">
        <v>15</v>
      </c>
      <c r="K24" s="14">
        <v>46027</v>
      </c>
      <c r="L24" s="14">
        <f t="shared" si="1"/>
        <v>46041</v>
      </c>
      <c r="M24" s="34">
        <v>15</v>
      </c>
      <c r="N24" s="14">
        <v>46216</v>
      </c>
      <c r="O24" s="181">
        <f t="shared" si="2"/>
        <v>46230</v>
      </c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  <c r="CE24" s="111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  <c r="CZ24" s="111"/>
      <c r="DA24" s="111"/>
      <c r="DB24" s="111"/>
      <c r="DC24" s="111"/>
      <c r="DD24" s="111"/>
      <c r="DE24" s="111"/>
      <c r="DF24" s="111"/>
      <c r="DG24" s="111"/>
      <c r="DH24" s="111"/>
      <c r="DI24" s="111"/>
      <c r="DJ24" s="111"/>
      <c r="DK24" s="111"/>
      <c r="DL24" s="111"/>
      <c r="DM24" s="111"/>
      <c r="DN24" s="111"/>
      <c r="DO24" s="111"/>
      <c r="DP24" s="111"/>
      <c r="DQ24" s="111"/>
      <c r="DR24" s="111"/>
      <c r="DS24" s="111"/>
      <c r="DT24" s="111"/>
      <c r="DU24" s="111"/>
      <c r="DV24" s="111"/>
      <c r="DW24" s="111"/>
      <c r="DX24" s="111"/>
      <c r="DY24" s="111"/>
      <c r="DZ24" s="111"/>
      <c r="EA24" s="111"/>
      <c r="EB24" s="111"/>
      <c r="EC24" s="111"/>
      <c r="ED24" s="111"/>
      <c r="EE24" s="111"/>
      <c r="EF24" s="111"/>
      <c r="EG24" s="111"/>
      <c r="EH24" s="111"/>
      <c r="EI24" s="111"/>
      <c r="EJ24" s="111"/>
      <c r="EK24" s="111"/>
      <c r="EL24" s="111"/>
      <c r="EM24" s="111"/>
      <c r="EN24" s="111"/>
      <c r="EO24" s="111"/>
      <c r="EP24" s="111"/>
      <c r="EQ24" s="111"/>
      <c r="ER24" s="111"/>
      <c r="ES24" s="111"/>
      <c r="ET24" s="111"/>
      <c r="EU24" s="111"/>
      <c r="EV24" s="111"/>
      <c r="EW24" s="111"/>
      <c r="EX24" s="111"/>
      <c r="EY24" s="111"/>
      <c r="EZ24" s="111"/>
      <c r="FA24" s="111"/>
      <c r="FB24" s="111"/>
      <c r="FC24" s="111"/>
      <c r="FD24" s="111"/>
      <c r="FE24" s="111"/>
      <c r="FF24" s="111"/>
      <c r="FG24" s="111"/>
      <c r="FH24" s="111"/>
      <c r="FI24" s="111"/>
      <c r="FJ24" s="111"/>
      <c r="FK24" s="111"/>
      <c r="FL24" s="111"/>
      <c r="FM24" s="111"/>
      <c r="FN24" s="111"/>
      <c r="FO24" s="111"/>
      <c r="FP24" s="111"/>
      <c r="FQ24" s="111"/>
      <c r="FR24" s="111"/>
      <c r="FS24" s="111"/>
      <c r="FT24" s="111"/>
      <c r="FU24" s="111"/>
      <c r="FV24" s="111"/>
      <c r="FW24" s="111"/>
      <c r="FX24" s="111"/>
      <c r="FY24" s="111"/>
      <c r="FZ24" s="111"/>
      <c r="GA24" s="111"/>
      <c r="GB24" s="111"/>
      <c r="GC24" s="111"/>
      <c r="GD24" s="111"/>
      <c r="GE24" s="111"/>
      <c r="GF24" s="111"/>
      <c r="GG24" s="111"/>
      <c r="GH24" s="111"/>
      <c r="GI24" s="111"/>
      <c r="GJ24" s="111"/>
      <c r="GK24" s="111"/>
      <c r="GL24" s="111"/>
      <c r="GM24" s="111"/>
      <c r="GN24" s="111"/>
      <c r="GO24" s="111"/>
      <c r="GP24" s="111"/>
      <c r="GQ24" s="111"/>
      <c r="GR24" s="111"/>
      <c r="GS24" s="111"/>
      <c r="GT24" s="111"/>
      <c r="GU24" s="111"/>
      <c r="GV24" s="111"/>
      <c r="GW24" s="111"/>
      <c r="GX24" s="111"/>
    </row>
    <row r="25" spans="1:206" s="109" customFormat="1" ht="23.1" customHeight="1" thickBot="1" x14ac:dyDescent="0.25">
      <c r="A25" s="106">
        <v>3</v>
      </c>
      <c r="B25" s="84" t="s">
        <v>63</v>
      </c>
      <c r="C25" s="83" t="s">
        <v>424</v>
      </c>
      <c r="D25" s="83" t="s">
        <v>493</v>
      </c>
      <c r="E25" s="84" t="s">
        <v>29</v>
      </c>
      <c r="F25" s="84" t="s">
        <v>491</v>
      </c>
      <c r="G25" s="110">
        <v>45817</v>
      </c>
      <c r="H25" s="85">
        <f t="shared" si="3"/>
        <v>46182</v>
      </c>
      <c r="I25" s="134" t="s">
        <v>438</v>
      </c>
      <c r="J25" s="34">
        <v>15</v>
      </c>
      <c r="K25" s="20">
        <v>46113</v>
      </c>
      <c r="L25" s="14">
        <f t="shared" si="1"/>
        <v>46127</v>
      </c>
      <c r="M25" s="19">
        <v>15</v>
      </c>
      <c r="N25" s="20">
        <v>46296</v>
      </c>
      <c r="O25" s="181">
        <f t="shared" si="2"/>
        <v>46310</v>
      </c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C25" s="111"/>
      <c r="CD25" s="111"/>
      <c r="CE25" s="111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Q25" s="111"/>
      <c r="CR25" s="111"/>
      <c r="CS25" s="111"/>
      <c r="CT25" s="111"/>
      <c r="CU25" s="111"/>
      <c r="CV25" s="111"/>
      <c r="CW25" s="111"/>
      <c r="CX25" s="111"/>
      <c r="CY25" s="111"/>
      <c r="CZ25" s="111"/>
      <c r="DA25" s="111"/>
      <c r="DB25" s="111"/>
      <c r="DC25" s="111"/>
      <c r="DD25" s="111"/>
      <c r="DE25" s="111"/>
      <c r="DF25" s="111"/>
      <c r="DG25" s="111"/>
      <c r="DH25" s="111"/>
      <c r="DI25" s="111"/>
      <c r="DJ25" s="111"/>
      <c r="DK25" s="111"/>
      <c r="DL25" s="111"/>
      <c r="DM25" s="111"/>
      <c r="DN25" s="111"/>
      <c r="DO25" s="111"/>
      <c r="DP25" s="111"/>
      <c r="DQ25" s="111"/>
      <c r="DR25" s="111"/>
      <c r="DS25" s="111"/>
      <c r="DT25" s="111"/>
      <c r="DU25" s="111"/>
      <c r="DV25" s="111"/>
      <c r="DW25" s="111"/>
      <c r="DX25" s="111"/>
      <c r="DY25" s="111"/>
      <c r="DZ25" s="111"/>
      <c r="EA25" s="111"/>
      <c r="EB25" s="111"/>
      <c r="EC25" s="111"/>
      <c r="ED25" s="111"/>
      <c r="EE25" s="111"/>
      <c r="EF25" s="111"/>
      <c r="EG25" s="111"/>
      <c r="EH25" s="111"/>
      <c r="EI25" s="111"/>
      <c r="EJ25" s="111"/>
      <c r="EK25" s="111"/>
      <c r="EL25" s="111"/>
      <c r="EM25" s="111"/>
      <c r="EN25" s="111"/>
      <c r="EO25" s="111"/>
      <c r="EP25" s="111"/>
      <c r="EQ25" s="111"/>
      <c r="ER25" s="111"/>
      <c r="ES25" s="111"/>
      <c r="ET25" s="111"/>
      <c r="EU25" s="111"/>
      <c r="EV25" s="111"/>
      <c r="EW25" s="111"/>
      <c r="EX25" s="111"/>
      <c r="EY25" s="111"/>
      <c r="EZ25" s="111"/>
      <c r="FA25" s="111"/>
      <c r="FB25" s="111"/>
      <c r="FC25" s="111"/>
      <c r="FD25" s="111"/>
      <c r="FE25" s="111"/>
      <c r="FF25" s="111"/>
      <c r="FG25" s="111"/>
      <c r="FH25" s="111"/>
      <c r="FI25" s="111"/>
      <c r="FJ25" s="111"/>
      <c r="FK25" s="111"/>
      <c r="FL25" s="111"/>
      <c r="FM25" s="111"/>
      <c r="FN25" s="111"/>
      <c r="FO25" s="111"/>
      <c r="FP25" s="111"/>
      <c r="FQ25" s="111"/>
      <c r="FR25" s="111"/>
      <c r="FS25" s="111"/>
      <c r="FT25" s="111"/>
      <c r="FU25" s="111"/>
      <c r="FV25" s="111"/>
      <c r="FW25" s="111"/>
      <c r="FX25" s="111"/>
      <c r="FY25" s="111"/>
      <c r="FZ25" s="111"/>
      <c r="GA25" s="111"/>
      <c r="GB25" s="111"/>
      <c r="GC25" s="111"/>
      <c r="GD25" s="111"/>
      <c r="GE25" s="111"/>
      <c r="GF25" s="111"/>
      <c r="GG25" s="111"/>
      <c r="GH25" s="111"/>
      <c r="GI25" s="111"/>
      <c r="GJ25" s="111"/>
      <c r="GK25" s="111"/>
      <c r="GL25" s="111"/>
      <c r="GM25" s="111"/>
      <c r="GN25" s="111"/>
      <c r="GO25" s="111"/>
      <c r="GP25" s="111"/>
      <c r="GQ25" s="111"/>
      <c r="GR25" s="111"/>
      <c r="GS25" s="111"/>
      <c r="GT25" s="111"/>
      <c r="GU25" s="111"/>
      <c r="GV25" s="111"/>
      <c r="GW25" s="111"/>
      <c r="GX25" s="111"/>
    </row>
    <row r="26" spans="1:206" s="109" customFormat="1" ht="23.1" customHeight="1" thickBot="1" x14ac:dyDescent="0.3">
      <c r="A26" s="106">
        <v>4</v>
      </c>
      <c r="B26" s="84" t="s">
        <v>74</v>
      </c>
      <c r="C26" s="83" t="s">
        <v>75</v>
      </c>
      <c r="D26" s="115" t="s">
        <v>494</v>
      </c>
      <c r="E26" s="84" t="s">
        <v>29</v>
      </c>
      <c r="F26" s="84" t="s">
        <v>258</v>
      </c>
      <c r="G26" s="110">
        <v>45667</v>
      </c>
      <c r="H26" s="117">
        <f t="shared" si="3"/>
        <v>46032</v>
      </c>
      <c r="I26" s="137" t="s">
        <v>451</v>
      </c>
      <c r="J26" s="34">
        <v>30</v>
      </c>
      <c r="K26" s="20">
        <v>46025</v>
      </c>
      <c r="L26" s="14">
        <f t="shared" si="1"/>
        <v>46054</v>
      </c>
      <c r="M26" s="19"/>
      <c r="N26" s="20"/>
      <c r="O26" s="181">
        <f t="shared" si="2"/>
        <v>-1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  <c r="CZ26" s="111"/>
      <c r="DA26" s="111"/>
      <c r="DB26" s="111"/>
      <c r="DC26" s="111"/>
      <c r="DD26" s="111"/>
      <c r="DE26" s="111"/>
      <c r="DF26" s="111"/>
      <c r="DG26" s="111"/>
      <c r="DH26" s="111"/>
      <c r="DI26" s="111"/>
      <c r="DJ26" s="111"/>
      <c r="DK26" s="111"/>
      <c r="DL26" s="111"/>
      <c r="DM26" s="111"/>
      <c r="DN26" s="111"/>
      <c r="DO26" s="111"/>
      <c r="DP26" s="111"/>
      <c r="DQ26" s="111"/>
      <c r="DR26" s="111"/>
      <c r="DS26" s="111"/>
      <c r="DT26" s="111"/>
      <c r="DU26" s="111"/>
      <c r="DV26" s="111"/>
      <c r="DW26" s="111"/>
      <c r="DX26" s="111"/>
      <c r="DY26" s="111"/>
      <c r="DZ26" s="111"/>
      <c r="EA26" s="111"/>
      <c r="EB26" s="111"/>
      <c r="EC26" s="111"/>
      <c r="ED26" s="111"/>
      <c r="EE26" s="111"/>
      <c r="EF26" s="111"/>
      <c r="EG26" s="111"/>
      <c r="EH26" s="111"/>
      <c r="EI26" s="111"/>
      <c r="EJ26" s="111"/>
      <c r="EK26" s="111"/>
      <c r="EL26" s="111"/>
      <c r="EM26" s="111"/>
      <c r="EN26" s="111"/>
      <c r="EO26" s="111"/>
      <c r="EP26" s="111"/>
      <c r="EQ26" s="111"/>
      <c r="ER26" s="111"/>
      <c r="ES26" s="111"/>
      <c r="ET26" s="111"/>
      <c r="EU26" s="111"/>
      <c r="EV26" s="111"/>
      <c r="EW26" s="111"/>
      <c r="EX26" s="111"/>
      <c r="EY26" s="111"/>
      <c r="EZ26" s="111"/>
      <c r="FA26" s="111"/>
      <c r="FB26" s="111"/>
      <c r="FC26" s="111"/>
      <c r="FD26" s="111"/>
      <c r="FE26" s="111"/>
      <c r="FF26" s="111"/>
      <c r="FG26" s="111"/>
      <c r="FH26" s="111"/>
      <c r="FI26" s="111"/>
      <c r="FJ26" s="111"/>
      <c r="FK26" s="111"/>
      <c r="FL26" s="111"/>
      <c r="FM26" s="111"/>
      <c r="FN26" s="111"/>
      <c r="FO26" s="111"/>
      <c r="FP26" s="111"/>
      <c r="FQ26" s="111"/>
      <c r="FR26" s="111"/>
      <c r="FS26" s="111"/>
      <c r="FT26" s="111"/>
      <c r="FU26" s="111"/>
      <c r="FV26" s="111"/>
      <c r="FW26" s="111"/>
      <c r="FX26" s="111"/>
      <c r="FY26" s="111"/>
      <c r="FZ26" s="111"/>
      <c r="GA26" s="111"/>
      <c r="GB26" s="111"/>
      <c r="GC26" s="111"/>
      <c r="GD26" s="111"/>
      <c r="GE26" s="111"/>
      <c r="GF26" s="111"/>
      <c r="GG26" s="111"/>
      <c r="GH26" s="111"/>
      <c r="GI26" s="111"/>
      <c r="GJ26" s="111"/>
      <c r="GK26" s="111"/>
      <c r="GL26" s="111"/>
      <c r="GM26" s="111"/>
      <c r="GN26" s="111"/>
      <c r="GO26" s="111"/>
      <c r="GP26" s="111"/>
      <c r="GQ26" s="111"/>
      <c r="GR26" s="111"/>
      <c r="GS26" s="111"/>
      <c r="GT26" s="111"/>
      <c r="GU26" s="111"/>
      <c r="GV26" s="111"/>
      <c r="GW26" s="111"/>
      <c r="GX26" s="111"/>
    </row>
    <row r="27" spans="1:206" s="109" customFormat="1" ht="23.1" customHeight="1" thickBot="1" x14ac:dyDescent="0.3">
      <c r="A27" s="106">
        <v>5</v>
      </c>
      <c r="B27" s="84" t="s">
        <v>74</v>
      </c>
      <c r="C27" s="83" t="s">
        <v>79</v>
      </c>
      <c r="D27" s="84" t="s">
        <v>495</v>
      </c>
      <c r="E27" s="84" t="s">
        <v>29</v>
      </c>
      <c r="F27" s="84" t="s">
        <v>496</v>
      </c>
      <c r="G27" s="110">
        <v>45713</v>
      </c>
      <c r="H27" s="85">
        <f t="shared" si="3"/>
        <v>46078</v>
      </c>
      <c r="I27" s="142" t="s">
        <v>453</v>
      </c>
      <c r="J27" s="34">
        <v>30</v>
      </c>
      <c r="K27" s="20">
        <v>46358</v>
      </c>
      <c r="L27" s="14">
        <f t="shared" si="1"/>
        <v>46387</v>
      </c>
      <c r="M27" s="19"/>
      <c r="N27" s="20"/>
      <c r="O27" s="181">
        <f t="shared" si="2"/>
        <v>-1</v>
      </c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1"/>
      <c r="DA27" s="111"/>
      <c r="DB27" s="111"/>
      <c r="DC27" s="111"/>
      <c r="DD27" s="111"/>
      <c r="DE27" s="111"/>
      <c r="DF27" s="111"/>
      <c r="DG27" s="111"/>
      <c r="DH27" s="111"/>
      <c r="DI27" s="111"/>
      <c r="DJ27" s="111"/>
      <c r="DK27" s="111"/>
      <c r="DL27" s="111"/>
      <c r="DM27" s="111"/>
      <c r="DN27" s="111"/>
      <c r="DO27" s="111"/>
      <c r="DP27" s="111"/>
      <c r="DQ27" s="111"/>
      <c r="DR27" s="111"/>
      <c r="DS27" s="111"/>
      <c r="DT27" s="111"/>
      <c r="DU27" s="111"/>
      <c r="DV27" s="111"/>
      <c r="DW27" s="111"/>
      <c r="DX27" s="111"/>
      <c r="DY27" s="111"/>
      <c r="DZ27" s="111"/>
      <c r="EA27" s="111"/>
      <c r="EB27" s="111"/>
      <c r="EC27" s="111"/>
      <c r="ED27" s="111"/>
      <c r="EE27" s="111"/>
      <c r="EF27" s="111"/>
      <c r="EG27" s="111"/>
      <c r="EH27" s="111"/>
      <c r="EI27" s="111"/>
      <c r="EJ27" s="111"/>
      <c r="EK27" s="111"/>
      <c r="EL27" s="111"/>
      <c r="EM27" s="111"/>
      <c r="EN27" s="111"/>
      <c r="EO27" s="111"/>
      <c r="EP27" s="111"/>
      <c r="EQ27" s="111"/>
      <c r="ER27" s="111"/>
      <c r="ES27" s="111"/>
      <c r="ET27" s="111"/>
      <c r="EU27" s="111"/>
      <c r="EV27" s="111"/>
      <c r="EW27" s="111"/>
      <c r="EX27" s="111"/>
      <c r="EY27" s="111"/>
      <c r="EZ27" s="111"/>
      <c r="FA27" s="111"/>
      <c r="FB27" s="111"/>
      <c r="FC27" s="111"/>
      <c r="FD27" s="111"/>
      <c r="FE27" s="111"/>
      <c r="FF27" s="111"/>
      <c r="FG27" s="111"/>
      <c r="FH27" s="111"/>
      <c r="FI27" s="111"/>
      <c r="FJ27" s="111"/>
      <c r="FK27" s="111"/>
      <c r="FL27" s="111"/>
      <c r="FM27" s="111"/>
      <c r="FN27" s="111"/>
      <c r="FO27" s="111"/>
      <c r="FP27" s="111"/>
      <c r="FQ27" s="111"/>
      <c r="FR27" s="111"/>
      <c r="FS27" s="111"/>
      <c r="FT27" s="111"/>
      <c r="FU27" s="111"/>
      <c r="FV27" s="111"/>
      <c r="FW27" s="111"/>
      <c r="FX27" s="111"/>
      <c r="FY27" s="111"/>
      <c r="FZ27" s="111"/>
      <c r="GA27" s="111"/>
      <c r="GB27" s="111"/>
      <c r="GC27" s="111"/>
      <c r="GD27" s="111"/>
      <c r="GE27" s="111"/>
      <c r="GF27" s="111"/>
      <c r="GG27" s="111"/>
      <c r="GH27" s="111"/>
      <c r="GI27" s="111"/>
      <c r="GJ27" s="111"/>
      <c r="GK27" s="111"/>
      <c r="GL27" s="111"/>
      <c r="GM27" s="111"/>
      <c r="GN27" s="111"/>
      <c r="GO27" s="111"/>
      <c r="GP27" s="111"/>
      <c r="GQ27" s="111"/>
      <c r="GR27" s="111"/>
      <c r="GS27" s="111"/>
      <c r="GT27" s="111"/>
      <c r="GU27" s="111"/>
      <c r="GV27" s="111"/>
      <c r="GW27" s="111"/>
      <c r="GX27" s="111"/>
    </row>
    <row r="28" spans="1:206" s="109" customFormat="1" ht="23.1" customHeight="1" thickBot="1" x14ac:dyDescent="0.3">
      <c r="A28" s="106">
        <v>6</v>
      </c>
      <c r="B28" s="84" t="s">
        <v>74</v>
      </c>
      <c r="C28" s="83" t="s">
        <v>85</v>
      </c>
      <c r="D28" s="118" t="s">
        <v>497</v>
      </c>
      <c r="E28" s="84" t="s">
        <v>29</v>
      </c>
      <c r="F28" s="84" t="s">
        <v>258</v>
      </c>
      <c r="G28" s="110">
        <v>45804</v>
      </c>
      <c r="H28" s="85">
        <f t="shared" si="3"/>
        <v>46169</v>
      </c>
      <c r="I28" s="135" t="s">
        <v>445</v>
      </c>
      <c r="J28" s="34">
        <v>30</v>
      </c>
      <c r="K28" s="20">
        <v>46143</v>
      </c>
      <c r="L28" s="14">
        <f t="shared" si="1"/>
        <v>46172</v>
      </c>
      <c r="M28" s="19"/>
      <c r="N28" s="20"/>
      <c r="O28" s="181">
        <f t="shared" si="2"/>
        <v>-1</v>
      </c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1"/>
      <c r="DA28" s="111"/>
      <c r="DB28" s="111"/>
      <c r="DC28" s="111"/>
      <c r="DD28" s="111"/>
      <c r="DE28" s="111"/>
      <c r="DF28" s="111"/>
      <c r="DG28" s="111"/>
      <c r="DH28" s="111"/>
      <c r="DI28" s="111"/>
      <c r="DJ28" s="111"/>
      <c r="DK28" s="111"/>
      <c r="DL28" s="111"/>
      <c r="DM28" s="111"/>
      <c r="DN28" s="111"/>
      <c r="DO28" s="111"/>
      <c r="DP28" s="111"/>
      <c r="DQ28" s="111"/>
      <c r="DR28" s="111"/>
      <c r="DS28" s="111"/>
      <c r="DT28" s="111"/>
      <c r="DU28" s="111"/>
      <c r="DV28" s="111"/>
      <c r="DW28" s="111"/>
      <c r="DX28" s="111"/>
      <c r="DY28" s="111"/>
      <c r="DZ28" s="111"/>
      <c r="EA28" s="111"/>
      <c r="EB28" s="111"/>
      <c r="EC28" s="111"/>
      <c r="ED28" s="111"/>
      <c r="EE28" s="111"/>
      <c r="EF28" s="111"/>
      <c r="EG28" s="111"/>
      <c r="EH28" s="111"/>
      <c r="EI28" s="111"/>
      <c r="EJ28" s="111"/>
      <c r="EK28" s="111"/>
      <c r="EL28" s="111"/>
      <c r="EM28" s="111"/>
      <c r="EN28" s="111"/>
      <c r="EO28" s="111"/>
      <c r="EP28" s="111"/>
      <c r="EQ28" s="111"/>
      <c r="ER28" s="111"/>
      <c r="ES28" s="111"/>
      <c r="ET28" s="111"/>
      <c r="EU28" s="111"/>
      <c r="EV28" s="111"/>
      <c r="EW28" s="111"/>
      <c r="EX28" s="111"/>
      <c r="EY28" s="111"/>
      <c r="EZ28" s="111"/>
      <c r="FA28" s="111"/>
      <c r="FB28" s="111"/>
      <c r="FC28" s="111"/>
      <c r="FD28" s="111"/>
      <c r="FE28" s="111"/>
      <c r="FF28" s="111"/>
      <c r="FG28" s="111"/>
      <c r="FH28" s="111"/>
      <c r="FI28" s="111"/>
      <c r="FJ28" s="111"/>
      <c r="FK28" s="111"/>
      <c r="FL28" s="111"/>
      <c r="FM28" s="111"/>
      <c r="FN28" s="111"/>
      <c r="FO28" s="111"/>
      <c r="FP28" s="111"/>
      <c r="FQ28" s="111"/>
      <c r="FR28" s="111"/>
      <c r="FS28" s="111"/>
      <c r="FT28" s="111"/>
      <c r="FU28" s="111"/>
      <c r="FV28" s="111"/>
      <c r="FW28" s="111"/>
      <c r="FX28" s="111"/>
      <c r="FY28" s="111"/>
      <c r="FZ28" s="111"/>
      <c r="GA28" s="111"/>
      <c r="GB28" s="111"/>
      <c r="GC28" s="111"/>
      <c r="GD28" s="111"/>
      <c r="GE28" s="111"/>
      <c r="GF28" s="111"/>
      <c r="GG28" s="111"/>
      <c r="GH28" s="111"/>
      <c r="GI28" s="111"/>
      <c r="GJ28" s="111"/>
      <c r="GK28" s="111"/>
      <c r="GL28" s="111"/>
      <c r="GM28" s="111"/>
      <c r="GN28" s="111"/>
      <c r="GO28" s="111"/>
      <c r="GP28" s="111"/>
      <c r="GQ28" s="111"/>
      <c r="GR28" s="111"/>
      <c r="GS28" s="111"/>
      <c r="GT28" s="111"/>
      <c r="GU28" s="111"/>
      <c r="GV28" s="111"/>
      <c r="GW28" s="111"/>
      <c r="GX28" s="111"/>
    </row>
    <row r="29" spans="1:206" s="109" customFormat="1" ht="23.1" customHeight="1" thickBot="1" x14ac:dyDescent="0.3">
      <c r="A29" s="106">
        <v>7</v>
      </c>
      <c r="B29" s="84" t="s">
        <v>74</v>
      </c>
      <c r="C29" s="94" t="s">
        <v>95</v>
      </c>
      <c r="D29" s="119" t="s">
        <v>498</v>
      </c>
      <c r="E29" s="84" t="s">
        <v>29</v>
      </c>
      <c r="F29" s="84" t="s">
        <v>259</v>
      </c>
      <c r="G29" s="110">
        <v>45727</v>
      </c>
      <c r="H29" s="85">
        <f>G29+365-1</f>
        <v>46091</v>
      </c>
      <c r="I29" s="135" t="s">
        <v>445</v>
      </c>
      <c r="J29" s="34">
        <v>15</v>
      </c>
      <c r="K29" s="14">
        <v>46101</v>
      </c>
      <c r="L29" s="14">
        <f t="shared" si="1"/>
        <v>46115</v>
      </c>
      <c r="M29" s="34">
        <v>15</v>
      </c>
      <c r="N29" s="14">
        <v>46373</v>
      </c>
      <c r="O29" s="181">
        <f t="shared" si="2"/>
        <v>46387</v>
      </c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</row>
    <row r="30" spans="1:206" s="109" customFormat="1" ht="23.1" customHeight="1" thickBot="1" x14ac:dyDescent="0.3">
      <c r="A30" s="106">
        <v>8</v>
      </c>
      <c r="B30" s="84" t="s">
        <v>74</v>
      </c>
      <c r="C30" s="94" t="s">
        <v>96</v>
      </c>
      <c r="D30" s="94" t="s">
        <v>499</v>
      </c>
      <c r="E30" s="83" t="s">
        <v>29</v>
      </c>
      <c r="F30" s="84" t="s">
        <v>258</v>
      </c>
      <c r="G30" s="85">
        <v>45902</v>
      </c>
      <c r="H30" s="85">
        <f>G30+365</f>
        <v>46267</v>
      </c>
      <c r="I30" s="139" t="s">
        <v>455</v>
      </c>
      <c r="J30" s="34">
        <v>30</v>
      </c>
      <c r="K30" s="14">
        <v>46035</v>
      </c>
      <c r="L30" s="14">
        <f t="shared" si="1"/>
        <v>46064</v>
      </c>
      <c r="M30" s="34"/>
      <c r="N30" s="14"/>
      <c r="O30" s="181">
        <f t="shared" si="2"/>
        <v>-1</v>
      </c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</row>
    <row r="31" spans="1:206" s="109" customFormat="1" ht="23.1" customHeight="1" thickBot="1" x14ac:dyDescent="0.3">
      <c r="A31" s="106">
        <v>9</v>
      </c>
      <c r="B31" s="84" t="s">
        <v>74</v>
      </c>
      <c r="C31" s="83" t="s">
        <v>334</v>
      </c>
      <c r="D31" s="84" t="s">
        <v>500</v>
      </c>
      <c r="E31" s="84" t="s">
        <v>29</v>
      </c>
      <c r="F31" s="84" t="s">
        <v>258</v>
      </c>
      <c r="G31" s="110">
        <v>45929</v>
      </c>
      <c r="H31" s="85">
        <f>G31+365</f>
        <v>46294</v>
      </c>
      <c r="I31" s="145" t="s">
        <v>447</v>
      </c>
      <c r="J31" s="34">
        <v>30</v>
      </c>
      <c r="K31" s="14">
        <v>46193</v>
      </c>
      <c r="L31" s="14">
        <f t="shared" si="1"/>
        <v>46222</v>
      </c>
      <c r="M31" s="34"/>
      <c r="N31" s="14"/>
      <c r="O31" s="181">
        <f t="shared" si="2"/>
        <v>-1</v>
      </c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</row>
    <row r="32" spans="1:206" s="109" customFormat="1" ht="23.1" customHeight="1" thickBot="1" x14ac:dyDescent="0.3">
      <c r="A32" s="106">
        <v>10</v>
      </c>
      <c r="B32" s="84" t="s">
        <v>74</v>
      </c>
      <c r="C32" s="83" t="s">
        <v>99</v>
      </c>
      <c r="D32" s="83" t="s">
        <v>501</v>
      </c>
      <c r="E32" s="84" t="s">
        <v>29</v>
      </c>
      <c r="F32" s="83" t="s">
        <v>355</v>
      </c>
      <c r="G32" s="110">
        <v>45588</v>
      </c>
      <c r="H32" s="85">
        <v>46309</v>
      </c>
      <c r="I32" s="142" t="s">
        <v>453</v>
      </c>
      <c r="J32" s="34">
        <v>30</v>
      </c>
      <c r="K32" s="14">
        <v>46358</v>
      </c>
      <c r="L32" s="14">
        <f t="shared" si="1"/>
        <v>46387</v>
      </c>
      <c r="M32" s="34"/>
      <c r="N32" s="14"/>
      <c r="O32" s="181">
        <f t="shared" si="2"/>
        <v>-1</v>
      </c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</row>
    <row r="33" spans="1:111" s="109" customFormat="1" ht="23.1" customHeight="1" thickBot="1" x14ac:dyDescent="0.3">
      <c r="A33" s="106">
        <v>11</v>
      </c>
      <c r="B33" s="84" t="s">
        <v>74</v>
      </c>
      <c r="C33" s="94" t="s">
        <v>101</v>
      </c>
      <c r="D33" s="120" t="s">
        <v>502</v>
      </c>
      <c r="E33" s="84" t="s">
        <v>29</v>
      </c>
      <c r="F33" s="84" t="s">
        <v>258</v>
      </c>
      <c r="G33" s="110">
        <v>45883</v>
      </c>
      <c r="H33" s="85">
        <f>G33+365</f>
        <v>46248</v>
      </c>
      <c r="I33" s="139" t="s">
        <v>455</v>
      </c>
      <c r="J33" s="34">
        <v>30</v>
      </c>
      <c r="K33" s="14">
        <v>46254</v>
      </c>
      <c r="L33" s="14">
        <f t="shared" si="1"/>
        <v>46283</v>
      </c>
      <c r="M33" s="34"/>
      <c r="N33" s="14"/>
      <c r="O33" s="181">
        <f t="shared" si="2"/>
        <v>-1</v>
      </c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</row>
    <row r="34" spans="1:111" s="109" customFormat="1" ht="23.1" customHeight="1" thickBot="1" x14ac:dyDescent="0.3">
      <c r="A34" s="106">
        <v>12</v>
      </c>
      <c r="B34" s="84" t="s">
        <v>74</v>
      </c>
      <c r="C34" s="94" t="s">
        <v>105</v>
      </c>
      <c r="D34" s="121" t="s">
        <v>503</v>
      </c>
      <c r="E34" s="84" t="s">
        <v>29</v>
      </c>
      <c r="F34" s="84" t="s">
        <v>258</v>
      </c>
      <c r="G34" s="110">
        <v>45834</v>
      </c>
      <c r="H34" s="85">
        <f>G34+365</f>
        <v>46199</v>
      </c>
      <c r="I34" s="146" t="s">
        <v>450</v>
      </c>
      <c r="J34" s="34">
        <v>30</v>
      </c>
      <c r="K34" s="14">
        <v>46249</v>
      </c>
      <c r="L34" s="14">
        <f t="shared" ref="L34:L65" si="4">J34-1+K34</f>
        <v>46278</v>
      </c>
      <c r="M34" s="34"/>
      <c r="N34" s="14"/>
      <c r="O34" s="181">
        <f t="shared" ref="O34:O65" si="5">M34-1+N34</f>
        <v>-1</v>
      </c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</row>
    <row r="35" spans="1:111" s="109" customFormat="1" ht="23.1" customHeight="1" thickBot="1" x14ac:dyDescent="0.3">
      <c r="A35" s="106">
        <v>13</v>
      </c>
      <c r="B35" s="84" t="s">
        <v>74</v>
      </c>
      <c r="C35" s="83" t="s">
        <v>106</v>
      </c>
      <c r="D35" s="83" t="s">
        <v>504</v>
      </c>
      <c r="E35" s="84" t="s">
        <v>29</v>
      </c>
      <c r="F35" s="84" t="s">
        <v>505</v>
      </c>
      <c r="G35" s="110">
        <v>45757</v>
      </c>
      <c r="H35" s="85">
        <f>G35+365-1</f>
        <v>46121</v>
      </c>
      <c r="I35" s="147" t="s">
        <v>454</v>
      </c>
      <c r="J35" s="34">
        <v>30</v>
      </c>
      <c r="K35" s="14">
        <v>46098</v>
      </c>
      <c r="L35" s="14">
        <f t="shared" si="4"/>
        <v>46127</v>
      </c>
      <c r="M35" s="34"/>
      <c r="N35" s="14"/>
      <c r="O35" s="181">
        <f t="shared" si="5"/>
        <v>-1</v>
      </c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</row>
    <row r="36" spans="1:111" s="109" customFormat="1" ht="23.1" customHeight="1" thickBot="1" x14ac:dyDescent="0.3">
      <c r="A36" s="106">
        <v>14</v>
      </c>
      <c r="B36" s="84" t="s">
        <v>74</v>
      </c>
      <c r="C36" s="94" t="s">
        <v>107</v>
      </c>
      <c r="D36" s="86" t="s">
        <v>506</v>
      </c>
      <c r="E36" s="83" t="s">
        <v>29</v>
      </c>
      <c r="F36" s="84" t="s">
        <v>258</v>
      </c>
      <c r="G36" s="110">
        <v>45903</v>
      </c>
      <c r="H36" s="85">
        <f t="shared" ref="H36:H56" si="6">G36+365</f>
        <v>46268</v>
      </c>
      <c r="I36" s="140" t="s">
        <v>448</v>
      </c>
      <c r="J36" s="34">
        <v>15</v>
      </c>
      <c r="K36" s="14">
        <v>46113</v>
      </c>
      <c r="L36" s="14">
        <f t="shared" si="4"/>
        <v>46127</v>
      </c>
      <c r="M36" s="34">
        <v>15</v>
      </c>
      <c r="N36" s="14">
        <v>46327</v>
      </c>
      <c r="O36" s="181">
        <f t="shared" si="5"/>
        <v>46341</v>
      </c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</row>
    <row r="37" spans="1:111" s="109" customFormat="1" ht="23.1" customHeight="1" thickBot="1" x14ac:dyDescent="0.3">
      <c r="A37" s="106">
        <v>15</v>
      </c>
      <c r="B37" s="84" t="s">
        <v>74</v>
      </c>
      <c r="C37" s="94" t="s">
        <v>108</v>
      </c>
      <c r="D37" s="86" t="s">
        <v>507</v>
      </c>
      <c r="E37" s="83" t="s">
        <v>29</v>
      </c>
      <c r="F37" s="84" t="s">
        <v>258</v>
      </c>
      <c r="G37" s="110">
        <v>45923</v>
      </c>
      <c r="H37" s="85">
        <f t="shared" si="6"/>
        <v>46288</v>
      </c>
      <c r="I37" s="138" t="s">
        <v>446</v>
      </c>
      <c r="J37" s="34">
        <v>30</v>
      </c>
      <c r="K37" s="14">
        <v>46358</v>
      </c>
      <c r="L37" s="14">
        <f t="shared" si="4"/>
        <v>46387</v>
      </c>
      <c r="M37" s="34"/>
      <c r="N37" s="14"/>
      <c r="O37" s="181">
        <f t="shared" si="5"/>
        <v>-1</v>
      </c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</row>
    <row r="38" spans="1:111" s="109" customFormat="1" ht="23.1" customHeight="1" thickBot="1" x14ac:dyDescent="0.3">
      <c r="A38" s="106">
        <v>16</v>
      </c>
      <c r="B38" s="84" t="s">
        <v>74</v>
      </c>
      <c r="C38" s="94" t="s">
        <v>290</v>
      </c>
      <c r="D38" s="120" t="s">
        <v>508</v>
      </c>
      <c r="E38" s="84" t="s">
        <v>29</v>
      </c>
      <c r="F38" s="84" t="s">
        <v>258</v>
      </c>
      <c r="G38" s="110">
        <v>45845</v>
      </c>
      <c r="H38" s="85">
        <f t="shared" si="6"/>
        <v>46210</v>
      </c>
      <c r="I38" s="136" t="s">
        <v>452</v>
      </c>
      <c r="J38" s="34">
        <v>15</v>
      </c>
      <c r="K38" s="14">
        <v>46024</v>
      </c>
      <c r="L38" s="14">
        <f t="shared" si="4"/>
        <v>46038</v>
      </c>
      <c r="M38" s="34">
        <v>15</v>
      </c>
      <c r="N38" s="14">
        <v>46220</v>
      </c>
      <c r="O38" s="181">
        <f t="shared" si="5"/>
        <v>46234</v>
      </c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</row>
    <row r="39" spans="1:111" s="109" customFormat="1" ht="23.1" customHeight="1" thickBot="1" x14ac:dyDescent="0.3">
      <c r="A39" s="106">
        <v>17</v>
      </c>
      <c r="B39" s="84" t="s">
        <v>74</v>
      </c>
      <c r="C39" s="94" t="s">
        <v>227</v>
      </c>
      <c r="D39" s="86" t="s">
        <v>509</v>
      </c>
      <c r="E39" s="83" t="s">
        <v>29</v>
      </c>
      <c r="F39" s="84" t="s">
        <v>259</v>
      </c>
      <c r="G39" s="110">
        <v>45666</v>
      </c>
      <c r="H39" s="117">
        <f t="shared" si="6"/>
        <v>46031</v>
      </c>
      <c r="I39" s="147" t="s">
        <v>454</v>
      </c>
      <c r="J39" s="34">
        <v>15</v>
      </c>
      <c r="K39" s="14">
        <v>46042</v>
      </c>
      <c r="L39" s="14">
        <f t="shared" si="4"/>
        <v>46056</v>
      </c>
      <c r="M39" s="34">
        <v>15</v>
      </c>
      <c r="N39" s="14">
        <v>46251</v>
      </c>
      <c r="O39" s="181">
        <f t="shared" si="5"/>
        <v>46265</v>
      </c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</row>
    <row r="40" spans="1:111" s="109" customFormat="1" ht="23.1" customHeight="1" thickBot="1" x14ac:dyDescent="0.3">
      <c r="A40" s="106">
        <v>18</v>
      </c>
      <c r="B40" s="84" t="s">
        <v>74</v>
      </c>
      <c r="C40" s="94" t="s">
        <v>110</v>
      </c>
      <c r="D40" s="120" t="s">
        <v>510</v>
      </c>
      <c r="E40" s="84" t="s">
        <v>29</v>
      </c>
      <c r="F40" s="84" t="s">
        <v>258</v>
      </c>
      <c r="G40" s="110">
        <v>45752</v>
      </c>
      <c r="H40" s="85">
        <f t="shared" si="6"/>
        <v>46117</v>
      </c>
      <c r="I40" s="137" t="s">
        <v>451</v>
      </c>
      <c r="J40" s="34">
        <v>15</v>
      </c>
      <c r="K40" s="14">
        <v>46038</v>
      </c>
      <c r="L40" s="14">
        <f t="shared" si="4"/>
        <v>46052</v>
      </c>
      <c r="M40" s="34">
        <v>15</v>
      </c>
      <c r="N40" s="14">
        <v>46218</v>
      </c>
      <c r="O40" s="181">
        <f t="shared" si="5"/>
        <v>46232</v>
      </c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</row>
    <row r="41" spans="1:111" s="109" customFormat="1" ht="23.1" customHeight="1" thickBot="1" x14ac:dyDescent="0.3">
      <c r="A41" s="106">
        <v>19</v>
      </c>
      <c r="B41" s="84" t="s">
        <v>74</v>
      </c>
      <c r="C41" s="94" t="s">
        <v>115</v>
      </c>
      <c r="D41" s="122" t="s">
        <v>511</v>
      </c>
      <c r="E41" s="84" t="s">
        <v>29</v>
      </c>
      <c r="F41" s="84" t="s">
        <v>258</v>
      </c>
      <c r="G41" s="110">
        <v>45944</v>
      </c>
      <c r="H41" s="85">
        <f t="shared" si="6"/>
        <v>46309</v>
      </c>
      <c r="I41" s="136" t="s">
        <v>452</v>
      </c>
      <c r="J41" s="34">
        <v>30</v>
      </c>
      <c r="K41" s="14">
        <v>46023</v>
      </c>
      <c r="L41" s="14">
        <f t="shared" si="4"/>
        <v>46052</v>
      </c>
      <c r="M41" s="34"/>
      <c r="N41" s="14"/>
      <c r="O41" s="181">
        <f t="shared" si="5"/>
        <v>-1</v>
      </c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</row>
    <row r="42" spans="1:111" s="109" customFormat="1" ht="23.1" customHeight="1" thickBot="1" x14ac:dyDescent="0.3">
      <c r="A42" s="106">
        <v>20</v>
      </c>
      <c r="B42" s="84" t="s">
        <v>74</v>
      </c>
      <c r="C42" s="83" t="s">
        <v>116</v>
      </c>
      <c r="D42" s="115" t="s">
        <v>512</v>
      </c>
      <c r="E42" s="84" t="s">
        <v>29</v>
      </c>
      <c r="F42" s="84" t="s">
        <v>258</v>
      </c>
      <c r="G42" s="110">
        <v>45926</v>
      </c>
      <c r="H42" s="85">
        <f t="shared" si="6"/>
        <v>46291</v>
      </c>
      <c r="I42" s="136" t="s">
        <v>452</v>
      </c>
      <c r="J42" s="34">
        <v>15</v>
      </c>
      <c r="K42" s="14">
        <v>46199</v>
      </c>
      <c r="L42" s="14">
        <f t="shared" si="4"/>
        <v>46213</v>
      </c>
      <c r="M42" s="34">
        <v>15</v>
      </c>
      <c r="N42" s="14">
        <v>46373</v>
      </c>
      <c r="O42" s="181">
        <f t="shared" si="5"/>
        <v>46387</v>
      </c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</row>
    <row r="43" spans="1:111" s="111" customFormat="1" ht="23.1" customHeight="1" thickBot="1" x14ac:dyDescent="0.3">
      <c r="A43" s="106">
        <v>21</v>
      </c>
      <c r="B43" s="84" t="s">
        <v>74</v>
      </c>
      <c r="C43" s="94" t="s">
        <v>121</v>
      </c>
      <c r="D43" s="123" t="s">
        <v>513</v>
      </c>
      <c r="E43" s="83" t="s">
        <v>29</v>
      </c>
      <c r="F43" s="84" t="s">
        <v>258</v>
      </c>
      <c r="G43" s="110">
        <v>45635</v>
      </c>
      <c r="H43" s="91">
        <f t="shared" si="6"/>
        <v>46000</v>
      </c>
      <c r="I43" s="140" t="s">
        <v>448</v>
      </c>
      <c r="J43" s="34">
        <v>15</v>
      </c>
      <c r="K43" s="14">
        <v>46076</v>
      </c>
      <c r="L43" s="14">
        <f t="shared" si="4"/>
        <v>46090</v>
      </c>
      <c r="M43" s="34">
        <v>15</v>
      </c>
      <c r="N43" s="14">
        <v>46348</v>
      </c>
      <c r="O43" s="181">
        <f t="shared" si="5"/>
        <v>46362</v>
      </c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8"/>
      <c r="CW43" s="108"/>
      <c r="CX43" s="108"/>
      <c r="CY43" s="108"/>
      <c r="CZ43" s="108"/>
      <c r="DA43" s="108"/>
      <c r="DB43" s="108"/>
      <c r="DC43" s="108"/>
      <c r="DD43" s="108"/>
      <c r="DE43" s="108"/>
      <c r="DF43" s="108"/>
      <c r="DG43" s="108"/>
    </row>
    <row r="44" spans="1:111" s="109" customFormat="1" ht="23.1" customHeight="1" thickBot="1" x14ac:dyDescent="0.3">
      <c r="A44" s="106">
        <v>22</v>
      </c>
      <c r="B44" s="84" t="s">
        <v>74</v>
      </c>
      <c r="C44" s="94" t="s">
        <v>122</v>
      </c>
      <c r="D44" s="94" t="s">
        <v>514</v>
      </c>
      <c r="E44" s="83" t="s">
        <v>29</v>
      </c>
      <c r="F44" s="84" t="s">
        <v>258</v>
      </c>
      <c r="G44" s="110">
        <v>45701</v>
      </c>
      <c r="H44" s="85">
        <f t="shared" si="6"/>
        <v>46066</v>
      </c>
      <c r="I44" s="148" t="s">
        <v>449</v>
      </c>
      <c r="J44" s="34">
        <v>30</v>
      </c>
      <c r="K44" s="14">
        <v>46219</v>
      </c>
      <c r="L44" s="14">
        <f t="shared" si="4"/>
        <v>46248</v>
      </c>
      <c r="M44" s="34"/>
      <c r="N44" s="14"/>
      <c r="O44" s="181">
        <f t="shared" si="5"/>
        <v>-1</v>
      </c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</row>
    <row r="45" spans="1:111" s="109" customFormat="1" ht="23.1" customHeight="1" thickBot="1" x14ac:dyDescent="0.3">
      <c r="A45" s="106">
        <v>23</v>
      </c>
      <c r="B45" s="84" t="s">
        <v>74</v>
      </c>
      <c r="C45" s="94" t="s">
        <v>123</v>
      </c>
      <c r="D45" s="94" t="s">
        <v>515</v>
      </c>
      <c r="E45" s="83" t="s">
        <v>29</v>
      </c>
      <c r="F45" s="84" t="s">
        <v>258</v>
      </c>
      <c r="G45" s="110">
        <v>45904</v>
      </c>
      <c r="H45" s="85">
        <f t="shared" si="6"/>
        <v>46269</v>
      </c>
      <c r="I45" s="140" t="s">
        <v>448</v>
      </c>
      <c r="J45" s="34">
        <v>30</v>
      </c>
      <c r="K45" s="14">
        <v>46024</v>
      </c>
      <c r="L45" s="14">
        <f t="shared" si="4"/>
        <v>46053</v>
      </c>
      <c r="M45" s="34"/>
      <c r="N45" s="14"/>
      <c r="O45" s="181">
        <f t="shared" si="5"/>
        <v>-1</v>
      </c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</row>
    <row r="46" spans="1:111" s="109" customFormat="1" ht="23.1" customHeight="1" thickBot="1" x14ac:dyDescent="0.3">
      <c r="A46" s="106">
        <v>24</v>
      </c>
      <c r="B46" s="84" t="s">
        <v>74</v>
      </c>
      <c r="C46" s="83" t="s">
        <v>328</v>
      </c>
      <c r="D46" s="83" t="s">
        <v>516</v>
      </c>
      <c r="E46" s="84" t="s">
        <v>29</v>
      </c>
      <c r="F46" s="84" t="s">
        <v>258</v>
      </c>
      <c r="G46" s="110">
        <v>45839</v>
      </c>
      <c r="H46" s="85">
        <f t="shared" si="6"/>
        <v>46204</v>
      </c>
      <c r="I46" s="137" t="s">
        <v>451</v>
      </c>
      <c r="J46" s="34">
        <v>30</v>
      </c>
      <c r="K46" s="14">
        <v>46223</v>
      </c>
      <c r="L46" s="14">
        <f t="shared" si="4"/>
        <v>46252</v>
      </c>
      <c r="M46" s="34"/>
      <c r="N46" s="14"/>
      <c r="O46" s="181">
        <f t="shared" si="5"/>
        <v>-1</v>
      </c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</row>
    <row r="47" spans="1:111" s="109" customFormat="1" ht="23.1" customHeight="1" thickBot="1" x14ac:dyDescent="0.3">
      <c r="A47" s="106">
        <v>25</v>
      </c>
      <c r="B47" s="84" t="s">
        <v>74</v>
      </c>
      <c r="C47" s="94" t="s">
        <v>128</v>
      </c>
      <c r="D47" s="120" t="s">
        <v>517</v>
      </c>
      <c r="E47" s="84" t="s">
        <v>29</v>
      </c>
      <c r="F47" s="84" t="s">
        <v>258</v>
      </c>
      <c r="G47" s="110">
        <v>45693</v>
      </c>
      <c r="H47" s="85">
        <f t="shared" si="6"/>
        <v>46058</v>
      </c>
      <c r="I47" s="142" t="s">
        <v>453</v>
      </c>
      <c r="J47" s="34">
        <v>15</v>
      </c>
      <c r="K47" s="14">
        <v>46023</v>
      </c>
      <c r="L47" s="14">
        <f t="shared" si="4"/>
        <v>46037</v>
      </c>
      <c r="M47" s="34">
        <v>15</v>
      </c>
      <c r="N47" s="14">
        <v>46373</v>
      </c>
      <c r="O47" s="181">
        <f t="shared" si="5"/>
        <v>46387</v>
      </c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</row>
    <row r="48" spans="1:111" s="109" customFormat="1" ht="23.1" customHeight="1" thickBot="1" x14ac:dyDescent="0.3">
      <c r="A48" s="106">
        <v>26</v>
      </c>
      <c r="B48" s="84" t="s">
        <v>74</v>
      </c>
      <c r="C48" s="94" t="s">
        <v>129</v>
      </c>
      <c r="D48" s="86" t="s">
        <v>518</v>
      </c>
      <c r="E48" s="83" t="s">
        <v>29</v>
      </c>
      <c r="F48" s="84" t="s">
        <v>258</v>
      </c>
      <c r="G48" s="110">
        <v>45929</v>
      </c>
      <c r="H48" s="85">
        <f t="shared" si="6"/>
        <v>46294</v>
      </c>
      <c r="I48" s="147" t="s">
        <v>454</v>
      </c>
      <c r="J48" s="34">
        <v>15</v>
      </c>
      <c r="K48" s="14">
        <v>46193</v>
      </c>
      <c r="L48" s="14">
        <f t="shared" si="4"/>
        <v>46207</v>
      </c>
      <c r="M48" s="34">
        <v>15</v>
      </c>
      <c r="N48" s="14">
        <v>46300</v>
      </c>
      <c r="O48" s="181">
        <f t="shared" si="5"/>
        <v>46314</v>
      </c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</row>
    <row r="49" spans="1:61" s="109" customFormat="1" ht="23.1" customHeight="1" thickBot="1" x14ac:dyDescent="0.3">
      <c r="A49" s="106">
        <v>27</v>
      </c>
      <c r="B49" s="84" t="s">
        <v>74</v>
      </c>
      <c r="C49" s="94" t="s">
        <v>138</v>
      </c>
      <c r="D49" s="123" t="s">
        <v>519</v>
      </c>
      <c r="E49" s="83" t="s">
        <v>29</v>
      </c>
      <c r="F49" s="84" t="s">
        <v>258</v>
      </c>
      <c r="G49" s="110">
        <v>45784</v>
      </c>
      <c r="H49" s="85">
        <f t="shared" si="6"/>
        <v>46149</v>
      </c>
      <c r="I49" s="146" t="s">
        <v>450</v>
      </c>
      <c r="J49" s="34">
        <v>15</v>
      </c>
      <c r="K49" s="14">
        <v>46096</v>
      </c>
      <c r="L49" s="14">
        <f t="shared" si="4"/>
        <v>46110</v>
      </c>
      <c r="M49" s="34">
        <v>15</v>
      </c>
      <c r="N49" s="14">
        <v>46342</v>
      </c>
      <c r="O49" s="181">
        <f t="shared" si="5"/>
        <v>46356</v>
      </c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</row>
    <row r="50" spans="1:61" s="109" customFormat="1" ht="23.1" customHeight="1" thickBot="1" x14ac:dyDescent="0.3">
      <c r="A50" s="106">
        <v>28</v>
      </c>
      <c r="B50" s="84" t="s">
        <v>74</v>
      </c>
      <c r="C50" s="94" t="s">
        <v>140</v>
      </c>
      <c r="D50" s="123" t="s">
        <v>520</v>
      </c>
      <c r="E50" s="83" t="s">
        <v>29</v>
      </c>
      <c r="F50" s="84" t="s">
        <v>258</v>
      </c>
      <c r="G50" s="110">
        <v>45960</v>
      </c>
      <c r="H50" s="85">
        <f t="shared" si="6"/>
        <v>46325</v>
      </c>
      <c r="I50" s="138" t="s">
        <v>446</v>
      </c>
      <c r="J50" s="34">
        <v>30</v>
      </c>
      <c r="K50" s="14">
        <v>46321</v>
      </c>
      <c r="L50" s="14">
        <f t="shared" si="4"/>
        <v>46350</v>
      </c>
      <c r="M50" s="34"/>
      <c r="N50" s="14"/>
      <c r="O50" s="181">
        <f t="shared" si="5"/>
        <v>-1</v>
      </c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</row>
    <row r="51" spans="1:61" s="109" customFormat="1" ht="23.1" customHeight="1" thickBot="1" x14ac:dyDescent="0.3">
      <c r="A51" s="106">
        <v>29</v>
      </c>
      <c r="B51" s="84" t="s">
        <v>74</v>
      </c>
      <c r="C51" s="94" t="s">
        <v>141</v>
      </c>
      <c r="D51" s="124" t="s">
        <v>521</v>
      </c>
      <c r="E51" s="84" t="s">
        <v>29</v>
      </c>
      <c r="F51" s="84" t="s">
        <v>258</v>
      </c>
      <c r="G51" s="110">
        <v>45798</v>
      </c>
      <c r="H51" s="85">
        <f t="shared" si="6"/>
        <v>46163</v>
      </c>
      <c r="I51" s="146" t="s">
        <v>450</v>
      </c>
      <c r="J51" s="34">
        <v>15</v>
      </c>
      <c r="K51" s="14">
        <v>46038</v>
      </c>
      <c r="L51" s="14">
        <f t="shared" si="4"/>
        <v>46052</v>
      </c>
      <c r="M51" s="34">
        <v>15</v>
      </c>
      <c r="N51" s="14">
        <v>46204</v>
      </c>
      <c r="O51" s="181">
        <f t="shared" si="5"/>
        <v>46218</v>
      </c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</row>
    <row r="52" spans="1:61" s="109" customFormat="1" ht="23.1" customHeight="1" thickBot="1" x14ac:dyDescent="0.3">
      <c r="A52" s="106">
        <v>30</v>
      </c>
      <c r="B52" s="84" t="s">
        <v>74</v>
      </c>
      <c r="C52" s="94" t="s">
        <v>142</v>
      </c>
      <c r="D52" s="124" t="s">
        <v>522</v>
      </c>
      <c r="E52" s="83" t="s">
        <v>29</v>
      </c>
      <c r="F52" s="84" t="s">
        <v>258</v>
      </c>
      <c r="G52" s="110">
        <v>46008</v>
      </c>
      <c r="H52" s="85">
        <f t="shared" si="6"/>
        <v>46373</v>
      </c>
      <c r="I52" s="148" t="s">
        <v>449</v>
      </c>
      <c r="J52" s="34">
        <v>15</v>
      </c>
      <c r="K52" s="14">
        <v>46094</v>
      </c>
      <c r="L52" s="14">
        <f t="shared" si="4"/>
        <v>46108</v>
      </c>
      <c r="M52" s="34">
        <v>15</v>
      </c>
      <c r="N52" s="14">
        <v>46204</v>
      </c>
      <c r="O52" s="181">
        <f t="shared" si="5"/>
        <v>46218</v>
      </c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</row>
    <row r="53" spans="1:61" s="109" customFormat="1" ht="23.1" customHeight="1" thickBot="1" x14ac:dyDescent="0.3">
      <c r="A53" s="106">
        <v>31</v>
      </c>
      <c r="B53" s="84" t="s">
        <v>74</v>
      </c>
      <c r="C53" s="83" t="s">
        <v>159</v>
      </c>
      <c r="D53" s="84" t="s">
        <v>523</v>
      </c>
      <c r="E53" s="83" t="s">
        <v>29</v>
      </c>
      <c r="F53" s="84" t="s">
        <v>258</v>
      </c>
      <c r="G53" s="110">
        <v>46036</v>
      </c>
      <c r="H53" s="117">
        <f t="shared" si="6"/>
        <v>46401</v>
      </c>
      <c r="I53" s="138" t="s">
        <v>446</v>
      </c>
      <c r="J53" s="34">
        <v>30</v>
      </c>
      <c r="K53" s="14">
        <v>46259</v>
      </c>
      <c r="L53" s="14">
        <f t="shared" si="4"/>
        <v>46288</v>
      </c>
      <c r="M53" s="34"/>
      <c r="N53" s="14"/>
      <c r="O53" s="181">
        <f t="shared" si="5"/>
        <v>-1</v>
      </c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</row>
    <row r="54" spans="1:61" s="109" customFormat="1" ht="23.1" customHeight="1" thickBot="1" x14ac:dyDescent="0.3">
      <c r="A54" s="106">
        <v>32</v>
      </c>
      <c r="B54" s="84" t="s">
        <v>74</v>
      </c>
      <c r="C54" s="83" t="s">
        <v>329</v>
      </c>
      <c r="D54" s="83" t="s">
        <v>524</v>
      </c>
      <c r="E54" s="84" t="s">
        <v>29</v>
      </c>
      <c r="F54" s="84" t="s">
        <v>258</v>
      </c>
      <c r="G54" s="110">
        <v>45797</v>
      </c>
      <c r="H54" s="85">
        <f t="shared" si="6"/>
        <v>46162</v>
      </c>
      <c r="I54" s="136" t="s">
        <v>452</v>
      </c>
      <c r="J54" s="34">
        <v>30</v>
      </c>
      <c r="K54" s="14">
        <v>46341</v>
      </c>
      <c r="L54" s="14">
        <f t="shared" si="4"/>
        <v>46370</v>
      </c>
      <c r="M54" s="34"/>
      <c r="N54" s="14"/>
      <c r="O54" s="181">
        <f t="shared" si="5"/>
        <v>-1</v>
      </c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</row>
    <row r="55" spans="1:61" s="109" customFormat="1" ht="23.1" customHeight="1" thickBot="1" x14ac:dyDescent="0.3">
      <c r="A55" s="106">
        <v>33</v>
      </c>
      <c r="B55" s="84" t="s">
        <v>147</v>
      </c>
      <c r="C55" s="83" t="s">
        <v>155</v>
      </c>
      <c r="D55" s="84" t="s">
        <v>525</v>
      </c>
      <c r="E55" s="84" t="s">
        <v>29</v>
      </c>
      <c r="F55" s="84" t="s">
        <v>258</v>
      </c>
      <c r="G55" s="110">
        <v>45742</v>
      </c>
      <c r="H55" s="85">
        <f t="shared" si="6"/>
        <v>46107</v>
      </c>
      <c r="I55" s="142" t="s">
        <v>453</v>
      </c>
      <c r="J55" s="34">
        <v>15</v>
      </c>
      <c r="K55" s="14">
        <v>46158</v>
      </c>
      <c r="L55" s="14">
        <f t="shared" si="4"/>
        <v>46172</v>
      </c>
      <c r="M55" s="34">
        <v>15</v>
      </c>
      <c r="N55" s="14">
        <v>46341</v>
      </c>
      <c r="O55" s="181">
        <f t="shared" si="5"/>
        <v>46355</v>
      </c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</row>
    <row r="56" spans="1:61" s="109" customFormat="1" ht="23.1" customHeight="1" thickBot="1" x14ac:dyDescent="0.3">
      <c r="A56" s="106">
        <v>34</v>
      </c>
      <c r="B56" s="84" t="s">
        <v>147</v>
      </c>
      <c r="C56" s="83" t="s">
        <v>330</v>
      </c>
      <c r="D56" s="84" t="s">
        <v>526</v>
      </c>
      <c r="E56" s="84" t="s">
        <v>29</v>
      </c>
      <c r="F56" s="84" t="s">
        <v>258</v>
      </c>
      <c r="G56" s="110">
        <v>46000</v>
      </c>
      <c r="H56" s="117">
        <f t="shared" si="6"/>
        <v>46365</v>
      </c>
      <c r="I56" s="137" t="s">
        <v>451</v>
      </c>
      <c r="J56" s="34">
        <v>30</v>
      </c>
      <c r="K56" s="14">
        <v>46113</v>
      </c>
      <c r="L56" s="14">
        <f t="shared" si="4"/>
        <v>46142</v>
      </c>
      <c r="M56" s="34"/>
      <c r="N56" s="14"/>
      <c r="O56" s="181">
        <f t="shared" si="5"/>
        <v>-1</v>
      </c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</row>
    <row r="57" spans="1:61" s="109" customFormat="1" ht="23.1" customHeight="1" thickBot="1" x14ac:dyDescent="0.3">
      <c r="A57" s="106">
        <v>35</v>
      </c>
      <c r="B57" s="84" t="s">
        <v>147</v>
      </c>
      <c r="C57" s="83" t="s">
        <v>158</v>
      </c>
      <c r="D57" s="84" t="s">
        <v>527</v>
      </c>
      <c r="E57" s="83" t="s">
        <v>29</v>
      </c>
      <c r="F57" s="84" t="s">
        <v>258</v>
      </c>
      <c r="G57" s="110">
        <v>46184</v>
      </c>
      <c r="H57" s="85">
        <v>46184</v>
      </c>
      <c r="I57" s="148" t="s">
        <v>449</v>
      </c>
      <c r="J57" s="34">
        <v>30</v>
      </c>
      <c r="K57" s="14">
        <v>46082</v>
      </c>
      <c r="L57" s="14">
        <f t="shared" si="4"/>
        <v>46111</v>
      </c>
      <c r="M57" s="34"/>
      <c r="N57" s="14"/>
      <c r="O57" s="181">
        <f t="shared" si="5"/>
        <v>-1</v>
      </c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</row>
    <row r="58" spans="1:61" s="109" customFormat="1" ht="23.1" customHeight="1" thickBot="1" x14ac:dyDescent="0.3">
      <c r="A58" s="106">
        <v>36</v>
      </c>
      <c r="B58" s="84" t="s">
        <v>147</v>
      </c>
      <c r="C58" s="94" t="s">
        <v>326</v>
      </c>
      <c r="D58" s="86" t="s">
        <v>528</v>
      </c>
      <c r="E58" s="83" t="s">
        <v>29</v>
      </c>
      <c r="F58" s="84" t="s">
        <v>258</v>
      </c>
      <c r="G58" s="125">
        <v>46036</v>
      </c>
      <c r="H58" s="117">
        <f>G58+365</f>
        <v>46401</v>
      </c>
      <c r="I58" s="145" t="s">
        <v>447</v>
      </c>
      <c r="J58" s="34">
        <v>15</v>
      </c>
      <c r="K58" s="14">
        <v>46082</v>
      </c>
      <c r="L58" s="14">
        <f t="shared" si="4"/>
        <v>46096</v>
      </c>
      <c r="M58" s="34">
        <v>15</v>
      </c>
      <c r="N58" s="14">
        <v>46341</v>
      </c>
      <c r="O58" s="181">
        <f t="shared" si="5"/>
        <v>46355</v>
      </c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</row>
    <row r="59" spans="1:61" s="109" customFormat="1" ht="23.1" customHeight="1" thickBot="1" x14ac:dyDescent="0.3">
      <c r="A59" s="106">
        <v>37</v>
      </c>
      <c r="B59" s="84" t="s">
        <v>147</v>
      </c>
      <c r="C59" s="83" t="s">
        <v>327</v>
      </c>
      <c r="D59" s="83" t="s">
        <v>529</v>
      </c>
      <c r="E59" s="84" t="s">
        <v>29</v>
      </c>
      <c r="F59" s="84" t="s">
        <v>258</v>
      </c>
      <c r="G59" s="110">
        <v>45876</v>
      </c>
      <c r="H59" s="85">
        <f>G59+365</f>
        <v>46241</v>
      </c>
      <c r="I59" s="145" t="s">
        <v>447</v>
      </c>
      <c r="J59" s="34">
        <v>30</v>
      </c>
      <c r="K59" s="14">
        <v>46267</v>
      </c>
      <c r="L59" s="14">
        <f t="shared" si="4"/>
        <v>46296</v>
      </c>
      <c r="M59" s="34"/>
      <c r="N59" s="14"/>
      <c r="O59" s="181">
        <f t="shared" si="5"/>
        <v>-1</v>
      </c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</row>
    <row r="60" spans="1:61" s="109" customFormat="1" ht="23.1" customHeight="1" thickBot="1" x14ac:dyDescent="0.3">
      <c r="A60" s="106">
        <v>38</v>
      </c>
      <c r="B60" s="89" t="s">
        <v>147</v>
      </c>
      <c r="C60" s="87" t="s">
        <v>395</v>
      </c>
      <c r="D60" s="126" t="s">
        <v>530</v>
      </c>
      <c r="E60" s="87" t="s">
        <v>29</v>
      </c>
      <c r="F60" s="89" t="s">
        <v>259</v>
      </c>
      <c r="G60" s="112">
        <v>45966</v>
      </c>
      <c r="H60" s="88">
        <f>G60+365</f>
        <v>46331</v>
      </c>
      <c r="I60" s="149" t="s">
        <v>448</v>
      </c>
      <c r="J60" s="34">
        <v>30</v>
      </c>
      <c r="K60" s="14">
        <v>46266</v>
      </c>
      <c r="L60" s="14">
        <f t="shared" si="4"/>
        <v>46295</v>
      </c>
      <c r="M60" s="34"/>
      <c r="N60" s="14"/>
      <c r="O60" s="181">
        <f t="shared" si="5"/>
        <v>-1</v>
      </c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</row>
    <row r="61" spans="1:61" s="109" customFormat="1" ht="23.1" customHeight="1" thickBot="1" x14ac:dyDescent="0.25">
      <c r="A61" s="153">
        <v>1</v>
      </c>
      <c r="B61" s="154" t="s">
        <v>43</v>
      </c>
      <c r="C61" s="154" t="s">
        <v>314</v>
      </c>
      <c r="D61" s="167" t="s">
        <v>531</v>
      </c>
      <c r="E61" s="154" t="s">
        <v>24</v>
      </c>
      <c r="F61" s="154" t="s">
        <v>254</v>
      </c>
      <c r="G61" s="155">
        <v>45727</v>
      </c>
      <c r="H61" s="155">
        <v>46092</v>
      </c>
      <c r="I61" s="133" t="s">
        <v>442</v>
      </c>
      <c r="J61" s="19">
        <v>15</v>
      </c>
      <c r="K61" s="20">
        <v>46048</v>
      </c>
      <c r="L61" s="14">
        <f t="shared" si="4"/>
        <v>46062</v>
      </c>
      <c r="M61" s="19">
        <v>15</v>
      </c>
      <c r="N61" s="20">
        <v>46076</v>
      </c>
      <c r="O61" s="181">
        <f t="shared" si="5"/>
        <v>46090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</row>
    <row r="62" spans="1:61" s="109" customFormat="1" ht="23.1" customHeight="1" thickBot="1" x14ac:dyDescent="0.25">
      <c r="A62" s="153">
        <v>2</v>
      </c>
      <c r="B62" s="157" t="s">
        <v>46</v>
      </c>
      <c r="C62" s="157" t="s">
        <v>429</v>
      </c>
      <c r="D62" s="157" t="s">
        <v>532</v>
      </c>
      <c r="E62" s="157" t="s">
        <v>24</v>
      </c>
      <c r="F62" s="157" t="s">
        <v>432</v>
      </c>
      <c r="G62" s="158">
        <v>45911</v>
      </c>
      <c r="H62" s="158">
        <v>46276</v>
      </c>
      <c r="I62" s="134" t="s">
        <v>440</v>
      </c>
      <c r="J62" s="19">
        <v>15</v>
      </c>
      <c r="K62" s="20">
        <v>46041</v>
      </c>
      <c r="L62" s="14">
        <f t="shared" si="4"/>
        <v>46055</v>
      </c>
      <c r="M62" s="19">
        <v>15</v>
      </c>
      <c r="N62" s="20">
        <v>46223</v>
      </c>
      <c r="O62" s="181">
        <f t="shared" si="5"/>
        <v>46237</v>
      </c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</row>
    <row r="63" spans="1:61" s="109" customFormat="1" ht="23.1" customHeight="1" thickBot="1" x14ac:dyDescent="0.25">
      <c r="A63" s="153">
        <v>3</v>
      </c>
      <c r="B63" s="157" t="s">
        <v>46</v>
      </c>
      <c r="C63" s="157" t="s">
        <v>301</v>
      </c>
      <c r="D63" s="157" t="s">
        <v>533</v>
      </c>
      <c r="E63" s="157" t="s">
        <v>24</v>
      </c>
      <c r="F63" s="157" t="s">
        <v>253</v>
      </c>
      <c r="G63" s="158">
        <v>45727</v>
      </c>
      <c r="H63" s="158">
        <f t="shared" ref="H63:H75" si="7">G63+365</f>
        <v>46092</v>
      </c>
      <c r="I63" s="134" t="s">
        <v>438</v>
      </c>
      <c r="J63" s="34">
        <v>15</v>
      </c>
      <c r="K63" s="14">
        <v>46265</v>
      </c>
      <c r="L63" s="14">
        <f t="shared" si="4"/>
        <v>46279</v>
      </c>
      <c r="M63" s="34">
        <v>15</v>
      </c>
      <c r="N63" s="14">
        <v>46335</v>
      </c>
      <c r="O63" s="181">
        <f t="shared" si="5"/>
        <v>46349</v>
      </c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</row>
    <row r="64" spans="1:61" s="109" customFormat="1" ht="23.1" customHeight="1" thickBot="1" x14ac:dyDescent="0.3">
      <c r="A64" s="153">
        <v>4</v>
      </c>
      <c r="B64" s="157" t="s">
        <v>55</v>
      </c>
      <c r="C64" s="168" t="s">
        <v>67</v>
      </c>
      <c r="D64" s="169" t="s">
        <v>534</v>
      </c>
      <c r="E64" s="157" t="s">
        <v>24</v>
      </c>
      <c r="F64" s="157" t="s">
        <v>433</v>
      </c>
      <c r="G64" s="158">
        <v>45799</v>
      </c>
      <c r="H64" s="158">
        <f t="shared" si="7"/>
        <v>46164</v>
      </c>
      <c r="I64" s="135" t="s">
        <v>445</v>
      </c>
      <c r="J64" s="34">
        <v>30</v>
      </c>
      <c r="K64" s="14">
        <v>46358</v>
      </c>
      <c r="L64" s="14">
        <f t="shared" si="4"/>
        <v>46387</v>
      </c>
      <c r="M64" s="34"/>
      <c r="N64" s="14"/>
      <c r="O64" s="181">
        <f t="shared" si="5"/>
        <v>-1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</row>
    <row r="65" spans="1:61" s="109" customFormat="1" ht="23.1" customHeight="1" thickBot="1" x14ac:dyDescent="0.25">
      <c r="A65" s="153">
        <v>5</v>
      </c>
      <c r="B65" s="157" t="s">
        <v>63</v>
      </c>
      <c r="C65" s="157" t="s">
        <v>83</v>
      </c>
      <c r="D65" s="18" t="s">
        <v>535</v>
      </c>
      <c r="E65" s="157" t="s">
        <v>24</v>
      </c>
      <c r="F65" s="157" t="s">
        <v>254</v>
      </c>
      <c r="G65" s="158">
        <v>45938</v>
      </c>
      <c r="H65" s="158">
        <f t="shared" si="7"/>
        <v>46303</v>
      </c>
      <c r="I65" s="134" t="s">
        <v>439</v>
      </c>
      <c r="J65" s="19">
        <v>15</v>
      </c>
      <c r="K65" s="20">
        <v>46027</v>
      </c>
      <c r="L65" s="14">
        <v>46041</v>
      </c>
      <c r="M65" s="19">
        <v>15</v>
      </c>
      <c r="N65" s="20">
        <v>46266</v>
      </c>
      <c r="O65" s="181">
        <v>46280</v>
      </c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</row>
    <row r="66" spans="1:61" s="109" customFormat="1" ht="23.1" customHeight="1" thickBot="1" x14ac:dyDescent="0.3">
      <c r="A66" s="153">
        <v>6</v>
      </c>
      <c r="B66" s="157" t="s">
        <v>74</v>
      </c>
      <c r="C66" s="169" t="s">
        <v>77</v>
      </c>
      <c r="D66" s="169" t="s">
        <v>536</v>
      </c>
      <c r="E66" s="157" t="s">
        <v>24</v>
      </c>
      <c r="F66" s="157" t="s">
        <v>255</v>
      </c>
      <c r="G66" s="158">
        <v>45992</v>
      </c>
      <c r="H66" s="158">
        <f t="shared" si="7"/>
        <v>46357</v>
      </c>
      <c r="I66" s="139" t="s">
        <v>455</v>
      </c>
      <c r="J66" s="34">
        <v>30</v>
      </c>
      <c r="K66" s="20">
        <v>46038</v>
      </c>
      <c r="L66" s="14">
        <f t="shared" ref="L66:L97" si="8">J66-1+K66</f>
        <v>46067</v>
      </c>
      <c r="M66" s="19"/>
      <c r="N66" s="20"/>
      <c r="O66" s="181">
        <f t="shared" ref="O66:O97" si="9">M66-1+N66</f>
        <v>-1</v>
      </c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</row>
    <row r="67" spans="1:61" s="109" customFormat="1" ht="23.1" customHeight="1" thickBot="1" x14ac:dyDescent="0.3">
      <c r="A67" s="153">
        <v>7</v>
      </c>
      <c r="B67" s="157" t="s">
        <v>74</v>
      </c>
      <c r="C67" s="168" t="s">
        <v>78</v>
      </c>
      <c r="D67" s="169" t="s">
        <v>537</v>
      </c>
      <c r="E67" s="157" t="s">
        <v>24</v>
      </c>
      <c r="F67" s="157" t="s">
        <v>255</v>
      </c>
      <c r="G67" s="158">
        <v>45972</v>
      </c>
      <c r="H67" s="158">
        <f t="shared" si="7"/>
        <v>46337</v>
      </c>
      <c r="I67" s="146" t="s">
        <v>450</v>
      </c>
      <c r="J67" s="34">
        <v>15</v>
      </c>
      <c r="K67" s="20">
        <v>46023</v>
      </c>
      <c r="L67" s="14">
        <f t="shared" si="8"/>
        <v>46037</v>
      </c>
      <c r="M67" s="19">
        <v>15</v>
      </c>
      <c r="N67" s="20">
        <v>46373</v>
      </c>
      <c r="O67" s="181">
        <f t="shared" si="9"/>
        <v>46387</v>
      </c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</row>
    <row r="68" spans="1:61" s="109" customFormat="1" ht="23.1" customHeight="1" thickBot="1" x14ac:dyDescent="0.3">
      <c r="A68" s="153">
        <v>8</v>
      </c>
      <c r="B68" s="157" t="s">
        <v>74</v>
      </c>
      <c r="C68" s="157" t="s">
        <v>87</v>
      </c>
      <c r="D68" s="159" t="s">
        <v>538</v>
      </c>
      <c r="E68" s="157" t="s">
        <v>24</v>
      </c>
      <c r="F68" s="157" t="s">
        <v>253</v>
      </c>
      <c r="G68" s="158">
        <v>45820</v>
      </c>
      <c r="H68" s="158">
        <f t="shared" si="7"/>
        <v>46185</v>
      </c>
      <c r="I68" s="135" t="s">
        <v>444</v>
      </c>
      <c r="J68" s="34">
        <v>15</v>
      </c>
      <c r="K68" s="14">
        <v>46118</v>
      </c>
      <c r="L68" s="14">
        <f t="shared" si="8"/>
        <v>46132</v>
      </c>
      <c r="M68" s="34">
        <v>15</v>
      </c>
      <c r="N68" s="14">
        <v>46284</v>
      </c>
      <c r="O68" s="181">
        <f t="shared" si="9"/>
        <v>46298</v>
      </c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</row>
    <row r="69" spans="1:61" s="109" customFormat="1" ht="23.1" customHeight="1" thickBot="1" x14ac:dyDescent="0.3">
      <c r="A69" s="153">
        <v>9</v>
      </c>
      <c r="B69" s="157" t="s">
        <v>74</v>
      </c>
      <c r="C69" s="157" t="s">
        <v>289</v>
      </c>
      <c r="D69" s="157" t="s">
        <v>539</v>
      </c>
      <c r="E69" s="157" t="s">
        <v>24</v>
      </c>
      <c r="F69" s="157" t="s">
        <v>255</v>
      </c>
      <c r="G69" s="158">
        <v>45683</v>
      </c>
      <c r="H69" s="158">
        <f t="shared" si="7"/>
        <v>46048</v>
      </c>
      <c r="I69" s="145" t="s">
        <v>447</v>
      </c>
      <c r="J69" s="19">
        <v>30</v>
      </c>
      <c r="K69" s="14">
        <v>46334</v>
      </c>
      <c r="L69" s="14">
        <f t="shared" si="8"/>
        <v>46363</v>
      </c>
      <c r="M69" s="34"/>
      <c r="N69" s="14"/>
      <c r="O69" s="181">
        <f t="shared" si="9"/>
        <v>-1</v>
      </c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</row>
    <row r="70" spans="1:61" s="109" customFormat="1" ht="23.1" customHeight="1" thickBot="1" x14ac:dyDescent="0.3">
      <c r="A70" s="153">
        <v>10</v>
      </c>
      <c r="B70" s="157" t="s">
        <v>74</v>
      </c>
      <c r="C70" s="157" t="s">
        <v>382</v>
      </c>
      <c r="D70" s="157" t="s">
        <v>540</v>
      </c>
      <c r="E70" s="157" t="s">
        <v>24</v>
      </c>
      <c r="F70" s="157" t="s">
        <v>541</v>
      </c>
      <c r="G70" s="158">
        <v>45544</v>
      </c>
      <c r="H70" s="170">
        <f t="shared" si="7"/>
        <v>45909</v>
      </c>
      <c r="I70" s="139" t="s">
        <v>455</v>
      </c>
      <c r="J70" s="34">
        <v>15</v>
      </c>
      <c r="K70" s="14">
        <v>46118</v>
      </c>
      <c r="L70" s="14">
        <f t="shared" si="8"/>
        <v>46132</v>
      </c>
      <c r="M70" s="34">
        <v>15</v>
      </c>
      <c r="N70" s="14">
        <v>46335</v>
      </c>
      <c r="O70" s="181">
        <f t="shared" si="9"/>
        <v>46349</v>
      </c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</row>
    <row r="71" spans="1:61" s="109" customFormat="1" ht="23.1" customHeight="1" thickBot="1" x14ac:dyDescent="0.3">
      <c r="A71" s="153">
        <v>11</v>
      </c>
      <c r="B71" s="157" t="s">
        <v>74</v>
      </c>
      <c r="C71" s="169" t="s">
        <v>100</v>
      </c>
      <c r="D71" s="168" t="s">
        <v>542</v>
      </c>
      <c r="E71" s="157" t="s">
        <v>24</v>
      </c>
      <c r="F71" s="157" t="s">
        <v>255</v>
      </c>
      <c r="G71" s="158">
        <v>45870</v>
      </c>
      <c r="H71" s="158">
        <f t="shared" si="7"/>
        <v>46235</v>
      </c>
      <c r="I71" s="136" t="s">
        <v>452</v>
      </c>
      <c r="J71" s="34">
        <v>30</v>
      </c>
      <c r="K71" s="14">
        <v>46113</v>
      </c>
      <c r="L71" s="14">
        <f t="shared" si="8"/>
        <v>46142</v>
      </c>
      <c r="M71" s="34"/>
      <c r="N71" s="14"/>
      <c r="O71" s="181">
        <f t="shared" si="9"/>
        <v>-1</v>
      </c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</row>
    <row r="72" spans="1:61" s="109" customFormat="1" ht="23.1" customHeight="1" thickBot="1" x14ac:dyDescent="0.3">
      <c r="A72" s="153">
        <v>12</v>
      </c>
      <c r="B72" s="157" t="s">
        <v>74</v>
      </c>
      <c r="C72" s="169" t="s">
        <v>104</v>
      </c>
      <c r="D72" s="169" t="s">
        <v>543</v>
      </c>
      <c r="E72" s="157" t="s">
        <v>24</v>
      </c>
      <c r="F72" s="157" t="s">
        <v>255</v>
      </c>
      <c r="G72" s="158">
        <v>45742</v>
      </c>
      <c r="H72" s="158">
        <f t="shared" si="7"/>
        <v>46107</v>
      </c>
      <c r="I72" s="142" t="s">
        <v>453</v>
      </c>
      <c r="J72" s="19">
        <v>30</v>
      </c>
      <c r="K72" s="20">
        <v>46023</v>
      </c>
      <c r="L72" s="14">
        <f t="shared" si="8"/>
        <v>46052</v>
      </c>
      <c r="M72" s="19"/>
      <c r="N72" s="20"/>
      <c r="O72" s="181">
        <f t="shared" si="9"/>
        <v>-1</v>
      </c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</row>
    <row r="73" spans="1:61" s="109" customFormat="1" ht="23.1" customHeight="1" thickBot="1" x14ac:dyDescent="0.3">
      <c r="A73" s="153">
        <v>13</v>
      </c>
      <c r="B73" s="157" t="s">
        <v>74</v>
      </c>
      <c r="C73" s="169" t="s">
        <v>111</v>
      </c>
      <c r="D73" s="168" t="s">
        <v>544</v>
      </c>
      <c r="E73" s="157" t="s">
        <v>24</v>
      </c>
      <c r="F73" s="157" t="s">
        <v>255</v>
      </c>
      <c r="G73" s="158">
        <v>45946</v>
      </c>
      <c r="H73" s="158">
        <f t="shared" si="7"/>
        <v>46311</v>
      </c>
      <c r="I73" s="147" t="s">
        <v>454</v>
      </c>
      <c r="J73" s="34">
        <v>30</v>
      </c>
      <c r="K73" s="14">
        <v>46069</v>
      </c>
      <c r="L73" s="14">
        <f t="shared" si="8"/>
        <v>46098</v>
      </c>
      <c r="M73" s="34"/>
      <c r="N73" s="14"/>
      <c r="O73" s="181">
        <f t="shared" si="9"/>
        <v>-1</v>
      </c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</row>
    <row r="74" spans="1:61" s="109" customFormat="1" ht="23.1" customHeight="1" thickBot="1" x14ac:dyDescent="0.3">
      <c r="A74" s="153">
        <v>14</v>
      </c>
      <c r="B74" s="157" t="s">
        <v>74</v>
      </c>
      <c r="C74" s="169" t="s">
        <v>374</v>
      </c>
      <c r="D74" s="168" t="s">
        <v>545</v>
      </c>
      <c r="E74" s="157" t="s">
        <v>24</v>
      </c>
      <c r="F74" s="157" t="s">
        <v>255</v>
      </c>
      <c r="G74" s="158">
        <v>45912</v>
      </c>
      <c r="H74" s="158">
        <f t="shared" si="7"/>
        <v>46277</v>
      </c>
      <c r="I74" s="137" t="s">
        <v>451</v>
      </c>
      <c r="J74" s="34">
        <v>30</v>
      </c>
      <c r="K74" s="14">
        <v>46083</v>
      </c>
      <c r="L74" s="14">
        <f t="shared" si="8"/>
        <v>46112</v>
      </c>
      <c r="M74" s="34"/>
      <c r="N74" s="14"/>
      <c r="O74" s="181">
        <f t="shared" si="9"/>
        <v>-1</v>
      </c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</row>
    <row r="75" spans="1:61" s="109" customFormat="1" ht="23.1" customHeight="1" thickBot="1" x14ac:dyDescent="0.3">
      <c r="A75" s="153">
        <v>15</v>
      </c>
      <c r="B75" s="157" t="s">
        <v>74</v>
      </c>
      <c r="C75" s="157" t="s">
        <v>356</v>
      </c>
      <c r="D75" s="157" t="s">
        <v>546</v>
      </c>
      <c r="E75" s="157" t="s">
        <v>24</v>
      </c>
      <c r="F75" s="157" t="s">
        <v>255</v>
      </c>
      <c r="G75" s="158">
        <v>45891</v>
      </c>
      <c r="H75" s="158">
        <f t="shared" si="7"/>
        <v>46256</v>
      </c>
      <c r="I75" s="135" t="s">
        <v>444</v>
      </c>
      <c r="J75" s="34">
        <v>15</v>
      </c>
      <c r="K75" s="14">
        <v>46251</v>
      </c>
      <c r="L75" s="14">
        <f t="shared" si="8"/>
        <v>46265</v>
      </c>
      <c r="M75" s="34">
        <v>15</v>
      </c>
      <c r="N75" s="14">
        <v>46319</v>
      </c>
      <c r="O75" s="181">
        <f t="shared" si="9"/>
        <v>46333</v>
      </c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</row>
    <row r="76" spans="1:61" s="109" customFormat="1" ht="23.1" customHeight="1" thickBot="1" x14ac:dyDescent="0.3">
      <c r="A76" s="153">
        <v>16</v>
      </c>
      <c r="B76" s="157" t="s">
        <v>74</v>
      </c>
      <c r="C76" s="157" t="s">
        <v>408</v>
      </c>
      <c r="D76" s="157" t="s">
        <v>547</v>
      </c>
      <c r="E76" s="157" t="s">
        <v>24</v>
      </c>
      <c r="F76" s="157" t="s">
        <v>255</v>
      </c>
      <c r="G76" s="158">
        <v>45784</v>
      </c>
      <c r="H76" s="158">
        <v>46149</v>
      </c>
      <c r="I76" s="148" t="s">
        <v>449</v>
      </c>
      <c r="J76" s="34">
        <v>30</v>
      </c>
      <c r="K76" s="14">
        <v>46204</v>
      </c>
      <c r="L76" s="14">
        <f t="shared" si="8"/>
        <v>46233</v>
      </c>
      <c r="M76" s="34"/>
      <c r="N76" s="14"/>
      <c r="O76" s="181">
        <f t="shared" si="9"/>
        <v>-1</v>
      </c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</row>
    <row r="77" spans="1:61" s="109" customFormat="1" ht="23.1" customHeight="1" thickBot="1" x14ac:dyDescent="0.3">
      <c r="A77" s="153">
        <v>17</v>
      </c>
      <c r="B77" s="157" t="s">
        <v>74</v>
      </c>
      <c r="C77" s="171" t="s">
        <v>372</v>
      </c>
      <c r="D77" s="171" t="s">
        <v>548</v>
      </c>
      <c r="E77" s="157" t="s">
        <v>24</v>
      </c>
      <c r="F77" s="157" t="s">
        <v>255</v>
      </c>
      <c r="G77" s="158">
        <v>45733</v>
      </c>
      <c r="H77" s="158">
        <f t="shared" ref="H77:H115" si="10">G77+365</f>
        <v>46098</v>
      </c>
      <c r="I77" s="140" t="s">
        <v>448</v>
      </c>
      <c r="J77" s="34">
        <v>15</v>
      </c>
      <c r="K77" s="14">
        <v>46098</v>
      </c>
      <c r="L77" s="14">
        <f t="shared" si="8"/>
        <v>46112</v>
      </c>
      <c r="M77" s="15">
        <v>15</v>
      </c>
      <c r="N77" s="14">
        <v>46296</v>
      </c>
      <c r="O77" s="181">
        <f t="shared" si="9"/>
        <v>46310</v>
      </c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</row>
    <row r="78" spans="1:61" s="109" customFormat="1" ht="23.1" customHeight="1" thickBot="1" x14ac:dyDescent="0.3">
      <c r="A78" s="153">
        <v>18</v>
      </c>
      <c r="B78" s="157" t="s">
        <v>74</v>
      </c>
      <c r="C78" s="169" t="s">
        <v>428</v>
      </c>
      <c r="D78" s="169" t="s">
        <v>549</v>
      </c>
      <c r="E78" s="157" t="s">
        <v>24</v>
      </c>
      <c r="F78" s="157" t="s">
        <v>434</v>
      </c>
      <c r="G78" s="158">
        <v>45888</v>
      </c>
      <c r="H78" s="158">
        <f t="shared" si="10"/>
        <v>46253</v>
      </c>
      <c r="I78" s="145" t="s">
        <v>447</v>
      </c>
      <c r="J78" s="34">
        <v>15</v>
      </c>
      <c r="K78" s="14">
        <v>46143</v>
      </c>
      <c r="L78" s="14">
        <f t="shared" si="8"/>
        <v>46157</v>
      </c>
      <c r="M78" s="34">
        <v>15</v>
      </c>
      <c r="N78" s="14">
        <v>46218</v>
      </c>
      <c r="O78" s="181">
        <f t="shared" si="9"/>
        <v>46232</v>
      </c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</row>
    <row r="79" spans="1:61" s="109" customFormat="1" ht="23.1" customHeight="1" thickBot="1" x14ac:dyDescent="0.3">
      <c r="A79" s="153">
        <v>19</v>
      </c>
      <c r="B79" s="157" t="s">
        <v>74</v>
      </c>
      <c r="C79" s="169" t="s">
        <v>127</v>
      </c>
      <c r="D79" s="169" t="s">
        <v>550</v>
      </c>
      <c r="E79" s="157" t="s">
        <v>24</v>
      </c>
      <c r="F79" s="157" t="s">
        <v>255</v>
      </c>
      <c r="G79" s="158">
        <v>45617</v>
      </c>
      <c r="H79" s="170">
        <f t="shared" si="10"/>
        <v>45982</v>
      </c>
      <c r="I79" s="148" t="s">
        <v>449</v>
      </c>
      <c r="J79" s="34">
        <v>30</v>
      </c>
      <c r="K79" s="14">
        <v>46358</v>
      </c>
      <c r="L79" s="14">
        <f t="shared" si="8"/>
        <v>46387</v>
      </c>
      <c r="M79" s="34"/>
      <c r="N79" s="14"/>
      <c r="O79" s="181">
        <f t="shared" si="9"/>
        <v>-1</v>
      </c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</row>
    <row r="80" spans="1:61" s="109" customFormat="1" ht="23.1" customHeight="1" thickBot="1" x14ac:dyDescent="0.3">
      <c r="A80" s="153">
        <v>20</v>
      </c>
      <c r="B80" s="157" t="s">
        <v>74</v>
      </c>
      <c r="C80" s="169" t="s">
        <v>368</v>
      </c>
      <c r="D80" s="169" t="s">
        <v>551</v>
      </c>
      <c r="E80" s="157" t="s">
        <v>24</v>
      </c>
      <c r="F80" s="157" t="s">
        <v>255</v>
      </c>
      <c r="G80" s="158">
        <v>45938</v>
      </c>
      <c r="H80" s="158">
        <f t="shared" si="10"/>
        <v>46303</v>
      </c>
      <c r="I80" s="135" t="s">
        <v>444</v>
      </c>
      <c r="J80" s="34">
        <v>30</v>
      </c>
      <c r="K80" s="14">
        <v>46076</v>
      </c>
      <c r="L80" s="14">
        <f t="shared" si="8"/>
        <v>46105</v>
      </c>
      <c r="M80" s="34"/>
      <c r="N80" s="14"/>
      <c r="O80" s="181">
        <f t="shared" si="9"/>
        <v>-1</v>
      </c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</row>
    <row r="81" spans="1:112" s="109" customFormat="1" ht="23.1" customHeight="1" thickBot="1" x14ac:dyDescent="0.3">
      <c r="A81" s="153">
        <v>21</v>
      </c>
      <c r="B81" s="157" t="s">
        <v>74</v>
      </c>
      <c r="C81" s="157" t="s">
        <v>318</v>
      </c>
      <c r="D81" s="157" t="s">
        <v>552</v>
      </c>
      <c r="E81" s="157" t="s">
        <v>24</v>
      </c>
      <c r="F81" s="157" t="s">
        <v>433</v>
      </c>
      <c r="G81" s="158">
        <v>45820</v>
      </c>
      <c r="H81" s="158">
        <f t="shared" si="10"/>
        <v>46185</v>
      </c>
      <c r="I81" s="138" t="s">
        <v>446</v>
      </c>
      <c r="J81" s="34">
        <v>15</v>
      </c>
      <c r="K81" s="14">
        <v>46134</v>
      </c>
      <c r="L81" s="14">
        <f t="shared" si="8"/>
        <v>46148</v>
      </c>
      <c r="M81" s="34">
        <v>15</v>
      </c>
      <c r="N81" s="14">
        <v>46329</v>
      </c>
      <c r="O81" s="181">
        <f t="shared" si="9"/>
        <v>46343</v>
      </c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</row>
    <row r="82" spans="1:112" s="109" customFormat="1" ht="23.1" customHeight="1" thickBot="1" x14ac:dyDescent="0.3">
      <c r="A82" s="153">
        <v>22</v>
      </c>
      <c r="B82" s="157" t="s">
        <v>74</v>
      </c>
      <c r="C82" s="157" t="s">
        <v>151</v>
      </c>
      <c r="D82" s="157" t="s">
        <v>553</v>
      </c>
      <c r="E82" s="157" t="s">
        <v>24</v>
      </c>
      <c r="F82" s="157" t="s">
        <v>255</v>
      </c>
      <c r="G82" s="158">
        <v>45775</v>
      </c>
      <c r="H82" s="158">
        <f t="shared" si="10"/>
        <v>46140</v>
      </c>
      <c r="I82" s="136" t="s">
        <v>452</v>
      </c>
      <c r="J82" s="34">
        <v>30</v>
      </c>
      <c r="K82" s="14">
        <v>46113</v>
      </c>
      <c r="L82" s="14">
        <f t="shared" si="8"/>
        <v>46142</v>
      </c>
      <c r="M82" s="36"/>
      <c r="N82" s="14"/>
      <c r="O82" s="181">
        <f t="shared" si="9"/>
        <v>-1</v>
      </c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</row>
    <row r="83" spans="1:112" s="109" customFormat="1" ht="23.1" customHeight="1" thickBot="1" x14ac:dyDescent="0.3">
      <c r="A83" s="153">
        <v>23</v>
      </c>
      <c r="B83" s="157" t="s">
        <v>147</v>
      </c>
      <c r="C83" s="169" t="s">
        <v>154</v>
      </c>
      <c r="D83" s="169" t="s">
        <v>554</v>
      </c>
      <c r="E83" s="157" t="s">
        <v>24</v>
      </c>
      <c r="F83" s="157" t="s">
        <v>255</v>
      </c>
      <c r="G83" s="158">
        <v>45617</v>
      </c>
      <c r="H83" s="170">
        <f t="shared" si="10"/>
        <v>45982</v>
      </c>
      <c r="I83" s="138" t="s">
        <v>446</v>
      </c>
      <c r="J83" s="34">
        <v>30</v>
      </c>
      <c r="K83" s="14">
        <v>46143</v>
      </c>
      <c r="L83" s="14">
        <f t="shared" si="8"/>
        <v>46172</v>
      </c>
      <c r="M83" s="34"/>
      <c r="N83" s="14"/>
      <c r="O83" s="181">
        <f t="shared" si="9"/>
        <v>-1</v>
      </c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</row>
    <row r="84" spans="1:112" s="109" customFormat="1" ht="23.1" customHeight="1" thickBot="1" x14ac:dyDescent="0.3">
      <c r="A84" s="153">
        <v>24</v>
      </c>
      <c r="B84" s="161" t="s">
        <v>147</v>
      </c>
      <c r="C84" s="161" t="s">
        <v>369</v>
      </c>
      <c r="D84" s="161" t="s">
        <v>555</v>
      </c>
      <c r="E84" s="161" t="s">
        <v>24</v>
      </c>
      <c r="F84" s="161" t="s">
        <v>456</v>
      </c>
      <c r="G84" s="164">
        <v>45958</v>
      </c>
      <c r="H84" s="164">
        <f t="shared" si="10"/>
        <v>46323</v>
      </c>
      <c r="I84" s="150" t="s">
        <v>454</v>
      </c>
      <c r="J84" s="102">
        <v>15</v>
      </c>
      <c r="K84" s="103">
        <v>46104</v>
      </c>
      <c r="L84" s="103">
        <f t="shared" si="8"/>
        <v>46118</v>
      </c>
      <c r="M84" s="102">
        <v>15</v>
      </c>
      <c r="N84" s="103">
        <v>46237</v>
      </c>
      <c r="O84" s="182">
        <f t="shared" si="9"/>
        <v>46251</v>
      </c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</row>
    <row r="85" spans="1:112" s="109" customFormat="1" ht="23.1" customHeight="1" thickBot="1" x14ac:dyDescent="0.25">
      <c r="A85" s="106">
        <v>1</v>
      </c>
      <c r="B85" s="81" t="s">
        <v>46</v>
      </c>
      <c r="C85" s="80" t="s">
        <v>312</v>
      </c>
      <c r="D85" s="114" t="s">
        <v>556</v>
      </c>
      <c r="E85" s="80" t="s">
        <v>288</v>
      </c>
      <c r="F85" s="81" t="s">
        <v>261</v>
      </c>
      <c r="G85" s="107">
        <v>45923</v>
      </c>
      <c r="H85" s="82">
        <f t="shared" si="10"/>
        <v>46288</v>
      </c>
      <c r="I85" s="133" t="s">
        <v>441</v>
      </c>
      <c r="J85" s="98">
        <v>30</v>
      </c>
      <c r="K85" s="100">
        <v>46192</v>
      </c>
      <c r="L85" s="100">
        <f t="shared" si="8"/>
        <v>46221</v>
      </c>
      <c r="M85" s="98"/>
      <c r="N85" s="100"/>
      <c r="O85" s="180">
        <f t="shared" si="9"/>
        <v>-1</v>
      </c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</row>
    <row r="86" spans="1:112" s="109" customFormat="1" ht="23.1" customHeight="1" thickBot="1" x14ac:dyDescent="0.25">
      <c r="A86" s="106">
        <v>2</v>
      </c>
      <c r="B86" s="83" t="s">
        <v>55</v>
      </c>
      <c r="C86" s="86" t="s">
        <v>72</v>
      </c>
      <c r="D86" s="94" t="s">
        <v>557</v>
      </c>
      <c r="E86" s="83" t="s">
        <v>288</v>
      </c>
      <c r="F86" s="84" t="s">
        <v>261</v>
      </c>
      <c r="G86" s="110">
        <v>45972</v>
      </c>
      <c r="H86" s="85">
        <f t="shared" si="10"/>
        <v>46337</v>
      </c>
      <c r="I86" s="134" t="s">
        <v>439</v>
      </c>
      <c r="J86" s="34">
        <v>30</v>
      </c>
      <c r="K86" s="14">
        <v>46219</v>
      </c>
      <c r="L86" s="14">
        <f t="shared" si="8"/>
        <v>46248</v>
      </c>
      <c r="M86" s="34"/>
      <c r="N86" s="14"/>
      <c r="O86" s="181">
        <f t="shared" si="9"/>
        <v>-1</v>
      </c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</row>
    <row r="87" spans="1:112" s="109" customFormat="1" ht="23.1" customHeight="1" thickBot="1" x14ac:dyDescent="0.25">
      <c r="A87" s="106">
        <v>3</v>
      </c>
      <c r="B87" s="84" t="s">
        <v>63</v>
      </c>
      <c r="C87" s="83" t="s">
        <v>343</v>
      </c>
      <c r="D87" s="83" t="s">
        <v>558</v>
      </c>
      <c r="E87" s="84" t="s">
        <v>288</v>
      </c>
      <c r="F87" s="84" t="s">
        <v>261</v>
      </c>
      <c r="G87" s="110">
        <v>45678</v>
      </c>
      <c r="H87" s="85">
        <f t="shared" si="10"/>
        <v>46043</v>
      </c>
      <c r="I87" s="134" t="s">
        <v>440</v>
      </c>
      <c r="J87" s="34">
        <v>30</v>
      </c>
      <c r="K87" s="20">
        <v>46358</v>
      </c>
      <c r="L87" s="14">
        <f t="shared" si="8"/>
        <v>46387</v>
      </c>
      <c r="M87" s="19"/>
      <c r="N87" s="20"/>
      <c r="O87" s="181">
        <f t="shared" si="9"/>
        <v>-1</v>
      </c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</row>
    <row r="88" spans="1:112" s="109" customFormat="1" ht="23.1" customHeight="1" thickBot="1" x14ac:dyDescent="0.3">
      <c r="A88" s="106">
        <v>4</v>
      </c>
      <c r="B88" s="84" t="s">
        <v>74</v>
      </c>
      <c r="C88" s="83" t="s">
        <v>86</v>
      </c>
      <c r="D88" s="83" t="s">
        <v>559</v>
      </c>
      <c r="E88" s="84" t="s">
        <v>288</v>
      </c>
      <c r="F88" s="84" t="s">
        <v>261</v>
      </c>
      <c r="G88" s="110">
        <v>45428</v>
      </c>
      <c r="H88" s="91">
        <f t="shared" si="10"/>
        <v>45793</v>
      </c>
      <c r="I88" s="135" t="s">
        <v>444</v>
      </c>
      <c r="J88" s="34">
        <v>30</v>
      </c>
      <c r="K88" s="20">
        <v>46327</v>
      </c>
      <c r="L88" s="14">
        <f t="shared" si="8"/>
        <v>46356</v>
      </c>
      <c r="M88" s="19"/>
      <c r="N88" s="20"/>
      <c r="O88" s="181">
        <f t="shared" si="9"/>
        <v>-1</v>
      </c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</row>
    <row r="89" spans="1:112" s="109" customFormat="1" ht="23.1" customHeight="1" thickBot="1" x14ac:dyDescent="0.3">
      <c r="A89" s="106">
        <v>5</v>
      </c>
      <c r="B89" s="84" t="s">
        <v>74</v>
      </c>
      <c r="C89" s="83" t="s">
        <v>88</v>
      </c>
      <c r="D89" s="83" t="s">
        <v>560</v>
      </c>
      <c r="E89" s="84" t="s">
        <v>288</v>
      </c>
      <c r="F89" s="84" t="s">
        <v>261</v>
      </c>
      <c r="G89" s="85">
        <v>45944</v>
      </c>
      <c r="H89" s="85">
        <f t="shared" si="10"/>
        <v>46309</v>
      </c>
      <c r="I89" s="142" t="s">
        <v>453</v>
      </c>
      <c r="J89" s="34">
        <v>30</v>
      </c>
      <c r="K89" s="14">
        <v>46083</v>
      </c>
      <c r="L89" s="14">
        <f t="shared" si="8"/>
        <v>46112</v>
      </c>
      <c r="M89" s="34"/>
      <c r="N89" s="14"/>
      <c r="O89" s="181">
        <f t="shared" si="9"/>
        <v>-1</v>
      </c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</row>
    <row r="90" spans="1:112" s="109" customFormat="1" ht="23.1" customHeight="1" thickBot="1" x14ac:dyDescent="0.3">
      <c r="A90" s="106">
        <v>6</v>
      </c>
      <c r="B90" s="84" t="s">
        <v>74</v>
      </c>
      <c r="C90" s="83" t="s">
        <v>228</v>
      </c>
      <c r="D90" s="83" t="s">
        <v>561</v>
      </c>
      <c r="E90" s="83" t="s">
        <v>288</v>
      </c>
      <c r="F90" s="84" t="s">
        <v>261</v>
      </c>
      <c r="G90" s="110">
        <v>45790</v>
      </c>
      <c r="H90" s="85">
        <f t="shared" si="10"/>
        <v>46155</v>
      </c>
      <c r="I90" s="138" t="s">
        <v>446</v>
      </c>
      <c r="J90" s="34">
        <v>30</v>
      </c>
      <c r="K90" s="14">
        <v>46204</v>
      </c>
      <c r="L90" s="14">
        <f t="shared" si="8"/>
        <v>46233</v>
      </c>
      <c r="M90" s="34"/>
      <c r="N90" s="14"/>
      <c r="O90" s="181">
        <f t="shared" si="9"/>
        <v>-1</v>
      </c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</row>
    <row r="91" spans="1:112" s="109" customFormat="1" ht="23.1" customHeight="1" thickBot="1" x14ac:dyDescent="0.3">
      <c r="A91" s="106">
        <v>7</v>
      </c>
      <c r="B91" s="84" t="s">
        <v>74</v>
      </c>
      <c r="C91" s="94" t="s">
        <v>103</v>
      </c>
      <c r="D91" s="119" t="s">
        <v>562</v>
      </c>
      <c r="E91" s="84" t="s">
        <v>288</v>
      </c>
      <c r="F91" s="84" t="s">
        <v>261</v>
      </c>
      <c r="G91" s="110">
        <v>46036</v>
      </c>
      <c r="H91" s="85">
        <f t="shared" si="10"/>
        <v>46401</v>
      </c>
      <c r="I91" s="148" t="s">
        <v>449</v>
      </c>
      <c r="J91" s="34">
        <v>15</v>
      </c>
      <c r="K91" s="14">
        <v>46113</v>
      </c>
      <c r="L91" s="14">
        <f t="shared" si="8"/>
        <v>46127</v>
      </c>
      <c r="M91" s="34">
        <v>15</v>
      </c>
      <c r="N91" s="14">
        <v>46235</v>
      </c>
      <c r="O91" s="181">
        <f t="shared" si="9"/>
        <v>46249</v>
      </c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</row>
    <row r="92" spans="1:112" s="109" customFormat="1" ht="23.1" customHeight="1" thickBot="1" x14ac:dyDescent="0.3">
      <c r="A92" s="106">
        <v>8</v>
      </c>
      <c r="B92" s="84" t="s">
        <v>74</v>
      </c>
      <c r="C92" s="83" t="s">
        <v>229</v>
      </c>
      <c r="D92" s="83" t="s">
        <v>563</v>
      </c>
      <c r="E92" s="84" t="s">
        <v>288</v>
      </c>
      <c r="F92" s="84" t="s">
        <v>261</v>
      </c>
      <c r="G92" s="110">
        <v>45343</v>
      </c>
      <c r="H92" s="91">
        <f t="shared" si="10"/>
        <v>45708</v>
      </c>
      <c r="I92" s="145" t="s">
        <v>447</v>
      </c>
      <c r="J92" s="34">
        <v>15</v>
      </c>
      <c r="K92" s="14">
        <v>46241</v>
      </c>
      <c r="L92" s="14">
        <f t="shared" si="8"/>
        <v>46255</v>
      </c>
      <c r="M92" s="34">
        <v>15</v>
      </c>
      <c r="N92" s="14">
        <v>46357</v>
      </c>
      <c r="O92" s="181">
        <f t="shared" si="9"/>
        <v>46371</v>
      </c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</row>
    <row r="93" spans="1:112" s="109" customFormat="1" ht="23.1" customHeight="1" thickBot="1" x14ac:dyDescent="0.3">
      <c r="A93" s="106">
        <v>9</v>
      </c>
      <c r="B93" s="84" t="s">
        <v>74</v>
      </c>
      <c r="C93" s="94" t="s">
        <v>125</v>
      </c>
      <c r="D93" s="94" t="s">
        <v>564</v>
      </c>
      <c r="E93" s="83" t="s">
        <v>288</v>
      </c>
      <c r="F93" s="84" t="s">
        <v>261</v>
      </c>
      <c r="G93" s="110">
        <v>45918</v>
      </c>
      <c r="H93" s="85">
        <f t="shared" si="10"/>
        <v>46283</v>
      </c>
      <c r="I93" s="140" t="s">
        <v>448</v>
      </c>
      <c r="J93" s="34">
        <v>30</v>
      </c>
      <c r="K93" s="14">
        <v>46023</v>
      </c>
      <c r="L93" s="14">
        <f t="shared" si="8"/>
        <v>46052</v>
      </c>
      <c r="M93" s="34"/>
      <c r="N93" s="14"/>
      <c r="O93" s="181">
        <f t="shared" si="9"/>
        <v>-1</v>
      </c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93"/>
      <c r="BK93" s="93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  <c r="BW93" s="93"/>
      <c r="BX93" s="93"/>
      <c r="BY93" s="93"/>
      <c r="BZ93" s="93"/>
      <c r="CA93" s="93"/>
      <c r="CB93" s="93"/>
      <c r="CC93" s="93"/>
      <c r="CD93" s="93"/>
      <c r="CE93" s="93"/>
      <c r="CF93" s="93"/>
      <c r="CG93" s="93"/>
      <c r="CH93" s="93"/>
      <c r="CI93" s="93"/>
      <c r="CJ93" s="93"/>
      <c r="CK93" s="93"/>
      <c r="CL93" s="93"/>
      <c r="CM93" s="93"/>
      <c r="CN93" s="93"/>
      <c r="CO93" s="93"/>
      <c r="CP93" s="93"/>
      <c r="CQ93" s="93"/>
      <c r="CR93" s="93"/>
      <c r="CS93" s="93"/>
      <c r="CT93" s="93"/>
      <c r="CU93" s="93"/>
      <c r="CV93" s="93"/>
      <c r="CW93" s="93"/>
      <c r="CX93" s="93"/>
      <c r="CY93" s="93"/>
      <c r="CZ93" s="93"/>
      <c r="DA93" s="93"/>
      <c r="DB93" s="93"/>
      <c r="DC93" s="93"/>
      <c r="DD93" s="93"/>
      <c r="DE93" s="93"/>
      <c r="DF93" s="93"/>
      <c r="DG93" s="93"/>
      <c r="DH93" s="93"/>
    </row>
    <row r="94" spans="1:112" s="109" customFormat="1" ht="23.1" customHeight="1" thickBot="1" x14ac:dyDescent="0.3">
      <c r="A94" s="106">
        <v>10</v>
      </c>
      <c r="B94" s="89" t="s">
        <v>147</v>
      </c>
      <c r="C94" s="87" t="s">
        <v>149</v>
      </c>
      <c r="D94" s="87" t="s">
        <v>565</v>
      </c>
      <c r="E94" s="87" t="s">
        <v>288</v>
      </c>
      <c r="F94" s="87" t="s">
        <v>261</v>
      </c>
      <c r="G94" s="88">
        <v>45812</v>
      </c>
      <c r="H94" s="88">
        <f t="shared" si="10"/>
        <v>46177</v>
      </c>
      <c r="I94" s="151" t="s">
        <v>450</v>
      </c>
      <c r="J94" s="102">
        <v>30</v>
      </c>
      <c r="K94" s="103">
        <v>46266</v>
      </c>
      <c r="L94" s="103">
        <f t="shared" si="8"/>
        <v>46295</v>
      </c>
      <c r="M94" s="102"/>
      <c r="N94" s="103"/>
      <c r="O94" s="182">
        <f t="shared" si="9"/>
        <v>-1</v>
      </c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</row>
    <row r="95" spans="1:112" s="109" customFormat="1" ht="23.1" customHeight="1" thickBot="1" x14ac:dyDescent="0.25">
      <c r="A95" s="153">
        <v>1</v>
      </c>
      <c r="B95" s="154" t="s">
        <v>55</v>
      </c>
      <c r="C95" s="154" t="s">
        <v>59</v>
      </c>
      <c r="D95" s="165" t="s">
        <v>566</v>
      </c>
      <c r="E95" s="154" t="s">
        <v>31</v>
      </c>
      <c r="F95" s="154" t="s">
        <v>462</v>
      </c>
      <c r="G95" s="155">
        <v>45909</v>
      </c>
      <c r="H95" s="155">
        <f t="shared" si="10"/>
        <v>46274</v>
      </c>
      <c r="I95" s="133" t="s">
        <v>441</v>
      </c>
      <c r="J95" s="98">
        <v>30</v>
      </c>
      <c r="K95" s="100">
        <v>46216</v>
      </c>
      <c r="L95" s="100">
        <f t="shared" si="8"/>
        <v>46245</v>
      </c>
      <c r="M95" s="98"/>
      <c r="N95" s="100"/>
      <c r="O95" s="180">
        <f t="shared" si="9"/>
        <v>-1</v>
      </c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</row>
    <row r="96" spans="1:112" s="109" customFormat="1" ht="23.1" customHeight="1" thickBot="1" x14ac:dyDescent="0.25">
      <c r="A96" s="153">
        <v>2</v>
      </c>
      <c r="B96" s="157" t="s">
        <v>55</v>
      </c>
      <c r="C96" s="168" t="s">
        <v>70</v>
      </c>
      <c r="D96" s="169" t="s">
        <v>567</v>
      </c>
      <c r="E96" s="157" t="s">
        <v>31</v>
      </c>
      <c r="F96" s="157" t="s">
        <v>461</v>
      </c>
      <c r="G96" s="158">
        <v>45876</v>
      </c>
      <c r="H96" s="158">
        <f t="shared" si="10"/>
        <v>46241</v>
      </c>
      <c r="I96" s="134" t="s">
        <v>438</v>
      </c>
      <c r="J96" s="34">
        <v>15</v>
      </c>
      <c r="K96" s="14">
        <v>46027</v>
      </c>
      <c r="L96" s="14">
        <f t="shared" si="8"/>
        <v>46041</v>
      </c>
      <c r="M96" s="34">
        <v>15</v>
      </c>
      <c r="N96" s="14">
        <v>46216</v>
      </c>
      <c r="O96" s="181">
        <f t="shared" si="9"/>
        <v>46230</v>
      </c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</row>
    <row r="97" spans="1:683" s="109" customFormat="1" ht="23.1" customHeight="1" thickBot="1" x14ac:dyDescent="0.25">
      <c r="A97" s="153">
        <v>3</v>
      </c>
      <c r="B97" s="157" t="s">
        <v>55</v>
      </c>
      <c r="C97" s="157" t="s">
        <v>349</v>
      </c>
      <c r="D97" s="157" t="s">
        <v>568</v>
      </c>
      <c r="E97" s="157" t="s">
        <v>31</v>
      </c>
      <c r="F97" s="157" t="s">
        <v>260</v>
      </c>
      <c r="G97" s="158">
        <v>45876</v>
      </c>
      <c r="H97" s="158">
        <f t="shared" si="10"/>
        <v>46241</v>
      </c>
      <c r="I97" s="134" t="s">
        <v>439</v>
      </c>
      <c r="J97" s="19">
        <v>15</v>
      </c>
      <c r="K97" s="14">
        <v>46027</v>
      </c>
      <c r="L97" s="14">
        <f t="shared" si="8"/>
        <v>46041</v>
      </c>
      <c r="M97" s="19">
        <v>15</v>
      </c>
      <c r="N97" s="20">
        <v>46196</v>
      </c>
      <c r="O97" s="181">
        <f t="shared" si="9"/>
        <v>46210</v>
      </c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</row>
    <row r="98" spans="1:683" s="109" customFormat="1" ht="23.1" customHeight="1" thickBot="1" x14ac:dyDescent="0.25">
      <c r="A98" s="153">
        <v>4</v>
      </c>
      <c r="B98" s="157" t="s">
        <v>55</v>
      </c>
      <c r="C98" s="157" t="s">
        <v>351</v>
      </c>
      <c r="D98" s="157" t="s">
        <v>569</v>
      </c>
      <c r="E98" s="157" t="s">
        <v>31</v>
      </c>
      <c r="F98" s="157" t="s">
        <v>462</v>
      </c>
      <c r="G98" s="158">
        <v>45821</v>
      </c>
      <c r="H98" s="158">
        <f t="shared" si="10"/>
        <v>46186</v>
      </c>
      <c r="I98" s="134" t="s">
        <v>438</v>
      </c>
      <c r="J98" s="34">
        <v>15</v>
      </c>
      <c r="K98" s="14">
        <v>46281</v>
      </c>
      <c r="L98" s="14">
        <f t="shared" ref="L98:L129" si="11">J98-1+K98</f>
        <v>46295</v>
      </c>
      <c r="M98" s="34">
        <v>15</v>
      </c>
      <c r="N98" s="14">
        <v>46357</v>
      </c>
      <c r="O98" s="181">
        <f t="shared" ref="O98:O129" si="12">M98-1+N98</f>
        <v>46371</v>
      </c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</row>
    <row r="99" spans="1:683" s="109" customFormat="1" ht="23.1" customHeight="1" thickBot="1" x14ac:dyDescent="0.3">
      <c r="A99" s="153">
        <v>5</v>
      </c>
      <c r="B99" s="157" t="s">
        <v>74</v>
      </c>
      <c r="C99" s="169" t="s">
        <v>390</v>
      </c>
      <c r="D99" s="169" t="s">
        <v>570</v>
      </c>
      <c r="E99" s="157" t="s">
        <v>31</v>
      </c>
      <c r="F99" s="157" t="s">
        <v>260</v>
      </c>
      <c r="G99" s="158">
        <v>45722</v>
      </c>
      <c r="H99" s="158">
        <f t="shared" si="10"/>
        <v>46087</v>
      </c>
      <c r="I99" s="140" t="s">
        <v>448</v>
      </c>
      <c r="J99" s="34">
        <v>15</v>
      </c>
      <c r="K99" s="20">
        <v>46041</v>
      </c>
      <c r="L99" s="14">
        <f t="shared" si="11"/>
        <v>46055</v>
      </c>
      <c r="M99" s="19">
        <v>15</v>
      </c>
      <c r="N99" s="20">
        <v>46205</v>
      </c>
      <c r="O99" s="181">
        <f t="shared" si="12"/>
        <v>46219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</row>
    <row r="100" spans="1:683" s="109" customFormat="1" ht="23.1" customHeight="1" thickBot="1" x14ac:dyDescent="0.3">
      <c r="A100" s="153">
        <v>6</v>
      </c>
      <c r="B100" s="157" t="s">
        <v>74</v>
      </c>
      <c r="C100" s="169" t="s">
        <v>89</v>
      </c>
      <c r="D100" s="169" t="s">
        <v>571</v>
      </c>
      <c r="E100" s="157" t="s">
        <v>31</v>
      </c>
      <c r="F100" s="157" t="s">
        <v>464</v>
      </c>
      <c r="G100" s="158">
        <v>45826</v>
      </c>
      <c r="H100" s="158">
        <f t="shared" si="10"/>
        <v>46191</v>
      </c>
      <c r="I100" s="148" t="s">
        <v>449</v>
      </c>
      <c r="J100" s="34">
        <v>30</v>
      </c>
      <c r="K100" s="14">
        <v>46244</v>
      </c>
      <c r="L100" s="14">
        <f t="shared" si="11"/>
        <v>46273</v>
      </c>
      <c r="M100" s="34"/>
      <c r="N100" s="14"/>
      <c r="O100" s="181">
        <f t="shared" si="12"/>
        <v>-1</v>
      </c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</row>
    <row r="101" spans="1:683" s="109" customFormat="1" ht="23.1" customHeight="1" thickBot="1" x14ac:dyDescent="0.3">
      <c r="A101" s="153">
        <v>7</v>
      </c>
      <c r="B101" s="157" t="s">
        <v>74</v>
      </c>
      <c r="C101" s="169" t="s">
        <v>90</v>
      </c>
      <c r="D101" s="169" t="s">
        <v>572</v>
      </c>
      <c r="E101" s="157" t="s">
        <v>31</v>
      </c>
      <c r="F101" s="157" t="s">
        <v>464</v>
      </c>
      <c r="G101" s="158">
        <v>45736</v>
      </c>
      <c r="H101" s="158">
        <f t="shared" si="10"/>
        <v>46101</v>
      </c>
      <c r="I101" s="145" t="s">
        <v>447</v>
      </c>
      <c r="J101" s="34">
        <v>30</v>
      </c>
      <c r="K101" s="14">
        <v>46342</v>
      </c>
      <c r="L101" s="14">
        <f t="shared" si="11"/>
        <v>46371</v>
      </c>
      <c r="M101" s="34"/>
      <c r="N101" s="14"/>
      <c r="O101" s="181">
        <f t="shared" si="12"/>
        <v>-1</v>
      </c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</row>
    <row r="102" spans="1:683" s="109" customFormat="1" ht="23.1" customHeight="1" thickBot="1" x14ac:dyDescent="0.3">
      <c r="A102" s="153">
        <v>8</v>
      </c>
      <c r="B102" s="157" t="s">
        <v>74</v>
      </c>
      <c r="C102" s="169" t="s">
        <v>91</v>
      </c>
      <c r="D102" s="169" t="s">
        <v>573</v>
      </c>
      <c r="E102" s="157" t="s">
        <v>31</v>
      </c>
      <c r="F102" s="157" t="s">
        <v>461</v>
      </c>
      <c r="G102" s="158">
        <v>45777</v>
      </c>
      <c r="H102" s="158">
        <f t="shared" si="10"/>
        <v>46142</v>
      </c>
      <c r="I102" s="135" t="s">
        <v>444</v>
      </c>
      <c r="J102" s="34">
        <v>30</v>
      </c>
      <c r="K102" s="14">
        <v>46080</v>
      </c>
      <c r="L102" s="14">
        <f t="shared" si="11"/>
        <v>46109</v>
      </c>
      <c r="M102" s="34"/>
      <c r="N102" s="14"/>
      <c r="O102" s="181">
        <f t="shared" si="12"/>
        <v>-1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</row>
    <row r="103" spans="1:683" s="109" customFormat="1" ht="23.1" customHeight="1" thickBot="1" x14ac:dyDescent="0.3">
      <c r="A103" s="153">
        <v>9</v>
      </c>
      <c r="B103" s="157" t="s">
        <v>74</v>
      </c>
      <c r="C103" s="157" t="s">
        <v>92</v>
      </c>
      <c r="D103" s="157" t="s">
        <v>574</v>
      </c>
      <c r="E103" s="157" t="s">
        <v>31</v>
      </c>
      <c r="F103" s="157" t="s">
        <v>461</v>
      </c>
      <c r="G103" s="158">
        <v>45698</v>
      </c>
      <c r="H103" s="158">
        <f t="shared" si="10"/>
        <v>46063</v>
      </c>
      <c r="I103" s="135" t="s">
        <v>445</v>
      </c>
      <c r="J103" s="34">
        <v>30</v>
      </c>
      <c r="K103" s="14">
        <v>46192</v>
      </c>
      <c r="L103" s="14">
        <f t="shared" si="11"/>
        <v>46221</v>
      </c>
      <c r="M103" s="34"/>
      <c r="N103" s="14"/>
      <c r="O103" s="181">
        <f t="shared" si="12"/>
        <v>-1</v>
      </c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</row>
    <row r="104" spans="1:683" s="109" customFormat="1" ht="23.1" customHeight="1" thickBot="1" x14ac:dyDescent="0.3">
      <c r="A104" s="153">
        <v>10</v>
      </c>
      <c r="B104" s="157" t="s">
        <v>74</v>
      </c>
      <c r="C104" s="157" t="s">
        <v>102</v>
      </c>
      <c r="D104" s="157" t="s">
        <v>575</v>
      </c>
      <c r="E104" s="157" t="s">
        <v>31</v>
      </c>
      <c r="F104" s="157" t="s">
        <v>465</v>
      </c>
      <c r="G104" s="158">
        <v>45923</v>
      </c>
      <c r="H104" s="158">
        <f t="shared" si="10"/>
        <v>46288</v>
      </c>
      <c r="I104" s="135" t="s">
        <v>445</v>
      </c>
      <c r="J104" s="34">
        <v>30</v>
      </c>
      <c r="K104" s="14">
        <v>46076</v>
      </c>
      <c r="L104" s="14">
        <f t="shared" si="11"/>
        <v>46105</v>
      </c>
      <c r="M104" s="34"/>
      <c r="N104" s="14"/>
      <c r="O104" s="181">
        <f t="shared" si="12"/>
        <v>-1</v>
      </c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93"/>
      <c r="BK104" s="93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3"/>
      <c r="CE104" s="93"/>
      <c r="CF104" s="93"/>
      <c r="CG104" s="93"/>
      <c r="CH104" s="93"/>
      <c r="CI104" s="93"/>
      <c r="CJ104" s="93"/>
      <c r="CK104" s="93"/>
      <c r="CL104" s="93"/>
      <c r="CM104" s="93"/>
      <c r="CN104" s="93"/>
      <c r="CO104" s="93"/>
      <c r="CP104" s="93"/>
      <c r="CQ104" s="93"/>
      <c r="CR104" s="93"/>
      <c r="CS104" s="93"/>
      <c r="CT104" s="93"/>
      <c r="CU104" s="93"/>
      <c r="CV104" s="93"/>
      <c r="CW104" s="93"/>
      <c r="CX104" s="93"/>
      <c r="CY104" s="93"/>
      <c r="CZ104" s="93"/>
      <c r="DA104" s="93"/>
      <c r="DB104" s="93"/>
      <c r="DC104" s="93"/>
      <c r="DD104" s="93"/>
      <c r="DE104" s="93"/>
      <c r="DF104" s="93"/>
      <c r="DG104" s="93"/>
      <c r="DH104" s="93"/>
    </row>
    <row r="105" spans="1:683" s="83" customFormat="1" ht="23.1" customHeight="1" thickBot="1" x14ac:dyDescent="0.3">
      <c r="A105" s="153">
        <v>11</v>
      </c>
      <c r="B105" s="157" t="s">
        <v>74</v>
      </c>
      <c r="C105" s="157" t="s">
        <v>337</v>
      </c>
      <c r="D105" s="157" t="s">
        <v>576</v>
      </c>
      <c r="E105" s="157" t="s">
        <v>31</v>
      </c>
      <c r="F105" s="157" t="s">
        <v>463</v>
      </c>
      <c r="G105" s="158">
        <v>45988</v>
      </c>
      <c r="H105" s="158">
        <f t="shared" si="10"/>
        <v>46353</v>
      </c>
      <c r="I105" s="147" t="s">
        <v>454</v>
      </c>
      <c r="J105" s="34">
        <v>30</v>
      </c>
      <c r="K105" s="14">
        <v>46027</v>
      </c>
      <c r="L105" s="14">
        <f t="shared" si="11"/>
        <v>46056</v>
      </c>
      <c r="M105" s="34"/>
      <c r="N105" s="14"/>
      <c r="O105" s="181">
        <f t="shared" si="12"/>
        <v>-1</v>
      </c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127"/>
    </row>
    <row r="106" spans="1:683" s="109" customFormat="1" ht="23.1" customHeight="1" thickBot="1" x14ac:dyDescent="0.3">
      <c r="A106" s="153">
        <v>12</v>
      </c>
      <c r="B106" s="157" t="s">
        <v>74</v>
      </c>
      <c r="C106" s="157" t="s">
        <v>377</v>
      </c>
      <c r="D106" s="157" t="s">
        <v>577</v>
      </c>
      <c r="E106" s="157" t="s">
        <v>31</v>
      </c>
      <c r="F106" s="157" t="s">
        <v>541</v>
      </c>
      <c r="G106" s="158">
        <v>45882</v>
      </c>
      <c r="H106" s="158">
        <f t="shared" si="10"/>
        <v>46247</v>
      </c>
      <c r="I106" s="136" t="s">
        <v>452</v>
      </c>
      <c r="J106" s="34">
        <v>15</v>
      </c>
      <c r="K106" s="14">
        <v>46118</v>
      </c>
      <c r="L106" s="14">
        <f t="shared" si="11"/>
        <v>46132</v>
      </c>
      <c r="M106" s="34">
        <v>15</v>
      </c>
      <c r="N106" s="14">
        <v>46335</v>
      </c>
      <c r="O106" s="181">
        <f t="shared" si="12"/>
        <v>46349</v>
      </c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</row>
    <row r="107" spans="1:683" s="109" customFormat="1" ht="23.1" customHeight="1" thickBot="1" x14ac:dyDescent="0.3">
      <c r="A107" s="153">
        <v>13</v>
      </c>
      <c r="B107" s="157" t="s">
        <v>74</v>
      </c>
      <c r="C107" s="157" t="s">
        <v>109</v>
      </c>
      <c r="D107" s="157" t="s">
        <v>578</v>
      </c>
      <c r="E107" s="157" t="s">
        <v>31</v>
      </c>
      <c r="F107" s="157" t="s">
        <v>462</v>
      </c>
      <c r="G107" s="158">
        <v>45848</v>
      </c>
      <c r="H107" s="158">
        <f t="shared" si="10"/>
        <v>46213</v>
      </c>
      <c r="I107" s="145" t="s">
        <v>447</v>
      </c>
      <c r="J107" s="34">
        <v>30</v>
      </c>
      <c r="K107" s="14">
        <v>46266</v>
      </c>
      <c r="L107" s="14">
        <f t="shared" si="11"/>
        <v>46295</v>
      </c>
      <c r="M107" s="34"/>
      <c r="N107" s="14"/>
      <c r="O107" s="181">
        <f t="shared" si="12"/>
        <v>-1</v>
      </c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</row>
    <row r="108" spans="1:683" s="109" customFormat="1" ht="23.1" customHeight="1" thickBot="1" x14ac:dyDescent="0.3">
      <c r="A108" s="153">
        <v>14</v>
      </c>
      <c r="B108" s="157" t="s">
        <v>74</v>
      </c>
      <c r="C108" s="157" t="s">
        <v>309</v>
      </c>
      <c r="D108" s="157" t="s">
        <v>579</v>
      </c>
      <c r="E108" s="157" t="s">
        <v>31</v>
      </c>
      <c r="F108" s="157" t="s">
        <v>465</v>
      </c>
      <c r="G108" s="158">
        <v>45678</v>
      </c>
      <c r="H108" s="158">
        <f t="shared" si="10"/>
        <v>46043</v>
      </c>
      <c r="I108" s="135" t="s">
        <v>445</v>
      </c>
      <c r="J108" s="34">
        <v>30</v>
      </c>
      <c r="K108" s="14">
        <v>46083</v>
      </c>
      <c r="L108" s="14">
        <f t="shared" si="11"/>
        <v>46112</v>
      </c>
      <c r="M108" s="34"/>
      <c r="N108" s="14"/>
      <c r="O108" s="181">
        <f t="shared" si="12"/>
        <v>-1</v>
      </c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</row>
    <row r="109" spans="1:683" s="113" customFormat="1" ht="23.1" customHeight="1" thickBot="1" x14ac:dyDescent="0.3">
      <c r="A109" s="153">
        <v>15</v>
      </c>
      <c r="B109" s="157" t="s">
        <v>74</v>
      </c>
      <c r="C109" s="157" t="s">
        <v>118</v>
      </c>
      <c r="D109" s="172" t="s">
        <v>580</v>
      </c>
      <c r="E109" s="157" t="s">
        <v>31</v>
      </c>
      <c r="F109" s="157" t="s">
        <v>467</v>
      </c>
      <c r="G109" s="158">
        <v>45965</v>
      </c>
      <c r="H109" s="158">
        <f t="shared" si="10"/>
        <v>46330</v>
      </c>
      <c r="I109" s="135" t="s">
        <v>445</v>
      </c>
      <c r="J109" s="34">
        <v>30</v>
      </c>
      <c r="K109" s="14">
        <v>46080</v>
      </c>
      <c r="L109" s="14">
        <f t="shared" si="11"/>
        <v>46109</v>
      </c>
      <c r="M109" s="34"/>
      <c r="N109" s="14"/>
      <c r="O109" s="181">
        <f t="shared" si="12"/>
        <v>-1</v>
      </c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108"/>
      <c r="DD109" s="108"/>
      <c r="DE109" s="108"/>
      <c r="DF109" s="108"/>
      <c r="DG109" s="108"/>
      <c r="DH109" s="111"/>
      <c r="DI109" s="111"/>
      <c r="DJ109" s="111"/>
      <c r="DK109" s="111"/>
      <c r="DL109" s="111"/>
      <c r="DM109" s="111"/>
      <c r="DN109" s="111"/>
      <c r="DO109" s="111"/>
      <c r="DP109" s="111"/>
      <c r="DQ109" s="111"/>
      <c r="DR109" s="111"/>
      <c r="DS109" s="111"/>
      <c r="DT109" s="111"/>
      <c r="DU109" s="111"/>
      <c r="DV109" s="111"/>
      <c r="DW109" s="111"/>
      <c r="DX109" s="111"/>
      <c r="DY109" s="111"/>
      <c r="DZ109" s="111"/>
      <c r="EA109" s="111"/>
      <c r="EB109" s="111"/>
      <c r="EC109" s="111"/>
      <c r="ED109" s="111"/>
      <c r="EE109" s="111"/>
      <c r="EF109" s="111"/>
      <c r="EG109" s="111"/>
      <c r="EH109" s="111"/>
      <c r="EI109" s="111"/>
      <c r="EJ109" s="111"/>
      <c r="EK109" s="111"/>
      <c r="EL109" s="111"/>
      <c r="EM109" s="111"/>
      <c r="EN109" s="111"/>
      <c r="EO109" s="111"/>
      <c r="EP109" s="111"/>
      <c r="EQ109" s="111"/>
      <c r="ER109" s="111"/>
      <c r="ES109" s="111"/>
      <c r="ET109" s="111"/>
      <c r="EU109" s="111"/>
      <c r="EV109" s="111"/>
      <c r="EW109" s="111"/>
      <c r="EX109" s="111"/>
      <c r="EY109" s="111"/>
      <c r="EZ109" s="111"/>
      <c r="FA109" s="111"/>
      <c r="FB109" s="111"/>
      <c r="FC109" s="111"/>
      <c r="FD109" s="111"/>
      <c r="FE109" s="111"/>
      <c r="FF109" s="111"/>
      <c r="FG109" s="111"/>
      <c r="FH109" s="111"/>
      <c r="FI109" s="111"/>
      <c r="FJ109" s="111"/>
      <c r="FK109" s="111"/>
      <c r="FL109" s="111"/>
      <c r="FM109" s="111"/>
      <c r="FN109" s="111"/>
      <c r="FO109" s="111"/>
      <c r="FP109" s="111"/>
      <c r="FQ109" s="111"/>
      <c r="FR109" s="111"/>
      <c r="FS109" s="111"/>
      <c r="FT109" s="111"/>
      <c r="FU109" s="111"/>
      <c r="FV109" s="111"/>
      <c r="FW109" s="111"/>
      <c r="FX109" s="111"/>
      <c r="FY109" s="111"/>
      <c r="FZ109" s="111"/>
      <c r="GA109" s="111"/>
      <c r="GB109" s="111"/>
      <c r="GC109" s="111"/>
      <c r="GD109" s="111"/>
      <c r="GE109" s="111"/>
      <c r="GF109" s="111"/>
      <c r="GG109" s="111"/>
      <c r="GH109" s="111"/>
      <c r="GI109" s="111"/>
      <c r="GJ109" s="111"/>
      <c r="GK109" s="111"/>
      <c r="GL109" s="111"/>
      <c r="GM109" s="111"/>
      <c r="GN109" s="111"/>
      <c r="GO109" s="111"/>
      <c r="GP109" s="111"/>
      <c r="GQ109" s="111"/>
      <c r="GR109" s="111"/>
      <c r="GS109" s="111"/>
      <c r="GT109" s="111"/>
      <c r="GU109" s="111"/>
      <c r="GV109" s="111"/>
      <c r="GW109" s="111"/>
      <c r="GX109" s="111"/>
      <c r="GY109" s="111"/>
      <c r="GZ109" s="111"/>
      <c r="HA109" s="111"/>
      <c r="HB109" s="111"/>
      <c r="HC109" s="111"/>
      <c r="HD109" s="111"/>
      <c r="HE109" s="111"/>
      <c r="HF109" s="111"/>
      <c r="HG109" s="111"/>
      <c r="HH109" s="111"/>
      <c r="HI109" s="111"/>
      <c r="HJ109" s="111"/>
      <c r="HK109" s="111"/>
      <c r="HL109" s="111"/>
      <c r="HM109" s="111"/>
      <c r="HN109" s="111"/>
      <c r="HO109" s="111"/>
      <c r="HP109" s="111"/>
      <c r="HQ109" s="111"/>
      <c r="HR109" s="111"/>
      <c r="HS109" s="111"/>
      <c r="HT109" s="111"/>
      <c r="HU109" s="111"/>
      <c r="HV109" s="111"/>
      <c r="HW109" s="111"/>
      <c r="HX109" s="111"/>
      <c r="HY109" s="111"/>
      <c r="HZ109" s="111"/>
      <c r="IA109" s="111"/>
      <c r="IB109" s="111"/>
      <c r="IC109" s="111"/>
      <c r="ID109" s="111"/>
      <c r="IE109" s="111"/>
      <c r="IF109" s="111"/>
      <c r="IG109" s="111"/>
      <c r="IH109" s="111"/>
      <c r="II109" s="111"/>
      <c r="IJ109" s="111"/>
      <c r="IK109" s="111"/>
      <c r="IL109" s="111"/>
      <c r="IM109" s="111"/>
      <c r="IN109" s="111"/>
      <c r="IO109" s="111"/>
      <c r="IP109" s="111"/>
      <c r="IQ109" s="111"/>
      <c r="IR109" s="111"/>
      <c r="IS109" s="111"/>
      <c r="IT109" s="111"/>
      <c r="IU109" s="111"/>
      <c r="IV109" s="111"/>
      <c r="IW109" s="111"/>
      <c r="IX109" s="111"/>
      <c r="IY109" s="111"/>
      <c r="IZ109" s="111"/>
      <c r="JA109" s="111"/>
      <c r="JB109" s="111"/>
      <c r="JC109" s="111"/>
      <c r="JD109" s="111"/>
      <c r="JE109" s="111"/>
      <c r="JF109" s="111"/>
      <c r="JG109" s="111"/>
      <c r="JH109" s="111"/>
      <c r="JI109" s="111"/>
      <c r="JJ109" s="111"/>
      <c r="JK109" s="111"/>
      <c r="JL109" s="111"/>
      <c r="JM109" s="111"/>
      <c r="JN109" s="111"/>
      <c r="JO109" s="111"/>
      <c r="JP109" s="111"/>
      <c r="JQ109" s="111"/>
      <c r="JR109" s="111"/>
      <c r="JS109" s="111"/>
      <c r="JT109" s="111"/>
      <c r="JU109" s="111"/>
      <c r="JV109" s="111"/>
      <c r="JW109" s="111"/>
      <c r="JX109" s="111"/>
      <c r="JY109" s="111"/>
      <c r="JZ109" s="111"/>
      <c r="KA109" s="111"/>
      <c r="KB109" s="111"/>
      <c r="KC109" s="111"/>
      <c r="KD109" s="111"/>
      <c r="KE109" s="111"/>
      <c r="KF109" s="111"/>
      <c r="KG109" s="111"/>
      <c r="KH109" s="111"/>
      <c r="KI109" s="111"/>
      <c r="KJ109" s="111"/>
      <c r="KK109" s="111"/>
      <c r="KL109" s="111"/>
      <c r="KM109" s="111"/>
      <c r="KN109" s="111"/>
      <c r="KO109" s="111"/>
      <c r="KP109" s="111"/>
      <c r="KQ109" s="111"/>
      <c r="KR109" s="111"/>
      <c r="KS109" s="111"/>
      <c r="KT109" s="111"/>
      <c r="KU109" s="111"/>
      <c r="KV109" s="111"/>
      <c r="KW109" s="111"/>
      <c r="KX109" s="111"/>
      <c r="KY109" s="111"/>
      <c r="KZ109" s="111"/>
      <c r="LA109" s="111"/>
      <c r="LB109" s="111"/>
      <c r="LC109" s="111"/>
      <c r="LD109" s="111"/>
      <c r="LE109" s="111"/>
      <c r="LF109" s="111"/>
      <c r="LG109" s="111"/>
      <c r="LH109" s="111"/>
      <c r="LI109" s="111"/>
      <c r="LJ109" s="111"/>
      <c r="LK109" s="111"/>
      <c r="LL109" s="111"/>
      <c r="LM109" s="111"/>
      <c r="LN109" s="111"/>
      <c r="LO109" s="111"/>
      <c r="LP109" s="111"/>
      <c r="LQ109" s="111"/>
      <c r="LR109" s="111"/>
      <c r="LS109" s="111"/>
      <c r="LT109" s="111"/>
      <c r="LU109" s="111"/>
      <c r="LV109" s="111"/>
      <c r="LW109" s="111"/>
      <c r="LX109" s="111"/>
      <c r="LY109" s="111"/>
      <c r="LZ109" s="111"/>
      <c r="MA109" s="111"/>
      <c r="MB109" s="111"/>
      <c r="MC109" s="111"/>
      <c r="MD109" s="111"/>
      <c r="ME109" s="111"/>
      <c r="MF109" s="111"/>
      <c r="MG109" s="111"/>
      <c r="MH109" s="111"/>
      <c r="MI109" s="111"/>
      <c r="MJ109" s="111"/>
      <c r="MK109" s="111"/>
      <c r="ML109" s="111"/>
      <c r="MM109" s="111"/>
      <c r="MN109" s="111"/>
      <c r="MO109" s="111"/>
      <c r="MP109" s="111"/>
      <c r="MQ109" s="111"/>
      <c r="MR109" s="111"/>
      <c r="MS109" s="111"/>
      <c r="MT109" s="111"/>
      <c r="MU109" s="111"/>
      <c r="MV109" s="111"/>
      <c r="MW109" s="111"/>
      <c r="MX109" s="111"/>
      <c r="MY109" s="111"/>
      <c r="MZ109" s="111"/>
      <c r="NA109" s="111"/>
      <c r="NB109" s="111"/>
      <c r="NC109" s="111"/>
      <c r="ND109" s="111"/>
      <c r="NE109" s="111"/>
      <c r="NF109" s="111"/>
      <c r="NG109" s="111"/>
      <c r="NH109" s="111"/>
      <c r="NI109" s="111"/>
      <c r="NJ109" s="111"/>
      <c r="NK109" s="111"/>
      <c r="NL109" s="111"/>
      <c r="NM109" s="111"/>
      <c r="NN109" s="111"/>
      <c r="NO109" s="111"/>
      <c r="NP109" s="111"/>
      <c r="NQ109" s="111"/>
      <c r="NR109" s="111"/>
      <c r="NS109" s="111"/>
      <c r="NT109" s="111"/>
      <c r="NU109" s="111"/>
      <c r="NV109" s="111"/>
      <c r="NW109" s="111"/>
      <c r="NX109" s="111"/>
      <c r="NY109" s="111"/>
      <c r="NZ109" s="111"/>
      <c r="OA109" s="111"/>
      <c r="OB109" s="111"/>
      <c r="OC109" s="111"/>
      <c r="OD109" s="111"/>
      <c r="OE109" s="111"/>
      <c r="OF109" s="111"/>
      <c r="OG109" s="111"/>
      <c r="OH109" s="111"/>
      <c r="OI109" s="111"/>
      <c r="OJ109" s="111"/>
      <c r="OK109" s="111"/>
      <c r="OL109" s="111"/>
      <c r="OM109" s="111"/>
      <c r="ON109" s="111"/>
      <c r="OO109" s="111"/>
      <c r="OP109" s="111"/>
      <c r="OQ109" s="111"/>
      <c r="OR109" s="111"/>
      <c r="OS109" s="111"/>
      <c r="OT109" s="111"/>
      <c r="OU109" s="111"/>
      <c r="OV109" s="111"/>
      <c r="OW109" s="111"/>
      <c r="OX109" s="111"/>
      <c r="OY109" s="111"/>
      <c r="OZ109" s="111"/>
      <c r="PA109" s="111"/>
      <c r="PB109" s="111"/>
      <c r="PC109" s="111"/>
      <c r="PD109" s="111"/>
      <c r="PE109" s="111"/>
      <c r="PF109" s="111"/>
      <c r="PG109" s="111"/>
      <c r="PH109" s="111"/>
      <c r="PI109" s="111"/>
      <c r="PJ109" s="111"/>
      <c r="PK109" s="111"/>
      <c r="PL109" s="111"/>
      <c r="PM109" s="111"/>
      <c r="PN109" s="111"/>
      <c r="PO109" s="111"/>
      <c r="PP109" s="111"/>
      <c r="PQ109" s="111"/>
      <c r="PR109" s="111"/>
      <c r="PS109" s="111"/>
      <c r="PT109" s="111"/>
      <c r="PU109" s="111"/>
      <c r="PV109" s="111"/>
      <c r="PW109" s="111"/>
      <c r="PX109" s="111"/>
      <c r="PY109" s="111"/>
      <c r="PZ109" s="111"/>
      <c r="QA109" s="111"/>
      <c r="QB109" s="111"/>
      <c r="QC109" s="111"/>
      <c r="QD109" s="111"/>
      <c r="QE109" s="111"/>
      <c r="QF109" s="111"/>
      <c r="QG109" s="111"/>
      <c r="QH109" s="111"/>
      <c r="QI109" s="111"/>
      <c r="QJ109" s="111"/>
      <c r="QK109" s="111"/>
      <c r="QL109" s="111"/>
      <c r="QM109" s="111"/>
      <c r="QN109" s="111"/>
      <c r="QO109" s="111"/>
      <c r="QP109" s="111"/>
      <c r="QQ109" s="111"/>
      <c r="QR109" s="111"/>
      <c r="QS109" s="111"/>
      <c r="QT109" s="111"/>
      <c r="QU109" s="111"/>
      <c r="QV109" s="111"/>
      <c r="QW109" s="111"/>
      <c r="QX109" s="111"/>
      <c r="QY109" s="111"/>
      <c r="QZ109" s="111"/>
      <c r="RA109" s="111"/>
      <c r="RB109" s="111"/>
      <c r="RC109" s="111"/>
      <c r="RD109" s="111"/>
      <c r="RE109" s="111"/>
      <c r="RF109" s="111"/>
      <c r="RG109" s="111"/>
      <c r="RH109" s="111"/>
      <c r="RI109" s="111"/>
      <c r="RJ109" s="111"/>
      <c r="RK109" s="111"/>
      <c r="RL109" s="111"/>
      <c r="RM109" s="111"/>
      <c r="RN109" s="111"/>
      <c r="RO109" s="111"/>
      <c r="RP109" s="111"/>
      <c r="RQ109" s="111"/>
      <c r="RR109" s="111"/>
      <c r="RS109" s="111"/>
      <c r="RT109" s="111"/>
      <c r="RU109" s="111"/>
      <c r="RV109" s="111"/>
      <c r="RW109" s="111"/>
      <c r="RX109" s="111"/>
      <c r="RY109" s="111"/>
      <c r="RZ109" s="111"/>
      <c r="SA109" s="111"/>
      <c r="SB109" s="111"/>
      <c r="SC109" s="111"/>
      <c r="SD109" s="111"/>
      <c r="SE109" s="111"/>
      <c r="SF109" s="111"/>
      <c r="SG109" s="111"/>
      <c r="SH109" s="111"/>
      <c r="SI109" s="111"/>
      <c r="SJ109" s="111"/>
      <c r="SK109" s="111"/>
      <c r="SL109" s="111"/>
      <c r="SM109" s="111"/>
      <c r="SN109" s="111"/>
      <c r="SO109" s="111"/>
      <c r="SP109" s="111"/>
      <c r="SQ109" s="111"/>
      <c r="SR109" s="111"/>
      <c r="SS109" s="111"/>
      <c r="ST109" s="111"/>
      <c r="SU109" s="111"/>
      <c r="SV109" s="111"/>
      <c r="SW109" s="111"/>
      <c r="SX109" s="111"/>
      <c r="SY109" s="111"/>
      <c r="SZ109" s="111"/>
      <c r="TA109" s="111"/>
      <c r="TB109" s="111"/>
      <c r="TC109" s="111"/>
      <c r="TD109" s="111"/>
      <c r="TE109" s="111"/>
      <c r="TF109" s="111"/>
      <c r="TG109" s="111"/>
      <c r="TH109" s="111"/>
      <c r="TI109" s="111"/>
      <c r="TJ109" s="111"/>
      <c r="TK109" s="111"/>
      <c r="TL109" s="111"/>
      <c r="TM109" s="111"/>
      <c r="TN109" s="111"/>
      <c r="TO109" s="111"/>
      <c r="TP109" s="111"/>
      <c r="TQ109" s="111"/>
      <c r="TR109" s="111"/>
      <c r="TS109" s="111"/>
      <c r="TT109" s="111"/>
      <c r="TU109" s="111"/>
      <c r="TV109" s="111"/>
      <c r="TW109" s="111"/>
      <c r="TX109" s="111"/>
      <c r="TY109" s="111"/>
      <c r="TZ109" s="111"/>
      <c r="UA109" s="111"/>
      <c r="UB109" s="111"/>
      <c r="UC109" s="111"/>
      <c r="UD109" s="111"/>
      <c r="UE109" s="111"/>
      <c r="UF109" s="111"/>
      <c r="UG109" s="111"/>
      <c r="UH109" s="111"/>
      <c r="UI109" s="111"/>
      <c r="UJ109" s="111"/>
      <c r="UK109" s="111"/>
      <c r="UL109" s="111"/>
      <c r="UM109" s="111"/>
      <c r="UN109" s="111"/>
      <c r="UO109" s="111"/>
      <c r="UP109" s="111"/>
      <c r="UQ109" s="111"/>
      <c r="UR109" s="111"/>
      <c r="US109" s="111"/>
      <c r="UT109" s="111"/>
      <c r="UU109" s="111"/>
      <c r="UV109" s="111"/>
      <c r="UW109" s="111"/>
      <c r="UX109" s="111"/>
      <c r="UY109" s="111"/>
      <c r="UZ109" s="111"/>
      <c r="VA109" s="111"/>
      <c r="VB109" s="111"/>
      <c r="VC109" s="111"/>
      <c r="VD109" s="111"/>
      <c r="VE109" s="111"/>
      <c r="VF109" s="111"/>
      <c r="VG109" s="111"/>
      <c r="VH109" s="111"/>
      <c r="VI109" s="111"/>
      <c r="VJ109" s="111"/>
      <c r="VK109" s="111"/>
      <c r="VL109" s="111"/>
      <c r="VM109" s="111"/>
      <c r="VN109" s="111"/>
      <c r="VO109" s="111"/>
      <c r="VP109" s="111"/>
      <c r="VQ109" s="111"/>
      <c r="VR109" s="111"/>
      <c r="VS109" s="111"/>
      <c r="VT109" s="111"/>
      <c r="VU109" s="111"/>
      <c r="VV109" s="111"/>
      <c r="VW109" s="111"/>
      <c r="VX109" s="111"/>
      <c r="VY109" s="111"/>
      <c r="VZ109" s="111"/>
      <c r="WA109" s="111"/>
      <c r="WB109" s="111"/>
      <c r="WC109" s="111"/>
      <c r="WD109" s="111"/>
      <c r="WE109" s="111"/>
      <c r="WF109" s="111"/>
      <c r="WG109" s="111"/>
      <c r="WH109" s="111"/>
      <c r="WI109" s="111"/>
      <c r="WJ109" s="111"/>
      <c r="WK109" s="111"/>
      <c r="WL109" s="111"/>
      <c r="WM109" s="111"/>
      <c r="WN109" s="111"/>
      <c r="WO109" s="111"/>
      <c r="WP109" s="111"/>
      <c r="WQ109" s="111"/>
      <c r="WR109" s="111"/>
      <c r="WS109" s="111"/>
      <c r="WT109" s="111"/>
      <c r="WU109" s="111"/>
      <c r="WV109" s="111"/>
      <c r="WW109" s="111"/>
      <c r="WX109" s="111"/>
      <c r="WY109" s="111"/>
      <c r="WZ109" s="111"/>
      <c r="XA109" s="111"/>
      <c r="XB109" s="111"/>
      <c r="XC109" s="111"/>
      <c r="XD109" s="111"/>
      <c r="XE109" s="111"/>
      <c r="XF109" s="111"/>
      <c r="XG109" s="111"/>
      <c r="XH109" s="111"/>
      <c r="XI109" s="111"/>
      <c r="XJ109" s="111"/>
      <c r="XK109" s="111"/>
      <c r="XL109" s="111"/>
      <c r="XM109" s="111"/>
      <c r="XN109" s="111"/>
      <c r="XO109" s="111"/>
      <c r="XP109" s="111"/>
      <c r="XQ109" s="111"/>
      <c r="XR109" s="111"/>
      <c r="XS109" s="111"/>
      <c r="XT109" s="111"/>
      <c r="XU109" s="111"/>
      <c r="XV109" s="111"/>
      <c r="XW109" s="111"/>
      <c r="XX109" s="111"/>
      <c r="XY109" s="111"/>
      <c r="XZ109" s="111"/>
      <c r="YA109" s="111"/>
      <c r="YB109" s="111"/>
      <c r="YC109" s="111"/>
      <c r="YD109" s="111"/>
      <c r="YE109" s="111"/>
      <c r="YF109" s="111"/>
      <c r="YG109" s="111"/>
      <c r="YH109" s="111"/>
      <c r="YI109" s="111"/>
      <c r="YJ109" s="111"/>
      <c r="YK109" s="111"/>
      <c r="YL109" s="111"/>
      <c r="YM109" s="111"/>
      <c r="YN109" s="111"/>
      <c r="YO109" s="111"/>
      <c r="YP109" s="111"/>
      <c r="YQ109" s="111"/>
      <c r="YR109" s="111"/>
      <c r="YS109" s="111"/>
      <c r="YT109" s="111"/>
      <c r="YU109" s="111"/>
      <c r="YV109" s="111"/>
      <c r="YW109" s="111"/>
      <c r="YX109" s="111"/>
      <c r="YY109" s="111"/>
      <c r="YZ109" s="111"/>
      <c r="ZA109" s="111"/>
      <c r="ZB109" s="111"/>
      <c r="ZC109" s="111"/>
      <c r="ZD109" s="111"/>
      <c r="ZE109" s="111"/>
      <c r="ZF109" s="111"/>
      <c r="ZG109" s="111"/>
    </row>
    <row r="110" spans="1:683" s="109" customFormat="1" ht="23.1" customHeight="1" thickBot="1" x14ac:dyDescent="0.3">
      <c r="A110" s="153">
        <v>16</v>
      </c>
      <c r="B110" s="157" t="s">
        <v>74</v>
      </c>
      <c r="C110" s="169" t="s">
        <v>130</v>
      </c>
      <c r="D110" s="169" t="s">
        <v>581</v>
      </c>
      <c r="E110" s="157" t="s">
        <v>31</v>
      </c>
      <c r="F110" s="157" t="s">
        <v>463</v>
      </c>
      <c r="G110" s="158">
        <v>45980</v>
      </c>
      <c r="H110" s="158">
        <f t="shared" si="10"/>
        <v>46345</v>
      </c>
      <c r="I110" s="140" t="s">
        <v>448</v>
      </c>
      <c r="J110" s="34">
        <v>15</v>
      </c>
      <c r="K110" s="14">
        <v>46080</v>
      </c>
      <c r="L110" s="14">
        <f t="shared" si="11"/>
        <v>46094</v>
      </c>
      <c r="M110" s="34">
        <v>15</v>
      </c>
      <c r="N110" s="14">
        <v>46301</v>
      </c>
      <c r="O110" s="181">
        <f t="shared" si="12"/>
        <v>46315</v>
      </c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</row>
    <row r="111" spans="1:683" s="128" customFormat="1" ht="23.1" customHeight="1" thickBot="1" x14ac:dyDescent="0.3">
      <c r="A111" s="153">
        <v>17</v>
      </c>
      <c r="B111" s="157" t="s">
        <v>74</v>
      </c>
      <c r="C111" s="157" t="s">
        <v>131</v>
      </c>
      <c r="D111" s="157" t="s">
        <v>582</v>
      </c>
      <c r="E111" s="157" t="s">
        <v>31</v>
      </c>
      <c r="F111" s="157" t="s">
        <v>466</v>
      </c>
      <c r="G111" s="158">
        <v>45376</v>
      </c>
      <c r="H111" s="170">
        <f t="shared" si="10"/>
        <v>45741</v>
      </c>
      <c r="I111" s="135" t="s">
        <v>444</v>
      </c>
      <c r="J111" s="34">
        <v>30</v>
      </c>
      <c r="K111" s="14">
        <v>46035</v>
      </c>
      <c r="L111" s="14">
        <f t="shared" si="11"/>
        <v>46064</v>
      </c>
      <c r="M111" s="34"/>
      <c r="N111" s="14"/>
      <c r="O111" s="181">
        <f t="shared" si="12"/>
        <v>-1</v>
      </c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11"/>
      <c r="BK111" s="111"/>
      <c r="BL111" s="111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/>
      <c r="CS111" s="111"/>
      <c r="CT111" s="111"/>
      <c r="CU111" s="111"/>
      <c r="CV111" s="111"/>
      <c r="CW111" s="111"/>
      <c r="CX111" s="111"/>
      <c r="CY111" s="111"/>
      <c r="CZ111" s="111"/>
      <c r="DA111" s="111"/>
      <c r="DB111" s="111"/>
      <c r="DC111" s="111"/>
      <c r="DD111" s="111"/>
      <c r="DE111" s="111"/>
      <c r="DF111" s="111"/>
      <c r="DG111" s="111"/>
      <c r="DH111" s="111"/>
      <c r="DI111" s="111"/>
      <c r="DJ111" s="111"/>
      <c r="DK111" s="111"/>
      <c r="DL111" s="111"/>
      <c r="DM111" s="111"/>
      <c r="DN111" s="111"/>
      <c r="DO111" s="111"/>
      <c r="DP111" s="111"/>
      <c r="DQ111" s="111"/>
      <c r="DR111" s="111"/>
      <c r="DS111" s="111"/>
      <c r="DT111" s="111"/>
      <c r="DU111" s="111"/>
      <c r="DV111" s="111"/>
      <c r="DW111" s="111"/>
      <c r="DX111" s="111"/>
      <c r="DY111" s="111"/>
      <c r="DZ111" s="111"/>
      <c r="EA111" s="111"/>
      <c r="EB111" s="111"/>
      <c r="EC111" s="111"/>
      <c r="ED111" s="111"/>
      <c r="EE111" s="111"/>
      <c r="EF111" s="111"/>
      <c r="EG111" s="111"/>
      <c r="EH111" s="111"/>
      <c r="EI111" s="111"/>
      <c r="EJ111" s="111"/>
      <c r="EK111" s="111"/>
      <c r="EL111" s="111"/>
      <c r="EM111" s="111"/>
      <c r="EN111" s="111"/>
      <c r="EO111" s="111"/>
      <c r="EP111" s="111"/>
      <c r="EQ111" s="111"/>
      <c r="ER111" s="111"/>
      <c r="ES111" s="111"/>
      <c r="ET111" s="111"/>
      <c r="EU111" s="111"/>
      <c r="EV111" s="111"/>
      <c r="EW111" s="111"/>
      <c r="EX111" s="111"/>
      <c r="EY111" s="111"/>
      <c r="EZ111" s="111"/>
      <c r="FA111" s="111"/>
      <c r="FB111" s="111"/>
      <c r="FC111" s="111"/>
      <c r="FD111" s="111"/>
      <c r="FE111" s="111"/>
      <c r="FF111" s="111"/>
      <c r="FG111" s="111"/>
      <c r="FH111" s="111"/>
      <c r="FI111" s="111"/>
      <c r="FJ111" s="111"/>
      <c r="FK111" s="111"/>
      <c r="FL111" s="111"/>
      <c r="FM111" s="111"/>
      <c r="FN111" s="111"/>
      <c r="FO111" s="111"/>
      <c r="FP111" s="111"/>
      <c r="FQ111" s="111"/>
      <c r="FR111" s="111"/>
      <c r="FS111" s="111"/>
      <c r="FT111" s="111"/>
      <c r="FU111" s="111"/>
      <c r="FV111" s="111"/>
      <c r="FW111" s="111"/>
      <c r="FX111" s="111"/>
      <c r="FY111" s="111"/>
      <c r="FZ111" s="111"/>
      <c r="GA111" s="111"/>
      <c r="GB111" s="111"/>
      <c r="GC111" s="111"/>
      <c r="GD111" s="111"/>
      <c r="GE111" s="111"/>
      <c r="GF111" s="111"/>
      <c r="GG111" s="111"/>
      <c r="GH111" s="111"/>
      <c r="GI111" s="111"/>
      <c r="GJ111" s="111"/>
      <c r="GK111" s="111"/>
      <c r="GL111" s="111"/>
      <c r="GM111" s="111"/>
      <c r="GN111" s="111"/>
      <c r="GO111" s="111"/>
      <c r="GP111" s="111"/>
      <c r="GQ111" s="111"/>
      <c r="GR111" s="111"/>
      <c r="GS111" s="111"/>
      <c r="GT111" s="111"/>
      <c r="GU111" s="111"/>
      <c r="GV111" s="111"/>
      <c r="GW111" s="111"/>
      <c r="GX111" s="111"/>
      <c r="GY111" s="111"/>
      <c r="GZ111" s="111"/>
      <c r="HA111" s="111"/>
      <c r="HB111" s="111"/>
      <c r="HC111" s="111"/>
      <c r="HD111" s="111"/>
      <c r="HE111" s="111"/>
      <c r="HF111" s="111"/>
      <c r="HG111" s="111"/>
      <c r="HH111" s="111"/>
      <c r="HI111" s="111"/>
      <c r="HJ111" s="111"/>
      <c r="HK111" s="111"/>
      <c r="HL111" s="111"/>
      <c r="HM111" s="111"/>
      <c r="HN111" s="111"/>
      <c r="HO111" s="111"/>
      <c r="HP111" s="111"/>
      <c r="HQ111" s="111"/>
      <c r="HR111" s="111"/>
      <c r="HS111" s="111"/>
      <c r="HT111" s="111"/>
      <c r="HU111" s="111"/>
      <c r="HV111" s="111"/>
      <c r="HW111" s="111"/>
      <c r="HX111" s="111"/>
      <c r="HY111" s="111"/>
      <c r="HZ111" s="111"/>
      <c r="IA111" s="111"/>
      <c r="IB111" s="111"/>
      <c r="IC111" s="111"/>
      <c r="ID111" s="111"/>
      <c r="IE111" s="111"/>
      <c r="IF111" s="111"/>
      <c r="IG111" s="111"/>
      <c r="IH111" s="111"/>
      <c r="II111" s="111"/>
      <c r="IJ111" s="111"/>
      <c r="IK111" s="111"/>
      <c r="IL111" s="111"/>
      <c r="IM111" s="111"/>
      <c r="IN111" s="111"/>
      <c r="IO111" s="111"/>
      <c r="IP111" s="111"/>
      <c r="IQ111" s="111"/>
      <c r="IR111" s="111"/>
      <c r="IS111" s="111"/>
      <c r="IT111" s="111"/>
      <c r="IU111" s="111"/>
      <c r="IV111" s="111"/>
      <c r="IW111" s="111"/>
      <c r="IX111" s="111"/>
      <c r="IY111" s="111"/>
      <c r="IZ111" s="111"/>
      <c r="JA111" s="111"/>
      <c r="JB111" s="111"/>
      <c r="JC111" s="111"/>
      <c r="JD111" s="111"/>
      <c r="JE111" s="111"/>
      <c r="JF111" s="111"/>
      <c r="JG111" s="111"/>
      <c r="JH111" s="111"/>
      <c r="JI111" s="111"/>
      <c r="JJ111" s="111"/>
      <c r="JK111" s="111"/>
      <c r="JL111" s="111"/>
      <c r="JM111" s="111"/>
      <c r="JN111" s="111"/>
      <c r="JO111" s="111"/>
      <c r="JP111" s="111"/>
      <c r="JQ111" s="111"/>
      <c r="JR111" s="111"/>
      <c r="JS111" s="111"/>
      <c r="JT111" s="111"/>
      <c r="JU111" s="111"/>
      <c r="JV111" s="111"/>
      <c r="JW111" s="111"/>
      <c r="JX111" s="111"/>
      <c r="JY111" s="111"/>
      <c r="JZ111" s="111"/>
      <c r="KA111" s="111"/>
      <c r="KB111" s="111"/>
      <c r="KC111" s="111"/>
      <c r="KD111" s="111"/>
      <c r="KE111" s="111"/>
      <c r="KF111" s="111"/>
      <c r="KG111" s="111"/>
      <c r="KH111" s="111"/>
      <c r="KI111" s="111"/>
      <c r="KJ111" s="111"/>
      <c r="KK111" s="111"/>
      <c r="KL111" s="111"/>
      <c r="KM111" s="111"/>
      <c r="KN111" s="111"/>
      <c r="KO111" s="111"/>
      <c r="KP111" s="111"/>
      <c r="KQ111" s="111"/>
      <c r="KR111" s="111"/>
      <c r="KS111" s="111"/>
      <c r="KT111" s="111"/>
      <c r="KU111" s="111"/>
      <c r="KV111" s="111"/>
      <c r="KW111" s="111"/>
      <c r="KX111" s="111"/>
      <c r="KY111" s="111"/>
      <c r="KZ111" s="111"/>
      <c r="LA111" s="111"/>
      <c r="LB111" s="111"/>
      <c r="LC111" s="111"/>
      <c r="LD111" s="111"/>
      <c r="LE111" s="111"/>
      <c r="LF111" s="111"/>
      <c r="LG111" s="111"/>
      <c r="LH111" s="111"/>
      <c r="LI111" s="111"/>
      <c r="LJ111" s="111"/>
      <c r="LK111" s="111"/>
      <c r="LL111" s="111"/>
      <c r="LM111" s="111"/>
      <c r="LN111" s="111"/>
      <c r="LO111" s="111"/>
      <c r="LP111" s="111"/>
      <c r="LQ111" s="111"/>
      <c r="LR111" s="111"/>
      <c r="LS111" s="111"/>
      <c r="LT111" s="111"/>
      <c r="LU111" s="111"/>
      <c r="LV111" s="111"/>
      <c r="LW111" s="111"/>
      <c r="LX111" s="111"/>
      <c r="LY111" s="111"/>
      <c r="LZ111" s="111"/>
      <c r="MA111" s="111"/>
      <c r="MB111" s="111"/>
      <c r="MC111" s="111"/>
      <c r="MD111" s="111"/>
      <c r="ME111" s="111"/>
      <c r="MF111" s="111"/>
      <c r="MG111" s="111"/>
      <c r="MH111" s="111"/>
      <c r="MI111" s="111"/>
      <c r="MJ111" s="111"/>
      <c r="MK111" s="111"/>
      <c r="ML111" s="111"/>
      <c r="MM111" s="111"/>
      <c r="MN111" s="111"/>
      <c r="MO111" s="111"/>
      <c r="MP111" s="111"/>
      <c r="MQ111" s="111"/>
      <c r="MR111" s="111"/>
      <c r="MS111" s="111"/>
      <c r="MT111" s="111"/>
      <c r="MU111" s="111"/>
      <c r="MV111" s="111"/>
      <c r="MW111" s="111"/>
      <c r="MX111" s="111"/>
      <c r="MY111" s="111"/>
      <c r="MZ111" s="111"/>
      <c r="NA111" s="111"/>
      <c r="NB111" s="111"/>
      <c r="NC111" s="111"/>
      <c r="ND111" s="111"/>
      <c r="NE111" s="111"/>
      <c r="NF111" s="111"/>
      <c r="NG111" s="111"/>
      <c r="NH111" s="111"/>
      <c r="NI111" s="111"/>
      <c r="NJ111" s="111"/>
      <c r="NK111" s="111"/>
      <c r="NL111" s="111"/>
      <c r="NM111" s="111"/>
      <c r="NN111" s="111"/>
      <c r="NO111" s="111"/>
      <c r="NP111" s="111"/>
      <c r="NQ111" s="111"/>
      <c r="NR111" s="111"/>
      <c r="NS111" s="111"/>
      <c r="NT111" s="111"/>
      <c r="NU111" s="111"/>
      <c r="NV111" s="111"/>
      <c r="NW111" s="111"/>
      <c r="NX111" s="111"/>
      <c r="NY111" s="111"/>
      <c r="NZ111" s="111"/>
      <c r="OA111" s="111"/>
      <c r="OB111" s="111"/>
      <c r="OC111" s="111"/>
      <c r="OD111" s="111"/>
      <c r="OE111" s="111"/>
      <c r="OF111" s="111"/>
      <c r="OG111" s="111"/>
      <c r="OH111" s="111"/>
      <c r="OI111" s="111"/>
      <c r="OJ111" s="111"/>
      <c r="OK111" s="111"/>
      <c r="OL111" s="111"/>
      <c r="OM111" s="111"/>
      <c r="ON111" s="111"/>
      <c r="OO111" s="111"/>
      <c r="OP111" s="111"/>
      <c r="OQ111" s="111"/>
      <c r="OR111" s="111"/>
      <c r="OS111" s="111"/>
      <c r="OT111" s="111"/>
      <c r="OU111" s="111"/>
      <c r="OV111" s="111"/>
      <c r="OW111" s="111"/>
      <c r="OX111" s="111"/>
      <c r="OY111" s="111"/>
      <c r="OZ111" s="111"/>
      <c r="PA111" s="111"/>
      <c r="PB111" s="111"/>
      <c r="PC111" s="111"/>
      <c r="PD111" s="111"/>
      <c r="PE111" s="111"/>
      <c r="PF111" s="111"/>
      <c r="PG111" s="111"/>
      <c r="PH111" s="111"/>
      <c r="PI111" s="111"/>
      <c r="PJ111" s="111"/>
      <c r="PK111" s="111"/>
      <c r="PL111" s="111"/>
      <c r="PM111" s="111"/>
      <c r="PN111" s="111"/>
      <c r="PO111" s="111"/>
      <c r="PP111" s="111"/>
      <c r="PQ111" s="111"/>
      <c r="PR111" s="111"/>
      <c r="PS111" s="111"/>
      <c r="PT111" s="111"/>
      <c r="PU111" s="111"/>
      <c r="PV111" s="111"/>
      <c r="PW111" s="111"/>
      <c r="PX111" s="111"/>
      <c r="PY111" s="111"/>
      <c r="PZ111" s="111"/>
      <c r="QA111" s="111"/>
      <c r="QB111" s="111"/>
      <c r="QC111" s="111"/>
      <c r="QD111" s="111"/>
      <c r="QE111" s="111"/>
      <c r="QF111" s="111"/>
      <c r="QG111" s="111"/>
      <c r="QH111" s="111"/>
      <c r="QI111" s="111"/>
      <c r="QJ111" s="111"/>
      <c r="QK111" s="111"/>
      <c r="QL111" s="111"/>
      <c r="QM111" s="111"/>
      <c r="QN111" s="111"/>
      <c r="QO111" s="111"/>
      <c r="QP111" s="111"/>
      <c r="QQ111" s="111"/>
      <c r="QR111" s="111"/>
      <c r="QS111" s="111"/>
      <c r="QT111" s="111"/>
      <c r="QU111" s="111"/>
      <c r="QV111" s="111"/>
      <c r="QW111" s="111"/>
      <c r="QX111" s="111"/>
      <c r="QY111" s="111"/>
      <c r="QZ111" s="111"/>
      <c r="RA111" s="111"/>
      <c r="RB111" s="111"/>
      <c r="RC111" s="111"/>
      <c r="RD111" s="111"/>
      <c r="RE111" s="111"/>
      <c r="RF111" s="111"/>
      <c r="RG111" s="111"/>
      <c r="RH111" s="111"/>
      <c r="RI111" s="111"/>
      <c r="RJ111" s="111"/>
      <c r="RK111" s="111"/>
      <c r="RL111" s="111"/>
      <c r="RM111" s="111"/>
      <c r="RN111" s="111"/>
      <c r="RO111" s="111"/>
      <c r="RP111" s="111"/>
      <c r="RQ111" s="111"/>
      <c r="RR111" s="111"/>
      <c r="RS111" s="111"/>
      <c r="RT111" s="111"/>
      <c r="RU111" s="111"/>
      <c r="RV111" s="111"/>
      <c r="RW111" s="111"/>
      <c r="RX111" s="111"/>
      <c r="RY111" s="111"/>
      <c r="RZ111" s="111"/>
      <c r="SA111" s="111"/>
      <c r="SB111" s="111"/>
      <c r="SC111" s="111"/>
      <c r="SD111" s="111"/>
      <c r="SE111" s="111"/>
      <c r="SF111" s="111"/>
      <c r="SG111" s="111"/>
      <c r="SH111" s="111"/>
      <c r="SI111" s="111"/>
      <c r="SJ111" s="111"/>
      <c r="SK111" s="111"/>
      <c r="SL111" s="111"/>
      <c r="SM111" s="111"/>
      <c r="SN111" s="111"/>
      <c r="SO111" s="111"/>
      <c r="SP111" s="111"/>
      <c r="SQ111" s="111"/>
      <c r="SR111" s="111"/>
      <c r="SS111" s="111"/>
      <c r="ST111" s="111"/>
      <c r="SU111" s="111"/>
      <c r="SV111" s="111"/>
      <c r="SW111" s="111"/>
      <c r="SX111" s="111"/>
      <c r="SY111" s="111"/>
      <c r="SZ111" s="111"/>
      <c r="TA111" s="111"/>
      <c r="TB111" s="111"/>
      <c r="TC111" s="111"/>
      <c r="TD111" s="111"/>
      <c r="TE111" s="111"/>
      <c r="TF111" s="111"/>
      <c r="TG111" s="111"/>
      <c r="TH111" s="111"/>
      <c r="TI111" s="111"/>
      <c r="TJ111" s="111"/>
      <c r="TK111" s="111"/>
      <c r="TL111" s="111"/>
      <c r="TM111" s="111"/>
      <c r="TN111" s="111"/>
      <c r="TO111" s="111"/>
      <c r="TP111" s="111"/>
      <c r="TQ111" s="111"/>
      <c r="TR111" s="111"/>
      <c r="TS111" s="111"/>
      <c r="TT111" s="111"/>
      <c r="TU111" s="111"/>
      <c r="TV111" s="111"/>
      <c r="TW111" s="111"/>
      <c r="TX111" s="111"/>
      <c r="TY111" s="111"/>
      <c r="TZ111" s="111"/>
      <c r="UA111" s="111"/>
      <c r="UB111" s="111"/>
      <c r="UC111" s="111"/>
      <c r="UD111" s="111"/>
      <c r="UE111" s="111"/>
      <c r="UF111" s="111"/>
      <c r="UG111" s="111"/>
      <c r="UH111" s="111"/>
      <c r="UI111" s="111"/>
      <c r="UJ111" s="111"/>
      <c r="UK111" s="111"/>
      <c r="UL111" s="111"/>
      <c r="UM111" s="111"/>
      <c r="UN111" s="111"/>
      <c r="UO111" s="111"/>
      <c r="UP111" s="111"/>
      <c r="UQ111" s="111"/>
      <c r="UR111" s="111"/>
      <c r="US111" s="111"/>
      <c r="UT111" s="111"/>
      <c r="UU111" s="111"/>
      <c r="UV111" s="111"/>
      <c r="UW111" s="111"/>
      <c r="UX111" s="111"/>
      <c r="UY111" s="111"/>
      <c r="UZ111" s="111"/>
      <c r="VA111" s="111"/>
      <c r="VB111" s="111"/>
      <c r="VC111" s="111"/>
      <c r="VD111" s="111"/>
      <c r="VE111" s="111"/>
      <c r="VF111" s="111"/>
      <c r="VG111" s="111"/>
      <c r="VH111" s="111"/>
      <c r="VI111" s="111"/>
      <c r="VJ111" s="111"/>
      <c r="VK111" s="111"/>
      <c r="VL111" s="111"/>
      <c r="VM111" s="111"/>
      <c r="VN111" s="111"/>
      <c r="VO111" s="111"/>
      <c r="VP111" s="111"/>
      <c r="VQ111" s="111"/>
      <c r="VR111" s="111"/>
      <c r="VS111" s="111"/>
      <c r="VT111" s="111"/>
      <c r="VU111" s="111"/>
      <c r="VV111" s="111"/>
      <c r="VW111" s="111"/>
      <c r="VX111" s="111"/>
      <c r="VY111" s="111"/>
      <c r="VZ111" s="111"/>
      <c r="WA111" s="111"/>
      <c r="WB111" s="111"/>
      <c r="WC111" s="111"/>
      <c r="WD111" s="111"/>
      <c r="WE111" s="111"/>
      <c r="WF111" s="111"/>
      <c r="WG111" s="111"/>
      <c r="WH111" s="111"/>
      <c r="WI111" s="111"/>
      <c r="WJ111" s="111"/>
      <c r="WK111" s="111"/>
      <c r="WL111" s="111"/>
      <c r="WM111" s="111"/>
      <c r="WN111" s="111"/>
      <c r="WO111" s="111"/>
      <c r="WP111" s="111"/>
      <c r="WQ111" s="111"/>
      <c r="WR111" s="111"/>
      <c r="WS111" s="111"/>
      <c r="WT111" s="111"/>
      <c r="WU111" s="111"/>
      <c r="WV111" s="111"/>
      <c r="WW111" s="111"/>
      <c r="WX111" s="111"/>
      <c r="WY111" s="111"/>
      <c r="WZ111" s="111"/>
      <c r="XA111" s="111"/>
      <c r="XB111" s="111"/>
      <c r="XC111" s="111"/>
      <c r="XD111" s="111"/>
      <c r="XE111" s="111"/>
      <c r="XF111" s="111"/>
      <c r="XG111" s="111"/>
      <c r="XH111" s="111"/>
      <c r="XI111" s="111"/>
      <c r="XJ111" s="111"/>
      <c r="XK111" s="111"/>
      <c r="XL111" s="111"/>
      <c r="XM111" s="111"/>
      <c r="XN111" s="111"/>
      <c r="XO111" s="111"/>
      <c r="XP111" s="111"/>
      <c r="XQ111" s="111"/>
      <c r="XR111" s="111"/>
      <c r="XS111" s="111"/>
      <c r="XT111" s="111"/>
      <c r="XU111" s="111"/>
      <c r="XV111" s="111"/>
      <c r="XW111" s="111"/>
      <c r="XX111" s="111"/>
      <c r="XY111" s="111"/>
      <c r="XZ111" s="111"/>
      <c r="YA111" s="111"/>
      <c r="YB111" s="111"/>
      <c r="YC111" s="111"/>
      <c r="YD111" s="111"/>
      <c r="YE111" s="111"/>
      <c r="YF111" s="111"/>
      <c r="YG111" s="111"/>
      <c r="YH111" s="111"/>
      <c r="YI111" s="111"/>
      <c r="YJ111" s="111"/>
      <c r="YK111" s="111"/>
      <c r="YL111" s="111"/>
      <c r="YM111" s="111"/>
      <c r="YN111" s="111"/>
      <c r="YO111" s="111"/>
      <c r="YP111" s="111"/>
      <c r="YQ111" s="111"/>
      <c r="YR111" s="111"/>
      <c r="YS111" s="111"/>
      <c r="YT111" s="111"/>
      <c r="YU111" s="111"/>
      <c r="YV111" s="111"/>
      <c r="YW111" s="111"/>
      <c r="YX111" s="111"/>
      <c r="YY111" s="111"/>
      <c r="YZ111" s="111"/>
      <c r="ZA111" s="111"/>
      <c r="ZB111" s="111"/>
      <c r="ZC111" s="111"/>
      <c r="ZD111" s="111"/>
      <c r="ZE111" s="111"/>
      <c r="ZF111" s="111"/>
      <c r="ZG111" s="111"/>
    </row>
    <row r="112" spans="1:683" s="109" customFormat="1" ht="23.1" customHeight="1" thickBot="1" x14ac:dyDescent="0.3">
      <c r="A112" s="153">
        <v>18</v>
      </c>
      <c r="B112" s="157" t="s">
        <v>74</v>
      </c>
      <c r="C112" s="157" t="s">
        <v>135</v>
      </c>
      <c r="D112" s="157" t="s">
        <v>583</v>
      </c>
      <c r="E112" s="157" t="s">
        <v>31</v>
      </c>
      <c r="F112" s="157" t="s">
        <v>260</v>
      </c>
      <c r="G112" s="158">
        <v>45916</v>
      </c>
      <c r="H112" s="158">
        <f t="shared" si="10"/>
        <v>46281</v>
      </c>
      <c r="I112" s="137" t="s">
        <v>451</v>
      </c>
      <c r="J112" s="34">
        <v>30</v>
      </c>
      <c r="K112" s="14">
        <v>46216</v>
      </c>
      <c r="L112" s="14">
        <f t="shared" si="11"/>
        <v>46245</v>
      </c>
      <c r="M112" s="34"/>
      <c r="N112" s="14"/>
      <c r="O112" s="181">
        <f t="shared" si="12"/>
        <v>-1</v>
      </c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</row>
    <row r="113" spans="1:683" s="109" customFormat="1" ht="23.1" customHeight="1" thickBot="1" x14ac:dyDescent="0.3">
      <c r="A113" s="153">
        <v>19</v>
      </c>
      <c r="B113" s="157" t="s">
        <v>74</v>
      </c>
      <c r="C113" s="157" t="s">
        <v>136</v>
      </c>
      <c r="D113" s="157" t="s">
        <v>584</v>
      </c>
      <c r="E113" s="157" t="s">
        <v>31</v>
      </c>
      <c r="F113" s="157" t="s">
        <v>461</v>
      </c>
      <c r="G113" s="158">
        <v>45679</v>
      </c>
      <c r="H113" s="158">
        <f t="shared" si="10"/>
        <v>46044</v>
      </c>
      <c r="I113" s="146" t="s">
        <v>450</v>
      </c>
      <c r="J113" s="34">
        <v>30</v>
      </c>
      <c r="K113" s="14">
        <v>46237</v>
      </c>
      <c r="L113" s="14">
        <f t="shared" si="11"/>
        <v>46266</v>
      </c>
      <c r="M113" s="34"/>
      <c r="N113" s="14"/>
      <c r="O113" s="181">
        <f t="shared" si="12"/>
        <v>-1</v>
      </c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</row>
    <row r="114" spans="1:683" s="109" customFormat="1" ht="23.1" customHeight="1" thickBot="1" x14ac:dyDescent="0.3">
      <c r="A114" s="153">
        <v>20</v>
      </c>
      <c r="B114" s="157" t="s">
        <v>74</v>
      </c>
      <c r="C114" s="157" t="s">
        <v>144</v>
      </c>
      <c r="D114" s="157" t="s">
        <v>585</v>
      </c>
      <c r="E114" s="157" t="s">
        <v>31</v>
      </c>
      <c r="F114" s="157" t="s">
        <v>462</v>
      </c>
      <c r="G114" s="173">
        <v>45965</v>
      </c>
      <c r="H114" s="158">
        <f t="shared" si="10"/>
        <v>46330</v>
      </c>
      <c r="I114" s="142" t="s">
        <v>453</v>
      </c>
      <c r="J114" s="19">
        <v>15</v>
      </c>
      <c r="K114" s="14">
        <v>46024</v>
      </c>
      <c r="L114" s="14">
        <f t="shared" si="11"/>
        <v>46038</v>
      </c>
      <c r="M114" s="19">
        <v>15</v>
      </c>
      <c r="N114" s="14">
        <v>46266</v>
      </c>
      <c r="O114" s="181">
        <f t="shared" si="12"/>
        <v>46280</v>
      </c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DH114" s="93"/>
      <c r="DI114" s="93"/>
      <c r="DJ114" s="93"/>
      <c r="DK114" s="93"/>
      <c r="DL114" s="93"/>
      <c r="DM114" s="93"/>
      <c r="DN114" s="93"/>
      <c r="DO114" s="93"/>
      <c r="DP114" s="93"/>
      <c r="DQ114" s="93"/>
      <c r="DR114" s="93"/>
      <c r="DS114" s="93"/>
      <c r="DT114" s="93"/>
      <c r="DU114" s="93"/>
      <c r="DV114" s="93"/>
      <c r="DW114" s="93"/>
      <c r="DX114" s="93"/>
      <c r="DY114" s="93"/>
      <c r="DZ114" s="93"/>
      <c r="EA114" s="93"/>
      <c r="EB114" s="93"/>
      <c r="EC114" s="93"/>
      <c r="ED114" s="93"/>
      <c r="EE114" s="93"/>
      <c r="EF114" s="93"/>
      <c r="EG114" s="93"/>
      <c r="EH114" s="93"/>
      <c r="EI114" s="93"/>
      <c r="EJ114" s="93"/>
      <c r="EK114" s="93"/>
      <c r="EL114" s="93"/>
      <c r="EM114" s="93"/>
      <c r="EN114" s="93"/>
      <c r="EO114" s="93"/>
      <c r="EP114" s="93"/>
      <c r="EQ114" s="93"/>
      <c r="ER114" s="93"/>
      <c r="ES114" s="93"/>
      <c r="ET114" s="93"/>
      <c r="EU114" s="93"/>
      <c r="EV114" s="93"/>
      <c r="EW114" s="93"/>
      <c r="EX114" s="93"/>
      <c r="EY114" s="93"/>
      <c r="EZ114" s="93"/>
      <c r="FA114" s="93"/>
      <c r="FB114" s="93"/>
      <c r="FC114" s="93"/>
      <c r="FD114" s="93"/>
      <c r="FE114" s="93"/>
      <c r="FF114" s="93"/>
      <c r="FG114" s="93"/>
      <c r="FH114" s="93"/>
      <c r="FI114" s="93"/>
      <c r="FJ114" s="93"/>
      <c r="FK114" s="93"/>
      <c r="FL114" s="93"/>
      <c r="FM114" s="93"/>
      <c r="FN114" s="93"/>
      <c r="FO114" s="93"/>
      <c r="FP114" s="93"/>
      <c r="FQ114" s="93"/>
      <c r="FR114" s="93"/>
      <c r="FS114" s="93"/>
      <c r="FT114" s="93"/>
      <c r="FU114" s="93"/>
      <c r="FV114" s="93"/>
      <c r="FW114" s="93"/>
      <c r="FX114" s="93"/>
      <c r="FY114" s="93"/>
      <c r="FZ114" s="93"/>
      <c r="GA114" s="93"/>
      <c r="GB114" s="93"/>
      <c r="GC114" s="93"/>
      <c r="GD114" s="93"/>
      <c r="GE114" s="93"/>
      <c r="GF114" s="93"/>
      <c r="GG114" s="93"/>
      <c r="GH114" s="93"/>
      <c r="GI114" s="93"/>
      <c r="GJ114" s="93"/>
      <c r="GK114" s="93"/>
      <c r="GL114" s="93"/>
      <c r="GM114" s="93"/>
      <c r="GN114" s="93"/>
      <c r="GO114" s="93"/>
      <c r="GP114" s="93"/>
      <c r="GQ114" s="93"/>
      <c r="GR114" s="93"/>
      <c r="GS114" s="93"/>
      <c r="GT114" s="93"/>
      <c r="GU114" s="93"/>
      <c r="GV114" s="93"/>
      <c r="GW114" s="93"/>
      <c r="GX114" s="93"/>
      <c r="GY114" s="93"/>
      <c r="GZ114" s="93"/>
      <c r="HA114" s="93"/>
      <c r="HB114" s="93"/>
      <c r="HC114" s="93"/>
      <c r="HD114" s="93"/>
      <c r="HE114" s="93"/>
      <c r="HF114" s="93"/>
      <c r="HG114" s="93"/>
      <c r="HH114" s="93"/>
      <c r="HI114" s="93"/>
      <c r="HJ114" s="93"/>
      <c r="HK114" s="93"/>
      <c r="HL114" s="93"/>
      <c r="HM114" s="93"/>
      <c r="HN114" s="93"/>
      <c r="HO114" s="93"/>
      <c r="HP114" s="93"/>
      <c r="HQ114" s="93"/>
      <c r="HR114" s="93"/>
      <c r="HS114" s="93"/>
      <c r="HT114" s="93"/>
      <c r="HU114" s="93"/>
      <c r="HV114" s="93"/>
      <c r="HW114" s="93"/>
      <c r="HX114" s="93"/>
      <c r="HY114" s="93"/>
      <c r="HZ114" s="93"/>
      <c r="IA114" s="93"/>
      <c r="IB114" s="93"/>
      <c r="IC114" s="93"/>
      <c r="ID114" s="93"/>
      <c r="IE114" s="93"/>
      <c r="IF114" s="93"/>
      <c r="IG114" s="93"/>
      <c r="IH114" s="93"/>
      <c r="II114" s="93"/>
      <c r="IJ114" s="93"/>
      <c r="IK114" s="93"/>
      <c r="IL114" s="93"/>
      <c r="IM114" s="93"/>
      <c r="IN114" s="93"/>
      <c r="IO114" s="93"/>
      <c r="IP114" s="93"/>
      <c r="IQ114" s="93"/>
      <c r="IR114" s="93"/>
      <c r="IS114" s="93"/>
      <c r="IT114" s="93"/>
      <c r="IU114" s="93"/>
      <c r="IV114" s="93"/>
      <c r="IW114" s="93"/>
      <c r="IX114" s="93"/>
      <c r="IY114" s="93"/>
      <c r="IZ114" s="93"/>
      <c r="JA114" s="93"/>
      <c r="JB114" s="93"/>
      <c r="JC114" s="93"/>
      <c r="JD114" s="93"/>
      <c r="JE114" s="93"/>
      <c r="JF114" s="93"/>
      <c r="JG114" s="93"/>
      <c r="JH114" s="93"/>
      <c r="JI114" s="93"/>
      <c r="JJ114" s="93"/>
      <c r="JK114" s="93"/>
      <c r="JL114" s="93"/>
      <c r="JM114" s="93"/>
      <c r="JN114" s="93"/>
      <c r="JO114" s="93"/>
      <c r="JP114" s="93"/>
      <c r="JQ114" s="93"/>
      <c r="JR114" s="93"/>
      <c r="JS114" s="93"/>
      <c r="JT114" s="93"/>
      <c r="JU114" s="93"/>
      <c r="JV114" s="93"/>
      <c r="JW114" s="93"/>
      <c r="JX114" s="93"/>
      <c r="JY114" s="93"/>
      <c r="JZ114" s="93"/>
      <c r="KA114" s="93"/>
      <c r="KB114" s="93"/>
      <c r="KC114" s="93"/>
      <c r="KD114" s="93"/>
      <c r="KE114" s="93"/>
      <c r="KF114" s="93"/>
      <c r="KG114" s="93"/>
      <c r="KH114" s="93"/>
      <c r="KI114" s="93"/>
      <c r="KJ114" s="93"/>
      <c r="KK114" s="93"/>
      <c r="KL114" s="93"/>
      <c r="KM114" s="93"/>
      <c r="KN114" s="93"/>
      <c r="KO114" s="93"/>
      <c r="KP114" s="93"/>
      <c r="KQ114" s="93"/>
      <c r="KR114" s="93"/>
      <c r="KS114" s="93"/>
      <c r="KT114" s="93"/>
      <c r="KU114" s="93"/>
      <c r="KV114" s="93"/>
      <c r="KW114" s="93"/>
      <c r="KX114" s="93"/>
      <c r="KY114" s="93"/>
      <c r="KZ114" s="93"/>
      <c r="LA114" s="93"/>
      <c r="LB114" s="93"/>
      <c r="LC114" s="93"/>
      <c r="LD114" s="93"/>
      <c r="LE114" s="93"/>
      <c r="LF114" s="93"/>
      <c r="LG114" s="93"/>
      <c r="LH114" s="93"/>
      <c r="LI114" s="93"/>
      <c r="LJ114" s="93"/>
      <c r="LK114" s="93"/>
      <c r="LL114" s="93"/>
      <c r="LM114" s="93"/>
      <c r="LN114" s="93"/>
      <c r="LO114" s="93"/>
      <c r="LP114" s="93"/>
      <c r="LQ114" s="93"/>
      <c r="LR114" s="93"/>
      <c r="LS114" s="93"/>
      <c r="LT114" s="93"/>
      <c r="LU114" s="93"/>
      <c r="LV114" s="93"/>
      <c r="LW114" s="93"/>
      <c r="LX114" s="93"/>
      <c r="LY114" s="93"/>
      <c r="LZ114" s="93"/>
      <c r="MA114" s="93"/>
      <c r="MB114" s="93"/>
      <c r="MC114" s="93"/>
      <c r="MD114" s="93"/>
      <c r="ME114" s="93"/>
      <c r="MF114" s="93"/>
      <c r="MG114" s="93"/>
      <c r="MH114" s="93"/>
      <c r="MI114" s="93"/>
      <c r="MJ114" s="93"/>
      <c r="MK114" s="93"/>
      <c r="ML114" s="93"/>
      <c r="MM114" s="93"/>
      <c r="MN114" s="93"/>
      <c r="MO114" s="93"/>
      <c r="MP114" s="93"/>
      <c r="MQ114" s="93"/>
      <c r="MR114" s="93"/>
      <c r="MS114" s="93"/>
      <c r="MT114" s="93"/>
      <c r="MU114" s="93"/>
      <c r="MV114" s="93"/>
      <c r="MW114" s="93"/>
      <c r="MX114" s="93"/>
      <c r="MY114" s="93"/>
      <c r="MZ114" s="93"/>
      <c r="NA114" s="93"/>
      <c r="NB114" s="93"/>
      <c r="NC114" s="93"/>
      <c r="ND114" s="93"/>
      <c r="NE114" s="93"/>
      <c r="NF114" s="93"/>
      <c r="NG114" s="93"/>
      <c r="NH114" s="93"/>
      <c r="NI114" s="93"/>
      <c r="NJ114" s="93"/>
      <c r="NK114" s="93"/>
      <c r="NL114" s="93"/>
      <c r="NM114" s="93"/>
      <c r="NN114" s="93"/>
      <c r="NO114" s="93"/>
      <c r="NP114" s="93"/>
      <c r="NQ114" s="93"/>
      <c r="NR114" s="93"/>
      <c r="NS114" s="93"/>
      <c r="NT114" s="93"/>
      <c r="NU114" s="93"/>
      <c r="NV114" s="93"/>
      <c r="NW114" s="93"/>
      <c r="NX114" s="93"/>
      <c r="NY114" s="93"/>
      <c r="NZ114" s="93"/>
      <c r="OA114" s="93"/>
      <c r="OB114" s="93"/>
      <c r="OC114" s="93"/>
      <c r="OD114" s="93"/>
      <c r="OE114" s="93"/>
      <c r="OF114" s="93"/>
      <c r="OG114" s="93"/>
      <c r="OH114" s="93"/>
      <c r="OI114" s="93"/>
      <c r="OJ114" s="93"/>
      <c r="OK114" s="93"/>
      <c r="OL114" s="93"/>
      <c r="OM114" s="93"/>
      <c r="ON114" s="93"/>
      <c r="OO114" s="93"/>
      <c r="OP114" s="93"/>
      <c r="OQ114" s="93"/>
      <c r="OR114" s="93"/>
      <c r="OS114" s="93"/>
      <c r="OT114" s="93"/>
      <c r="OU114" s="93"/>
      <c r="OV114" s="93"/>
      <c r="OW114" s="93"/>
      <c r="OX114" s="93"/>
      <c r="OY114" s="93"/>
      <c r="OZ114" s="93"/>
      <c r="PA114" s="93"/>
      <c r="PB114" s="93"/>
      <c r="PC114" s="93"/>
      <c r="PD114" s="93"/>
      <c r="PE114" s="93"/>
      <c r="PF114" s="93"/>
      <c r="PG114" s="93"/>
      <c r="PH114" s="93"/>
      <c r="PI114" s="93"/>
      <c r="PJ114" s="93"/>
      <c r="PK114" s="93"/>
      <c r="PL114" s="93"/>
      <c r="PM114" s="93"/>
      <c r="PN114" s="93"/>
      <c r="PO114" s="93"/>
      <c r="PP114" s="93"/>
      <c r="PQ114" s="93"/>
      <c r="PR114" s="93"/>
      <c r="PS114" s="93"/>
      <c r="PT114" s="93"/>
      <c r="PU114" s="93"/>
      <c r="PV114" s="93"/>
      <c r="PW114" s="93"/>
      <c r="PX114" s="93"/>
      <c r="PY114" s="93"/>
      <c r="PZ114" s="93"/>
      <c r="QA114" s="93"/>
      <c r="QB114" s="93"/>
      <c r="QC114" s="93"/>
      <c r="QD114" s="93"/>
      <c r="QE114" s="93"/>
      <c r="QF114" s="93"/>
      <c r="QG114" s="93"/>
      <c r="QH114" s="93"/>
      <c r="QI114" s="93"/>
      <c r="QJ114" s="93"/>
      <c r="QK114" s="93"/>
      <c r="QL114" s="93"/>
      <c r="QM114" s="93"/>
      <c r="QN114" s="93"/>
      <c r="QO114" s="93"/>
      <c r="QP114" s="93"/>
      <c r="QQ114" s="93"/>
      <c r="QR114" s="93"/>
      <c r="QS114" s="93"/>
      <c r="QT114" s="93"/>
      <c r="QU114" s="93"/>
      <c r="QV114" s="93"/>
      <c r="QW114" s="93"/>
      <c r="QX114" s="93"/>
      <c r="QY114" s="93"/>
      <c r="QZ114" s="93"/>
      <c r="RA114" s="93"/>
      <c r="RB114" s="93"/>
      <c r="RC114" s="93"/>
      <c r="RD114" s="93"/>
      <c r="RE114" s="93"/>
      <c r="RF114" s="93"/>
      <c r="RG114" s="93"/>
      <c r="RH114" s="93"/>
      <c r="RI114" s="93"/>
      <c r="RJ114" s="93"/>
      <c r="RK114" s="93"/>
      <c r="RL114" s="93"/>
      <c r="RM114" s="93"/>
      <c r="RN114" s="93"/>
      <c r="RO114" s="93"/>
      <c r="RP114" s="93"/>
      <c r="RQ114" s="93"/>
      <c r="RR114" s="93"/>
      <c r="RS114" s="93"/>
      <c r="RT114" s="93"/>
      <c r="RU114" s="93"/>
      <c r="RV114" s="93"/>
      <c r="RW114" s="93"/>
      <c r="RX114" s="93"/>
      <c r="RY114" s="93"/>
      <c r="RZ114" s="93"/>
      <c r="SA114" s="93"/>
      <c r="SB114" s="93"/>
      <c r="SC114" s="93"/>
      <c r="SD114" s="93"/>
      <c r="SE114" s="93"/>
      <c r="SF114" s="93"/>
      <c r="SG114" s="93"/>
      <c r="SH114" s="93"/>
      <c r="SI114" s="93"/>
      <c r="SJ114" s="93"/>
      <c r="SK114" s="93"/>
      <c r="SL114" s="93"/>
      <c r="SM114" s="93"/>
      <c r="SN114" s="93"/>
      <c r="SO114" s="93"/>
      <c r="SP114" s="93"/>
      <c r="SQ114" s="93"/>
      <c r="SR114" s="93"/>
      <c r="SS114" s="93"/>
      <c r="ST114" s="93"/>
      <c r="SU114" s="93"/>
      <c r="SV114" s="93"/>
      <c r="SW114" s="93"/>
      <c r="SX114" s="93"/>
      <c r="SY114" s="93"/>
      <c r="SZ114" s="93"/>
      <c r="TA114" s="93"/>
      <c r="TB114" s="93"/>
      <c r="TC114" s="93"/>
      <c r="TD114" s="93"/>
      <c r="TE114" s="93"/>
      <c r="TF114" s="93"/>
      <c r="TG114" s="93"/>
      <c r="TH114" s="93"/>
      <c r="TI114" s="93"/>
      <c r="TJ114" s="93"/>
      <c r="TK114" s="93"/>
      <c r="TL114" s="93"/>
      <c r="TM114" s="93"/>
      <c r="TN114" s="93"/>
      <c r="TO114" s="93"/>
      <c r="TP114" s="93"/>
      <c r="TQ114" s="93"/>
      <c r="TR114" s="93"/>
      <c r="TS114" s="93"/>
      <c r="TT114" s="93"/>
      <c r="TU114" s="93"/>
      <c r="TV114" s="93"/>
      <c r="TW114" s="93"/>
      <c r="TX114" s="93"/>
      <c r="TY114" s="93"/>
      <c r="TZ114" s="93"/>
      <c r="UA114" s="93"/>
      <c r="UB114" s="93"/>
      <c r="UC114" s="93"/>
      <c r="UD114" s="93"/>
      <c r="UE114" s="93"/>
      <c r="UF114" s="93"/>
      <c r="UG114" s="93"/>
      <c r="UH114" s="93"/>
      <c r="UI114" s="93"/>
      <c r="UJ114" s="93"/>
      <c r="UK114" s="93"/>
      <c r="UL114" s="93"/>
      <c r="UM114" s="93"/>
      <c r="UN114" s="93"/>
      <c r="UO114" s="93"/>
      <c r="UP114" s="93"/>
      <c r="UQ114" s="93"/>
      <c r="UR114" s="93"/>
      <c r="US114" s="93"/>
      <c r="UT114" s="93"/>
      <c r="UU114" s="93"/>
      <c r="UV114" s="93"/>
      <c r="UW114" s="93"/>
      <c r="UX114" s="93"/>
      <c r="UY114" s="93"/>
      <c r="UZ114" s="93"/>
      <c r="VA114" s="93"/>
      <c r="VB114" s="93"/>
      <c r="VC114" s="93"/>
      <c r="VD114" s="93"/>
      <c r="VE114" s="93"/>
      <c r="VF114" s="93"/>
      <c r="VG114" s="93"/>
      <c r="VH114" s="93"/>
      <c r="VI114" s="93"/>
      <c r="VJ114" s="93"/>
      <c r="VK114" s="93"/>
      <c r="VL114" s="93"/>
      <c r="VM114" s="93"/>
      <c r="VN114" s="93"/>
      <c r="VO114" s="93"/>
      <c r="VP114" s="93"/>
      <c r="VQ114" s="93"/>
      <c r="VR114" s="93"/>
      <c r="VS114" s="93"/>
      <c r="VT114" s="93"/>
      <c r="VU114" s="93"/>
      <c r="VV114" s="93"/>
      <c r="VW114" s="93"/>
      <c r="VX114" s="93"/>
      <c r="VY114" s="93"/>
      <c r="VZ114" s="93"/>
      <c r="WA114" s="93"/>
      <c r="WB114" s="93"/>
      <c r="WC114" s="93"/>
      <c r="WD114" s="93"/>
      <c r="WE114" s="93"/>
      <c r="WF114" s="93"/>
      <c r="WG114" s="93"/>
      <c r="WH114" s="93"/>
      <c r="WI114" s="93"/>
      <c r="WJ114" s="93"/>
      <c r="WK114" s="93"/>
      <c r="WL114" s="93"/>
      <c r="WM114" s="93"/>
      <c r="WN114" s="93"/>
      <c r="WO114" s="93"/>
      <c r="WP114" s="93"/>
      <c r="WQ114" s="93"/>
      <c r="WR114" s="93"/>
      <c r="WS114" s="93"/>
      <c r="WT114" s="93"/>
      <c r="WU114" s="93"/>
      <c r="WV114" s="93"/>
      <c r="WW114" s="93"/>
      <c r="WX114" s="93"/>
      <c r="WY114" s="93"/>
      <c r="WZ114" s="93"/>
      <c r="XA114" s="93"/>
      <c r="XB114" s="93"/>
      <c r="XC114" s="93"/>
      <c r="XD114" s="93"/>
      <c r="XE114" s="93"/>
      <c r="XF114" s="93"/>
      <c r="XG114" s="93"/>
      <c r="XH114" s="93"/>
      <c r="XI114" s="93"/>
      <c r="XJ114" s="93"/>
      <c r="XK114" s="93"/>
      <c r="XL114" s="93"/>
      <c r="XM114" s="93"/>
      <c r="XN114" s="93"/>
      <c r="XO114" s="93"/>
      <c r="XP114" s="93"/>
      <c r="XQ114" s="93"/>
      <c r="XR114" s="93"/>
      <c r="XS114" s="93"/>
      <c r="XT114" s="93"/>
      <c r="XU114" s="93"/>
      <c r="XV114" s="93"/>
      <c r="XW114" s="93"/>
      <c r="XX114" s="93"/>
      <c r="XY114" s="93"/>
      <c r="XZ114" s="93"/>
      <c r="YA114" s="93"/>
      <c r="YB114" s="93"/>
      <c r="YC114" s="93"/>
      <c r="YD114" s="93"/>
      <c r="YE114" s="93"/>
      <c r="YF114" s="93"/>
      <c r="YG114" s="93"/>
      <c r="YH114" s="93"/>
      <c r="YI114" s="93"/>
      <c r="YJ114" s="93"/>
      <c r="YK114" s="93"/>
      <c r="YL114" s="93"/>
      <c r="YM114" s="93"/>
      <c r="YN114" s="93"/>
      <c r="YO114" s="93"/>
      <c r="YP114" s="93"/>
      <c r="YQ114" s="93"/>
      <c r="YR114" s="93"/>
      <c r="YS114" s="93"/>
      <c r="YT114" s="93"/>
      <c r="YU114" s="93"/>
      <c r="YV114" s="93"/>
      <c r="YW114" s="93"/>
      <c r="YX114" s="93"/>
      <c r="YY114" s="93"/>
      <c r="YZ114" s="93"/>
      <c r="ZA114" s="93"/>
      <c r="ZB114" s="93"/>
      <c r="ZC114" s="93"/>
      <c r="ZD114" s="93"/>
      <c r="ZE114" s="93"/>
      <c r="ZF114" s="93"/>
      <c r="ZG114" s="93"/>
    </row>
    <row r="115" spans="1:683" s="109" customFormat="1" ht="23.1" customHeight="1" thickBot="1" x14ac:dyDescent="0.3">
      <c r="A115" s="153">
        <v>21</v>
      </c>
      <c r="B115" s="157" t="s">
        <v>74</v>
      </c>
      <c r="C115" s="157" t="s">
        <v>146</v>
      </c>
      <c r="D115" s="157" t="s">
        <v>586</v>
      </c>
      <c r="E115" s="157" t="s">
        <v>31</v>
      </c>
      <c r="F115" s="157" t="s">
        <v>465</v>
      </c>
      <c r="G115" s="158">
        <v>45909</v>
      </c>
      <c r="H115" s="158">
        <f t="shared" si="10"/>
        <v>46274</v>
      </c>
      <c r="I115" s="135" t="s">
        <v>444</v>
      </c>
      <c r="J115" s="34">
        <v>30</v>
      </c>
      <c r="K115" s="14">
        <v>46027</v>
      </c>
      <c r="L115" s="14">
        <f t="shared" si="11"/>
        <v>46056</v>
      </c>
      <c r="M115" s="34"/>
      <c r="N115" s="14"/>
      <c r="O115" s="181">
        <f t="shared" si="12"/>
        <v>-1</v>
      </c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</row>
    <row r="116" spans="1:683" s="109" customFormat="1" ht="23.1" customHeight="1" thickBot="1" x14ac:dyDescent="0.3">
      <c r="A116" s="153">
        <v>22</v>
      </c>
      <c r="B116" s="157" t="s">
        <v>74</v>
      </c>
      <c r="C116" s="157" t="s">
        <v>306</v>
      </c>
      <c r="D116" s="157" t="s">
        <v>587</v>
      </c>
      <c r="E116" s="157" t="s">
        <v>31</v>
      </c>
      <c r="F116" s="157" t="s">
        <v>462</v>
      </c>
      <c r="G116" s="158">
        <v>45961</v>
      </c>
      <c r="H116" s="158">
        <f>G116+365+1</f>
        <v>46327</v>
      </c>
      <c r="I116" s="146" t="s">
        <v>450</v>
      </c>
      <c r="J116" s="34">
        <v>30</v>
      </c>
      <c r="K116" s="14">
        <v>46341</v>
      </c>
      <c r="L116" s="14">
        <f t="shared" si="11"/>
        <v>46370</v>
      </c>
      <c r="M116" s="34"/>
      <c r="N116" s="14"/>
      <c r="O116" s="181">
        <f t="shared" si="12"/>
        <v>-1</v>
      </c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</row>
    <row r="117" spans="1:683" s="109" customFormat="1" ht="23.1" customHeight="1" thickBot="1" x14ac:dyDescent="0.3">
      <c r="A117" s="153">
        <v>23</v>
      </c>
      <c r="B117" s="157" t="s">
        <v>74</v>
      </c>
      <c r="C117" s="157" t="s">
        <v>304</v>
      </c>
      <c r="D117" s="157" t="s">
        <v>588</v>
      </c>
      <c r="E117" s="157" t="s">
        <v>31</v>
      </c>
      <c r="F117" s="157" t="s">
        <v>462</v>
      </c>
      <c r="G117" s="158">
        <v>45994</v>
      </c>
      <c r="H117" s="158">
        <f>G117+365</f>
        <v>46359</v>
      </c>
      <c r="I117" s="137" t="s">
        <v>451</v>
      </c>
      <c r="J117" s="34">
        <v>15</v>
      </c>
      <c r="K117" s="14">
        <v>46113</v>
      </c>
      <c r="L117" s="14">
        <f t="shared" si="11"/>
        <v>46127</v>
      </c>
      <c r="M117" s="34">
        <v>15</v>
      </c>
      <c r="N117" s="14">
        <v>46327</v>
      </c>
      <c r="O117" s="181">
        <f t="shared" si="12"/>
        <v>46341</v>
      </c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</row>
    <row r="118" spans="1:683" s="109" customFormat="1" ht="23.1" customHeight="1" thickBot="1" x14ac:dyDescent="0.3">
      <c r="A118" s="153">
        <v>24</v>
      </c>
      <c r="B118" s="157" t="s">
        <v>74</v>
      </c>
      <c r="C118" s="157" t="s">
        <v>148</v>
      </c>
      <c r="D118" s="157" t="s">
        <v>589</v>
      </c>
      <c r="E118" s="157" t="s">
        <v>31</v>
      </c>
      <c r="F118" s="157" t="s">
        <v>464</v>
      </c>
      <c r="G118" s="158">
        <v>45857</v>
      </c>
      <c r="H118" s="158">
        <v>46222</v>
      </c>
      <c r="I118" s="135" t="s">
        <v>444</v>
      </c>
      <c r="J118" s="34">
        <v>30</v>
      </c>
      <c r="K118" s="14">
        <v>46358</v>
      </c>
      <c r="L118" s="14">
        <f t="shared" si="11"/>
        <v>46387</v>
      </c>
      <c r="M118" s="34"/>
      <c r="N118" s="14"/>
      <c r="O118" s="181">
        <f t="shared" si="12"/>
        <v>-1</v>
      </c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</row>
    <row r="119" spans="1:683" s="109" customFormat="1" ht="23.1" customHeight="1" thickBot="1" x14ac:dyDescent="0.3">
      <c r="A119" s="153">
        <v>25</v>
      </c>
      <c r="B119" s="157" t="s">
        <v>74</v>
      </c>
      <c r="C119" s="157" t="s">
        <v>150</v>
      </c>
      <c r="D119" s="157" t="s">
        <v>590</v>
      </c>
      <c r="E119" s="157" t="s">
        <v>31</v>
      </c>
      <c r="F119" s="157" t="s">
        <v>464</v>
      </c>
      <c r="G119" s="158">
        <v>45937</v>
      </c>
      <c r="H119" s="158">
        <f t="shared" ref="H119:H137" si="13">G119+365</f>
        <v>46302</v>
      </c>
      <c r="I119" s="135" t="s">
        <v>444</v>
      </c>
      <c r="J119" s="34">
        <v>30</v>
      </c>
      <c r="K119" s="14">
        <v>46034</v>
      </c>
      <c r="L119" s="14">
        <f t="shared" si="11"/>
        <v>46063</v>
      </c>
      <c r="M119" s="34"/>
      <c r="N119" s="14"/>
      <c r="O119" s="181">
        <f t="shared" si="12"/>
        <v>-1</v>
      </c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</row>
    <row r="120" spans="1:683" s="109" customFormat="1" ht="23.1" customHeight="1" thickBot="1" x14ac:dyDescent="0.3">
      <c r="A120" s="153">
        <v>26</v>
      </c>
      <c r="B120" s="157" t="s">
        <v>74</v>
      </c>
      <c r="C120" s="157" t="s">
        <v>310</v>
      </c>
      <c r="D120" s="157" t="s">
        <v>591</v>
      </c>
      <c r="E120" s="157" t="s">
        <v>31</v>
      </c>
      <c r="F120" s="157" t="s">
        <v>464</v>
      </c>
      <c r="G120" s="158">
        <v>45974</v>
      </c>
      <c r="H120" s="158">
        <f t="shared" si="13"/>
        <v>46339</v>
      </c>
      <c r="I120" s="138" t="s">
        <v>446</v>
      </c>
      <c r="J120" s="34">
        <v>15</v>
      </c>
      <c r="K120" s="14">
        <v>46204</v>
      </c>
      <c r="L120" s="14">
        <f t="shared" si="11"/>
        <v>46218</v>
      </c>
      <c r="M120" s="34">
        <v>15</v>
      </c>
      <c r="N120" s="14">
        <v>46279</v>
      </c>
      <c r="O120" s="181">
        <f t="shared" si="12"/>
        <v>46293</v>
      </c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</row>
    <row r="121" spans="1:683" s="109" customFormat="1" ht="23.1" customHeight="1" thickBot="1" x14ac:dyDescent="0.3">
      <c r="A121" s="153">
        <v>27</v>
      </c>
      <c r="B121" s="157" t="s">
        <v>147</v>
      </c>
      <c r="C121" s="157" t="s">
        <v>153</v>
      </c>
      <c r="D121" s="157" t="s">
        <v>592</v>
      </c>
      <c r="E121" s="157" t="s">
        <v>31</v>
      </c>
      <c r="F121" s="157" t="s">
        <v>462</v>
      </c>
      <c r="G121" s="158">
        <v>45821</v>
      </c>
      <c r="H121" s="158">
        <f t="shared" si="13"/>
        <v>46186</v>
      </c>
      <c r="I121" s="148" t="s">
        <v>449</v>
      </c>
      <c r="J121" s="34">
        <v>30</v>
      </c>
      <c r="K121" s="14">
        <v>46237</v>
      </c>
      <c r="L121" s="14">
        <f t="shared" si="11"/>
        <v>46266</v>
      </c>
      <c r="M121" s="34"/>
      <c r="N121" s="14"/>
      <c r="O121" s="181">
        <f t="shared" si="12"/>
        <v>-1</v>
      </c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</row>
    <row r="122" spans="1:683" s="109" customFormat="1" ht="23.1" customHeight="1" thickBot="1" x14ac:dyDescent="0.3">
      <c r="A122" s="153">
        <v>28</v>
      </c>
      <c r="B122" s="161" t="s">
        <v>147</v>
      </c>
      <c r="C122" s="161" t="s">
        <v>157</v>
      </c>
      <c r="D122" s="161" t="s">
        <v>593</v>
      </c>
      <c r="E122" s="161" t="s">
        <v>31</v>
      </c>
      <c r="F122" s="161" t="s">
        <v>462</v>
      </c>
      <c r="G122" s="164">
        <v>45932</v>
      </c>
      <c r="H122" s="164">
        <f t="shared" si="13"/>
        <v>46297</v>
      </c>
      <c r="I122" s="152" t="s">
        <v>445</v>
      </c>
      <c r="J122" s="102">
        <v>15</v>
      </c>
      <c r="K122" s="103">
        <v>46199</v>
      </c>
      <c r="L122" s="103">
        <f t="shared" si="11"/>
        <v>46213</v>
      </c>
      <c r="M122" s="102">
        <v>15</v>
      </c>
      <c r="N122" s="103">
        <v>46262</v>
      </c>
      <c r="O122" s="182">
        <f t="shared" si="12"/>
        <v>46276</v>
      </c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</row>
    <row r="123" spans="1:683" s="109" customFormat="1" ht="23.1" customHeight="1" thickBot="1" x14ac:dyDescent="0.25">
      <c r="A123" s="106">
        <v>1</v>
      </c>
      <c r="B123" s="81" t="s">
        <v>46</v>
      </c>
      <c r="C123" s="80" t="s">
        <v>50</v>
      </c>
      <c r="D123" s="81" t="s">
        <v>594</v>
      </c>
      <c r="E123" s="81" t="s">
        <v>21</v>
      </c>
      <c r="F123" s="81" t="s">
        <v>256</v>
      </c>
      <c r="G123" s="107">
        <v>45887</v>
      </c>
      <c r="H123" s="82">
        <f t="shared" si="13"/>
        <v>46252</v>
      </c>
      <c r="I123" s="133" t="s">
        <v>441</v>
      </c>
      <c r="J123" s="99">
        <v>30</v>
      </c>
      <c r="K123" s="101">
        <v>46056</v>
      </c>
      <c r="L123" s="100">
        <f t="shared" si="11"/>
        <v>46085</v>
      </c>
      <c r="M123" s="99"/>
      <c r="N123" s="101"/>
      <c r="O123" s="180">
        <f t="shared" si="12"/>
        <v>-1</v>
      </c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/>
      <c r="CS123" s="111"/>
      <c r="CT123" s="111"/>
      <c r="CU123" s="111"/>
      <c r="CV123" s="111"/>
      <c r="CW123" s="111"/>
      <c r="CX123" s="111"/>
      <c r="CY123" s="111"/>
      <c r="CZ123" s="111"/>
      <c r="DA123" s="111"/>
      <c r="DB123" s="111"/>
      <c r="DC123" s="111"/>
      <c r="DD123" s="111"/>
      <c r="DE123" s="111"/>
      <c r="DF123" s="111"/>
      <c r="DG123" s="111"/>
      <c r="DH123" s="111"/>
      <c r="DI123" s="111"/>
      <c r="DJ123" s="111"/>
      <c r="DK123" s="111"/>
      <c r="DL123" s="111"/>
      <c r="DM123" s="111"/>
      <c r="DN123" s="111"/>
      <c r="DO123" s="111"/>
      <c r="DP123" s="111"/>
      <c r="DQ123" s="111"/>
      <c r="DR123" s="111"/>
      <c r="DS123" s="111"/>
      <c r="DT123" s="111"/>
      <c r="DU123" s="111"/>
      <c r="DV123" s="111"/>
      <c r="DW123" s="111"/>
      <c r="DX123" s="111"/>
      <c r="DY123" s="111"/>
      <c r="DZ123" s="111"/>
      <c r="EA123" s="111"/>
      <c r="EB123" s="111"/>
      <c r="EC123" s="111"/>
      <c r="ED123" s="111"/>
      <c r="EE123" s="111"/>
      <c r="EF123" s="111"/>
      <c r="EG123" s="111"/>
      <c r="EH123" s="111"/>
      <c r="EI123" s="111"/>
      <c r="EJ123" s="111"/>
      <c r="EK123" s="111"/>
      <c r="EL123" s="111"/>
      <c r="EM123" s="111"/>
      <c r="EN123" s="111"/>
      <c r="EO123" s="111"/>
      <c r="EP123" s="111"/>
      <c r="EQ123" s="111"/>
      <c r="ER123" s="111"/>
      <c r="ES123" s="111"/>
      <c r="ET123" s="111"/>
      <c r="EU123" s="111"/>
      <c r="EV123" s="111"/>
      <c r="EW123" s="111"/>
      <c r="EX123" s="111"/>
      <c r="EY123" s="111"/>
      <c r="EZ123" s="111"/>
      <c r="FA123" s="111"/>
      <c r="FB123" s="111"/>
      <c r="FC123" s="111"/>
      <c r="FD123" s="111"/>
      <c r="FE123" s="111"/>
      <c r="FF123" s="111"/>
      <c r="FG123" s="111"/>
      <c r="FH123" s="111"/>
      <c r="FI123" s="111"/>
      <c r="FJ123" s="111"/>
      <c r="FK123" s="111"/>
      <c r="FL123" s="111"/>
      <c r="FM123" s="111"/>
      <c r="FN123" s="111"/>
      <c r="FO123" s="111"/>
      <c r="FP123" s="111"/>
      <c r="FQ123" s="111"/>
      <c r="FR123" s="111"/>
      <c r="FS123" s="111"/>
      <c r="FT123" s="111"/>
      <c r="FU123" s="111"/>
      <c r="FV123" s="111"/>
      <c r="FW123" s="111"/>
      <c r="FX123" s="111"/>
      <c r="FY123" s="111"/>
      <c r="FZ123" s="111"/>
      <c r="GA123" s="111"/>
      <c r="GB123" s="111"/>
      <c r="GC123" s="111"/>
      <c r="GD123" s="111"/>
      <c r="GE123" s="111"/>
      <c r="GF123" s="111"/>
      <c r="GG123" s="111"/>
      <c r="GH123" s="111"/>
      <c r="GI123" s="111"/>
      <c r="GJ123" s="111"/>
      <c r="GK123" s="111"/>
      <c r="GL123" s="111"/>
      <c r="GM123" s="111"/>
      <c r="GN123" s="111"/>
      <c r="GO123" s="111"/>
      <c r="GP123" s="111"/>
      <c r="GQ123" s="111"/>
      <c r="GR123" s="111"/>
      <c r="GS123" s="111"/>
      <c r="GT123" s="111"/>
      <c r="GU123" s="111"/>
      <c r="GV123" s="111"/>
      <c r="GW123" s="111"/>
      <c r="GX123" s="111"/>
      <c r="GY123" s="111"/>
      <c r="GZ123" s="111"/>
      <c r="HA123" s="111"/>
      <c r="HB123" s="111"/>
      <c r="HC123" s="111"/>
      <c r="HD123" s="111"/>
      <c r="HE123" s="111"/>
      <c r="HF123" s="111"/>
      <c r="HG123" s="111"/>
      <c r="HH123" s="111"/>
      <c r="HI123" s="111"/>
      <c r="HJ123" s="111"/>
      <c r="HK123" s="111"/>
      <c r="HL123" s="111"/>
      <c r="HM123" s="111"/>
      <c r="HN123" s="111"/>
      <c r="HO123" s="111"/>
      <c r="HP123" s="111"/>
      <c r="HQ123" s="111"/>
      <c r="HR123" s="111"/>
      <c r="HS123" s="111"/>
      <c r="HT123" s="111"/>
      <c r="HU123" s="111"/>
      <c r="HV123" s="111"/>
      <c r="HW123" s="111"/>
      <c r="HX123" s="111"/>
      <c r="HY123" s="111"/>
      <c r="HZ123" s="111"/>
      <c r="IA123" s="111"/>
      <c r="IB123" s="111"/>
      <c r="IC123" s="111"/>
      <c r="ID123" s="111"/>
      <c r="IE123" s="111"/>
      <c r="IF123" s="111"/>
      <c r="IG123" s="111"/>
      <c r="IH123" s="111"/>
      <c r="II123" s="111"/>
      <c r="IJ123" s="111"/>
      <c r="IK123" s="111"/>
      <c r="IL123" s="111"/>
      <c r="IM123" s="111"/>
      <c r="IN123" s="111"/>
      <c r="IO123" s="111"/>
      <c r="IP123" s="111"/>
      <c r="IQ123" s="111"/>
      <c r="IR123" s="111"/>
      <c r="IS123" s="111"/>
      <c r="IT123" s="111"/>
      <c r="IU123" s="111"/>
      <c r="IV123" s="111"/>
      <c r="IW123" s="111"/>
      <c r="IX123" s="111"/>
      <c r="IY123" s="111"/>
      <c r="IZ123" s="111"/>
      <c r="JA123" s="111"/>
      <c r="JB123" s="111"/>
      <c r="JC123" s="111"/>
      <c r="JD123" s="111"/>
      <c r="JE123" s="111"/>
      <c r="JF123" s="111"/>
      <c r="JG123" s="111"/>
      <c r="JH123" s="111"/>
      <c r="JI123" s="111"/>
      <c r="JJ123" s="111"/>
      <c r="JK123" s="111"/>
      <c r="JL123" s="111"/>
      <c r="JM123" s="111"/>
      <c r="JN123" s="111"/>
      <c r="JO123" s="111"/>
      <c r="JP123" s="111"/>
      <c r="JQ123" s="111"/>
      <c r="JR123" s="111"/>
      <c r="JS123" s="111"/>
      <c r="JT123" s="111"/>
      <c r="JU123" s="111"/>
      <c r="JV123" s="111"/>
      <c r="JW123" s="111"/>
      <c r="JX123" s="111"/>
      <c r="JY123" s="111"/>
      <c r="JZ123" s="111"/>
      <c r="KA123" s="111"/>
      <c r="KB123" s="111"/>
      <c r="KC123" s="111"/>
      <c r="KD123" s="111"/>
      <c r="KE123" s="111"/>
      <c r="KF123" s="111"/>
      <c r="KG123" s="111"/>
      <c r="KH123" s="111"/>
      <c r="KI123" s="111"/>
      <c r="KJ123" s="111"/>
      <c r="KK123" s="111"/>
      <c r="KL123" s="111"/>
      <c r="KM123" s="111"/>
      <c r="KN123" s="111"/>
      <c r="KO123" s="111"/>
      <c r="KP123" s="111"/>
      <c r="KQ123" s="111"/>
      <c r="KR123" s="111"/>
      <c r="KS123" s="111"/>
      <c r="KT123" s="111"/>
      <c r="KU123" s="111"/>
      <c r="KV123" s="111"/>
      <c r="KW123" s="111"/>
      <c r="KX123" s="111"/>
      <c r="KY123" s="111"/>
      <c r="KZ123" s="111"/>
      <c r="LA123" s="111"/>
      <c r="LB123" s="111"/>
      <c r="LC123" s="111"/>
      <c r="LD123" s="111"/>
      <c r="LE123" s="111"/>
      <c r="LF123" s="111"/>
      <c r="LG123" s="111"/>
      <c r="LH123" s="111"/>
      <c r="LI123" s="111"/>
      <c r="LJ123" s="111"/>
      <c r="LK123" s="111"/>
      <c r="LL123" s="111"/>
      <c r="LM123" s="111"/>
      <c r="LN123" s="111"/>
      <c r="LO123" s="111"/>
      <c r="LP123" s="111"/>
      <c r="LQ123" s="111"/>
      <c r="LR123" s="111"/>
      <c r="LS123" s="111"/>
      <c r="LT123" s="111"/>
      <c r="LU123" s="111"/>
      <c r="LV123" s="111"/>
      <c r="LW123" s="111"/>
      <c r="LX123" s="111"/>
      <c r="LY123" s="111"/>
      <c r="LZ123" s="111"/>
      <c r="MA123" s="111"/>
      <c r="MB123" s="111"/>
      <c r="MC123" s="111"/>
      <c r="MD123" s="111"/>
      <c r="ME123" s="111"/>
      <c r="MF123" s="111"/>
      <c r="MG123" s="111"/>
      <c r="MH123" s="111"/>
      <c r="MI123" s="111"/>
      <c r="MJ123" s="111"/>
      <c r="MK123" s="111"/>
      <c r="ML123" s="111"/>
      <c r="MM123" s="111"/>
      <c r="MN123" s="111"/>
      <c r="MO123" s="111"/>
      <c r="MP123" s="111"/>
      <c r="MQ123" s="111"/>
      <c r="MR123" s="111"/>
      <c r="MS123" s="111"/>
      <c r="MT123" s="111"/>
      <c r="MU123" s="111"/>
      <c r="MV123" s="111"/>
      <c r="MW123" s="111"/>
      <c r="MX123" s="111"/>
      <c r="MY123" s="111"/>
      <c r="MZ123" s="111"/>
      <c r="NA123" s="111"/>
      <c r="NB123" s="111"/>
      <c r="NC123" s="111"/>
      <c r="ND123" s="111"/>
      <c r="NE123" s="111"/>
      <c r="NF123" s="111"/>
      <c r="NG123" s="111"/>
      <c r="NH123" s="111"/>
      <c r="NI123" s="111"/>
      <c r="NJ123" s="111"/>
      <c r="NK123" s="111"/>
      <c r="NL123" s="111"/>
      <c r="NM123" s="111"/>
      <c r="NN123" s="111"/>
      <c r="NO123" s="111"/>
      <c r="NP123" s="111"/>
      <c r="NQ123" s="111"/>
      <c r="NR123" s="111"/>
      <c r="NS123" s="111"/>
      <c r="NT123" s="111"/>
      <c r="NU123" s="111"/>
      <c r="NV123" s="111"/>
      <c r="NW123" s="111"/>
      <c r="NX123" s="111"/>
      <c r="NY123" s="111"/>
      <c r="NZ123" s="111"/>
      <c r="OA123" s="111"/>
      <c r="OB123" s="111"/>
      <c r="OC123" s="111"/>
      <c r="OD123" s="111"/>
      <c r="OE123" s="111"/>
      <c r="OF123" s="111"/>
      <c r="OG123" s="111"/>
      <c r="OH123" s="111"/>
      <c r="OI123" s="111"/>
      <c r="OJ123" s="111"/>
      <c r="OK123" s="111"/>
      <c r="OL123" s="111"/>
      <c r="OM123" s="111"/>
      <c r="ON123" s="111"/>
      <c r="OO123" s="111"/>
      <c r="OP123" s="111"/>
      <c r="OQ123" s="111"/>
      <c r="OR123" s="111"/>
      <c r="OS123" s="111"/>
      <c r="OT123" s="111"/>
      <c r="OU123" s="111"/>
      <c r="OV123" s="111"/>
      <c r="OW123" s="111"/>
      <c r="OX123" s="111"/>
      <c r="OY123" s="111"/>
      <c r="OZ123" s="111"/>
      <c r="PA123" s="111"/>
      <c r="PB123" s="111"/>
      <c r="PC123" s="111"/>
      <c r="PD123" s="111"/>
      <c r="PE123" s="111"/>
      <c r="PF123" s="111"/>
      <c r="PG123" s="111"/>
      <c r="PH123" s="111"/>
      <c r="PI123" s="111"/>
      <c r="PJ123" s="111"/>
      <c r="PK123" s="111"/>
      <c r="PL123" s="111"/>
      <c r="PM123" s="111"/>
      <c r="PN123" s="111"/>
      <c r="PO123" s="111"/>
      <c r="PP123" s="111"/>
      <c r="PQ123" s="111"/>
      <c r="PR123" s="111"/>
      <c r="PS123" s="111"/>
      <c r="PT123" s="111"/>
      <c r="PU123" s="111"/>
      <c r="PV123" s="111"/>
      <c r="PW123" s="111"/>
      <c r="PX123" s="111"/>
      <c r="PY123" s="111"/>
      <c r="PZ123" s="111"/>
      <c r="QA123" s="111"/>
      <c r="QB123" s="111"/>
      <c r="QC123" s="111"/>
      <c r="QD123" s="111"/>
      <c r="QE123" s="111"/>
      <c r="QF123" s="111"/>
      <c r="QG123" s="111"/>
      <c r="QH123" s="111"/>
      <c r="QI123" s="111"/>
      <c r="QJ123" s="111"/>
      <c r="QK123" s="111"/>
      <c r="QL123" s="111"/>
      <c r="QM123" s="111"/>
      <c r="QN123" s="111"/>
      <c r="QO123" s="111"/>
      <c r="QP123" s="111"/>
      <c r="QQ123" s="111"/>
      <c r="QR123" s="111"/>
      <c r="QS123" s="111"/>
      <c r="QT123" s="111"/>
      <c r="QU123" s="111"/>
      <c r="QV123" s="111"/>
      <c r="QW123" s="111"/>
      <c r="QX123" s="111"/>
      <c r="QY123" s="111"/>
      <c r="QZ123" s="111"/>
      <c r="RA123" s="111"/>
      <c r="RB123" s="111"/>
      <c r="RC123" s="111"/>
      <c r="RD123" s="111"/>
      <c r="RE123" s="111"/>
      <c r="RF123" s="111"/>
      <c r="RG123" s="111"/>
      <c r="RH123" s="111"/>
      <c r="RI123" s="111"/>
      <c r="RJ123" s="111"/>
      <c r="RK123" s="111"/>
      <c r="RL123" s="111"/>
      <c r="RM123" s="111"/>
      <c r="RN123" s="111"/>
      <c r="RO123" s="111"/>
      <c r="RP123" s="111"/>
      <c r="RQ123" s="111"/>
      <c r="RR123" s="111"/>
      <c r="RS123" s="111"/>
      <c r="RT123" s="111"/>
      <c r="RU123" s="111"/>
      <c r="RV123" s="111"/>
      <c r="RW123" s="111"/>
      <c r="RX123" s="111"/>
      <c r="RY123" s="111"/>
      <c r="RZ123" s="111"/>
      <c r="SA123" s="111"/>
      <c r="SB123" s="111"/>
      <c r="SC123" s="111"/>
      <c r="SD123" s="111"/>
      <c r="SE123" s="111"/>
      <c r="SF123" s="111"/>
      <c r="SG123" s="111"/>
      <c r="SH123" s="111"/>
      <c r="SI123" s="111"/>
      <c r="SJ123" s="111"/>
      <c r="SK123" s="111"/>
      <c r="SL123" s="111"/>
      <c r="SM123" s="111"/>
      <c r="SN123" s="111"/>
      <c r="SO123" s="111"/>
      <c r="SP123" s="111"/>
      <c r="SQ123" s="111"/>
      <c r="SR123" s="111"/>
      <c r="SS123" s="111"/>
      <c r="ST123" s="111"/>
      <c r="SU123" s="111"/>
      <c r="SV123" s="111"/>
      <c r="SW123" s="111"/>
      <c r="SX123" s="111"/>
      <c r="SY123" s="111"/>
      <c r="SZ123" s="111"/>
      <c r="TA123" s="111"/>
      <c r="TB123" s="111"/>
      <c r="TC123" s="111"/>
      <c r="TD123" s="111"/>
      <c r="TE123" s="111"/>
      <c r="TF123" s="111"/>
      <c r="TG123" s="111"/>
      <c r="TH123" s="111"/>
      <c r="TI123" s="111"/>
      <c r="TJ123" s="111"/>
      <c r="TK123" s="111"/>
      <c r="TL123" s="111"/>
      <c r="TM123" s="111"/>
      <c r="TN123" s="111"/>
      <c r="TO123" s="111"/>
      <c r="TP123" s="111"/>
      <c r="TQ123" s="111"/>
      <c r="TR123" s="111"/>
      <c r="TS123" s="111"/>
      <c r="TT123" s="111"/>
      <c r="TU123" s="111"/>
      <c r="TV123" s="111"/>
      <c r="TW123" s="111"/>
      <c r="TX123" s="111"/>
      <c r="TY123" s="111"/>
      <c r="TZ123" s="111"/>
      <c r="UA123" s="111"/>
      <c r="UB123" s="111"/>
      <c r="UC123" s="111"/>
      <c r="UD123" s="111"/>
      <c r="UE123" s="111"/>
      <c r="UF123" s="111"/>
      <c r="UG123" s="111"/>
      <c r="UH123" s="111"/>
      <c r="UI123" s="111"/>
      <c r="UJ123" s="111"/>
      <c r="UK123" s="111"/>
      <c r="UL123" s="111"/>
      <c r="UM123" s="111"/>
      <c r="UN123" s="111"/>
      <c r="UO123" s="111"/>
      <c r="UP123" s="111"/>
      <c r="UQ123" s="111"/>
      <c r="UR123" s="111"/>
      <c r="US123" s="111"/>
      <c r="UT123" s="111"/>
      <c r="UU123" s="111"/>
      <c r="UV123" s="111"/>
      <c r="UW123" s="111"/>
      <c r="UX123" s="111"/>
      <c r="UY123" s="111"/>
      <c r="UZ123" s="111"/>
      <c r="VA123" s="111"/>
      <c r="VB123" s="111"/>
      <c r="VC123" s="111"/>
      <c r="VD123" s="111"/>
      <c r="VE123" s="111"/>
      <c r="VF123" s="111"/>
      <c r="VG123" s="111"/>
      <c r="VH123" s="111"/>
      <c r="VI123" s="111"/>
      <c r="VJ123" s="111"/>
      <c r="VK123" s="111"/>
      <c r="VL123" s="111"/>
      <c r="VM123" s="111"/>
      <c r="VN123" s="111"/>
      <c r="VO123" s="111"/>
      <c r="VP123" s="111"/>
      <c r="VQ123" s="111"/>
      <c r="VR123" s="111"/>
      <c r="VS123" s="111"/>
      <c r="VT123" s="111"/>
      <c r="VU123" s="111"/>
      <c r="VV123" s="111"/>
      <c r="VW123" s="111"/>
      <c r="VX123" s="111"/>
      <c r="VY123" s="111"/>
      <c r="VZ123" s="111"/>
      <c r="WA123" s="111"/>
      <c r="WB123" s="111"/>
      <c r="WC123" s="111"/>
      <c r="WD123" s="111"/>
      <c r="WE123" s="111"/>
      <c r="WF123" s="111"/>
      <c r="WG123" s="111"/>
      <c r="WH123" s="111"/>
      <c r="WI123" s="111"/>
      <c r="WJ123" s="111"/>
      <c r="WK123" s="111"/>
      <c r="WL123" s="111"/>
      <c r="WM123" s="111"/>
      <c r="WN123" s="111"/>
      <c r="WO123" s="111"/>
      <c r="WP123" s="111"/>
      <c r="WQ123" s="111"/>
      <c r="WR123" s="111"/>
      <c r="WS123" s="111"/>
      <c r="WT123" s="111"/>
      <c r="WU123" s="111"/>
      <c r="WV123" s="111"/>
      <c r="WW123" s="111"/>
      <c r="WX123" s="111"/>
      <c r="WY123" s="111"/>
      <c r="WZ123" s="111"/>
      <c r="XA123" s="111"/>
      <c r="XB123" s="111"/>
      <c r="XC123" s="111"/>
      <c r="XD123" s="111"/>
      <c r="XE123" s="111"/>
      <c r="XF123" s="111"/>
      <c r="XG123" s="111"/>
      <c r="XH123" s="111"/>
      <c r="XI123" s="111"/>
      <c r="XJ123" s="111"/>
      <c r="XK123" s="111"/>
      <c r="XL123" s="111"/>
      <c r="XM123" s="111"/>
      <c r="XN123" s="111"/>
      <c r="XO123" s="111"/>
      <c r="XP123" s="111"/>
      <c r="XQ123" s="111"/>
      <c r="XR123" s="111"/>
      <c r="XS123" s="111"/>
      <c r="XT123" s="111"/>
      <c r="XU123" s="111"/>
      <c r="XV123" s="111"/>
      <c r="XW123" s="111"/>
      <c r="XX123" s="111"/>
      <c r="XY123" s="111"/>
      <c r="XZ123" s="111"/>
      <c r="YA123" s="111"/>
      <c r="YB123" s="111"/>
      <c r="YC123" s="111"/>
      <c r="YD123" s="111"/>
      <c r="YE123" s="111"/>
      <c r="YF123" s="111"/>
      <c r="YG123" s="111"/>
      <c r="YH123" s="111"/>
      <c r="YI123" s="111"/>
      <c r="YJ123" s="111"/>
      <c r="YK123" s="111"/>
      <c r="YL123" s="111"/>
      <c r="YM123" s="111"/>
      <c r="YN123" s="111"/>
      <c r="YO123" s="111"/>
      <c r="YP123" s="111"/>
      <c r="YQ123" s="111"/>
      <c r="YR123" s="111"/>
      <c r="YS123" s="111"/>
      <c r="YT123" s="111"/>
      <c r="YU123" s="111"/>
      <c r="YV123" s="111"/>
      <c r="YW123" s="111"/>
      <c r="YX123" s="111"/>
      <c r="YY123" s="111"/>
      <c r="YZ123" s="111"/>
      <c r="ZA123" s="111"/>
      <c r="ZB123" s="111"/>
      <c r="ZC123" s="111"/>
      <c r="ZD123" s="111"/>
      <c r="ZE123" s="111"/>
      <c r="ZF123" s="111"/>
      <c r="ZG123" s="111"/>
    </row>
    <row r="124" spans="1:683" s="128" customFormat="1" ht="23.1" customHeight="1" thickBot="1" x14ac:dyDescent="0.25">
      <c r="A124" s="106">
        <v>2</v>
      </c>
      <c r="B124" s="84" t="s">
        <v>55</v>
      </c>
      <c r="C124" s="83" t="s">
        <v>80</v>
      </c>
      <c r="D124" s="83" t="s">
        <v>595</v>
      </c>
      <c r="E124" s="84" t="s">
        <v>21</v>
      </c>
      <c r="F124" s="84" t="s">
        <v>458</v>
      </c>
      <c r="G124" s="110">
        <v>45764</v>
      </c>
      <c r="H124" s="85">
        <f t="shared" si="13"/>
        <v>46129</v>
      </c>
      <c r="I124" s="134" t="s">
        <v>442</v>
      </c>
      <c r="J124" s="34">
        <v>30</v>
      </c>
      <c r="K124" s="14">
        <v>46052</v>
      </c>
      <c r="L124" s="14">
        <f t="shared" si="11"/>
        <v>46081</v>
      </c>
      <c r="M124" s="34"/>
      <c r="N124" s="14"/>
      <c r="O124" s="181">
        <f t="shared" si="12"/>
        <v>-1</v>
      </c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8"/>
      <c r="CE124" s="108"/>
      <c r="CF124" s="108"/>
      <c r="CG124" s="108"/>
      <c r="CH124" s="108"/>
      <c r="CI124" s="108"/>
      <c r="CJ124" s="108"/>
      <c r="CK124" s="108"/>
      <c r="CL124" s="108"/>
      <c r="CM124" s="108"/>
      <c r="CN124" s="108"/>
      <c r="CO124" s="108"/>
      <c r="CP124" s="108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8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8"/>
      <c r="DM124" s="108"/>
      <c r="DN124" s="108"/>
      <c r="DO124" s="108"/>
      <c r="DP124" s="108"/>
      <c r="DQ124" s="108"/>
      <c r="DR124" s="108"/>
      <c r="DS124" s="108"/>
      <c r="DT124" s="108"/>
      <c r="DU124" s="108"/>
      <c r="DV124" s="108"/>
      <c r="DW124" s="108"/>
      <c r="DX124" s="108"/>
      <c r="DY124" s="108"/>
      <c r="DZ124" s="108"/>
      <c r="EA124" s="108"/>
      <c r="EB124" s="108"/>
      <c r="EC124" s="108"/>
      <c r="ED124" s="108"/>
      <c r="EE124" s="108"/>
      <c r="EF124" s="108"/>
      <c r="EG124" s="108"/>
      <c r="EH124" s="108"/>
      <c r="EI124" s="108"/>
      <c r="EJ124" s="108"/>
      <c r="EK124" s="108"/>
      <c r="EL124" s="108"/>
      <c r="EM124" s="108"/>
      <c r="EN124" s="108"/>
      <c r="EO124" s="108"/>
      <c r="EP124" s="108"/>
      <c r="EQ124" s="108"/>
      <c r="ER124" s="108"/>
      <c r="ES124" s="108"/>
      <c r="ET124" s="108"/>
      <c r="EU124" s="108"/>
      <c r="EV124" s="108"/>
      <c r="EW124" s="108"/>
      <c r="EX124" s="108"/>
      <c r="EY124" s="108"/>
      <c r="EZ124" s="108"/>
      <c r="FA124" s="108"/>
      <c r="FB124" s="108"/>
      <c r="FC124" s="108"/>
      <c r="FD124" s="108"/>
      <c r="FE124" s="108"/>
      <c r="FF124" s="108"/>
      <c r="FG124" s="108"/>
      <c r="FH124" s="108"/>
      <c r="FI124" s="108"/>
      <c r="FJ124" s="108"/>
      <c r="FK124" s="108"/>
      <c r="FL124" s="108"/>
      <c r="FM124" s="108"/>
      <c r="FN124" s="108"/>
      <c r="FO124" s="108"/>
      <c r="FP124" s="108"/>
      <c r="FQ124" s="108"/>
      <c r="FR124" s="108"/>
      <c r="FS124" s="108"/>
      <c r="FT124" s="108"/>
      <c r="FU124" s="108"/>
      <c r="FV124" s="108"/>
      <c r="FW124" s="108"/>
      <c r="FX124" s="108"/>
      <c r="FY124" s="108"/>
      <c r="FZ124" s="108"/>
      <c r="GA124" s="108"/>
      <c r="GB124" s="108"/>
      <c r="GC124" s="108"/>
      <c r="GD124" s="108"/>
      <c r="GE124" s="108"/>
      <c r="GF124" s="108"/>
      <c r="GG124" s="108"/>
      <c r="GH124" s="108"/>
      <c r="GI124" s="108"/>
      <c r="GJ124" s="108"/>
      <c r="GK124" s="108"/>
      <c r="GL124" s="108"/>
      <c r="GM124" s="108"/>
      <c r="GN124" s="108"/>
      <c r="GO124" s="108"/>
      <c r="GP124" s="108"/>
      <c r="GQ124" s="108"/>
      <c r="GR124" s="108"/>
      <c r="GS124" s="108"/>
      <c r="GT124" s="108"/>
      <c r="GU124" s="108"/>
      <c r="GV124" s="108"/>
      <c r="GW124" s="108"/>
      <c r="GX124" s="108"/>
      <c r="GY124" s="108"/>
      <c r="GZ124" s="108"/>
      <c r="HA124" s="108"/>
      <c r="HB124" s="108"/>
      <c r="HC124" s="108"/>
      <c r="HD124" s="108"/>
      <c r="HE124" s="108"/>
      <c r="HF124" s="108"/>
      <c r="HG124" s="108"/>
      <c r="HH124" s="108"/>
      <c r="HI124" s="108"/>
      <c r="HJ124" s="108"/>
      <c r="HK124" s="108"/>
      <c r="HL124" s="108"/>
      <c r="HM124" s="108"/>
      <c r="HN124" s="108"/>
      <c r="HO124" s="108"/>
      <c r="HP124" s="108"/>
      <c r="HQ124" s="108"/>
      <c r="HR124" s="108"/>
      <c r="HS124" s="108"/>
      <c r="HT124" s="108"/>
      <c r="HU124" s="108"/>
      <c r="HV124" s="108"/>
      <c r="HW124" s="108"/>
      <c r="HX124" s="108"/>
      <c r="HY124" s="108"/>
      <c r="HZ124" s="108"/>
      <c r="IA124" s="108"/>
      <c r="IB124" s="108"/>
      <c r="IC124" s="108"/>
      <c r="ID124" s="108"/>
      <c r="IE124" s="108"/>
      <c r="IF124" s="108"/>
      <c r="IG124" s="108"/>
      <c r="IH124" s="108"/>
      <c r="II124" s="108"/>
      <c r="IJ124" s="108"/>
      <c r="IK124" s="108"/>
      <c r="IL124" s="108"/>
      <c r="IM124" s="108"/>
      <c r="IN124" s="108"/>
      <c r="IO124" s="108"/>
      <c r="IP124" s="108"/>
      <c r="IQ124" s="108"/>
      <c r="IR124" s="108"/>
      <c r="IS124" s="108"/>
      <c r="IT124" s="108"/>
      <c r="IU124" s="108"/>
      <c r="IV124" s="108"/>
      <c r="IW124" s="108"/>
      <c r="IX124" s="108"/>
      <c r="IY124" s="108"/>
      <c r="IZ124" s="108"/>
      <c r="JA124" s="108"/>
      <c r="JB124" s="108"/>
      <c r="JC124" s="108"/>
      <c r="JD124" s="108"/>
      <c r="JE124" s="108"/>
      <c r="JF124" s="108"/>
      <c r="JG124" s="108"/>
      <c r="JH124" s="108"/>
      <c r="JI124" s="108"/>
      <c r="JJ124" s="108"/>
      <c r="JK124" s="108"/>
      <c r="JL124" s="108"/>
      <c r="JM124" s="108"/>
      <c r="JN124" s="108"/>
      <c r="JO124" s="108"/>
      <c r="JP124" s="108"/>
      <c r="JQ124" s="108"/>
      <c r="JR124" s="108"/>
      <c r="JS124" s="108"/>
      <c r="JT124" s="108"/>
      <c r="JU124" s="108"/>
      <c r="JV124" s="108"/>
      <c r="JW124" s="108"/>
      <c r="JX124" s="108"/>
      <c r="JY124" s="108"/>
      <c r="JZ124" s="108"/>
      <c r="KA124" s="108"/>
      <c r="KB124" s="108"/>
      <c r="KC124" s="108"/>
      <c r="KD124" s="108"/>
      <c r="KE124" s="108"/>
      <c r="KF124" s="108"/>
      <c r="KG124" s="108"/>
      <c r="KH124" s="108"/>
      <c r="KI124" s="108"/>
      <c r="KJ124" s="108"/>
      <c r="KK124" s="108"/>
      <c r="KL124" s="108"/>
      <c r="KM124" s="108"/>
      <c r="KN124" s="108"/>
      <c r="KO124" s="108"/>
      <c r="KP124" s="108"/>
      <c r="KQ124" s="108"/>
      <c r="KR124" s="108"/>
      <c r="KS124" s="108"/>
      <c r="KT124" s="108"/>
      <c r="KU124" s="108"/>
      <c r="KV124" s="108"/>
      <c r="KW124" s="108"/>
      <c r="KX124" s="108"/>
      <c r="KY124" s="108"/>
      <c r="KZ124" s="108"/>
      <c r="LA124" s="108"/>
      <c r="LB124" s="108"/>
      <c r="LC124" s="108"/>
      <c r="LD124" s="108"/>
      <c r="LE124" s="108"/>
      <c r="LF124" s="108"/>
      <c r="LG124" s="108"/>
      <c r="LH124" s="108"/>
      <c r="LI124" s="108"/>
      <c r="LJ124" s="108"/>
      <c r="LK124" s="108"/>
      <c r="LL124" s="108"/>
      <c r="LM124" s="108"/>
      <c r="LN124" s="108"/>
      <c r="LO124" s="108"/>
      <c r="LP124" s="108"/>
      <c r="LQ124" s="108"/>
      <c r="LR124" s="108"/>
      <c r="LS124" s="108"/>
      <c r="LT124" s="108"/>
      <c r="LU124" s="108"/>
      <c r="LV124" s="108"/>
      <c r="LW124" s="108"/>
      <c r="LX124" s="108"/>
      <c r="LY124" s="108"/>
      <c r="LZ124" s="108"/>
      <c r="MA124" s="108"/>
      <c r="MB124" s="108"/>
      <c r="MC124" s="108"/>
      <c r="MD124" s="108"/>
      <c r="ME124" s="108"/>
      <c r="MF124" s="108"/>
      <c r="MG124" s="108"/>
      <c r="MH124" s="108"/>
      <c r="MI124" s="108"/>
      <c r="MJ124" s="108"/>
      <c r="MK124" s="108"/>
      <c r="ML124" s="108"/>
      <c r="MM124" s="108"/>
      <c r="MN124" s="108"/>
      <c r="MO124" s="108"/>
      <c r="MP124" s="108"/>
      <c r="MQ124" s="108"/>
      <c r="MR124" s="108"/>
      <c r="MS124" s="108"/>
      <c r="MT124" s="108"/>
      <c r="MU124" s="108"/>
      <c r="MV124" s="108"/>
      <c r="MW124" s="108"/>
      <c r="MX124" s="108"/>
      <c r="MY124" s="108"/>
      <c r="MZ124" s="108"/>
      <c r="NA124" s="108"/>
      <c r="NB124" s="108"/>
      <c r="NC124" s="108"/>
      <c r="ND124" s="108"/>
      <c r="NE124" s="108"/>
      <c r="NF124" s="108"/>
      <c r="NG124" s="108"/>
      <c r="NH124" s="108"/>
      <c r="NI124" s="108"/>
      <c r="NJ124" s="108"/>
      <c r="NK124" s="108"/>
      <c r="NL124" s="108"/>
      <c r="NM124" s="108"/>
      <c r="NN124" s="108"/>
      <c r="NO124" s="108"/>
      <c r="NP124" s="108"/>
      <c r="NQ124" s="108"/>
      <c r="NR124" s="108"/>
      <c r="NS124" s="108"/>
      <c r="NT124" s="108"/>
      <c r="NU124" s="108"/>
      <c r="NV124" s="108"/>
      <c r="NW124" s="108"/>
      <c r="NX124" s="108"/>
      <c r="NY124" s="108"/>
      <c r="NZ124" s="108"/>
      <c r="OA124" s="108"/>
      <c r="OB124" s="108"/>
      <c r="OC124" s="108"/>
      <c r="OD124" s="108"/>
      <c r="OE124" s="108"/>
      <c r="OF124" s="108"/>
      <c r="OG124" s="108"/>
      <c r="OH124" s="108"/>
      <c r="OI124" s="108"/>
      <c r="OJ124" s="108"/>
      <c r="OK124" s="108"/>
      <c r="OL124" s="108"/>
      <c r="OM124" s="108"/>
      <c r="ON124" s="108"/>
      <c r="OO124" s="108"/>
      <c r="OP124" s="108"/>
      <c r="OQ124" s="108"/>
      <c r="OR124" s="108"/>
      <c r="OS124" s="108"/>
      <c r="OT124" s="108"/>
      <c r="OU124" s="108"/>
      <c r="OV124" s="108"/>
      <c r="OW124" s="108"/>
      <c r="OX124" s="108"/>
      <c r="OY124" s="108"/>
      <c r="OZ124" s="108"/>
      <c r="PA124" s="108"/>
      <c r="PB124" s="108"/>
      <c r="PC124" s="108"/>
      <c r="PD124" s="108"/>
      <c r="PE124" s="108"/>
      <c r="PF124" s="108"/>
      <c r="PG124" s="108"/>
      <c r="PH124" s="108"/>
      <c r="PI124" s="108"/>
      <c r="PJ124" s="108"/>
      <c r="PK124" s="108"/>
      <c r="PL124" s="108"/>
      <c r="PM124" s="108"/>
      <c r="PN124" s="108"/>
      <c r="PO124" s="108"/>
      <c r="PP124" s="108"/>
      <c r="PQ124" s="108"/>
      <c r="PR124" s="108"/>
      <c r="PS124" s="108"/>
      <c r="PT124" s="108"/>
      <c r="PU124" s="108"/>
      <c r="PV124" s="108"/>
      <c r="PW124" s="108"/>
      <c r="PX124" s="108"/>
      <c r="PY124" s="108"/>
      <c r="PZ124" s="108"/>
      <c r="QA124" s="108"/>
      <c r="QB124" s="108"/>
      <c r="QC124" s="108"/>
      <c r="QD124" s="108"/>
      <c r="QE124" s="108"/>
      <c r="QF124" s="108"/>
      <c r="QG124" s="108"/>
      <c r="QH124" s="108"/>
      <c r="QI124" s="108"/>
      <c r="QJ124" s="108"/>
      <c r="QK124" s="108"/>
      <c r="QL124" s="108"/>
      <c r="QM124" s="108"/>
      <c r="QN124" s="108"/>
      <c r="QO124" s="108"/>
      <c r="QP124" s="108"/>
      <c r="QQ124" s="108"/>
      <c r="QR124" s="108"/>
      <c r="QS124" s="108"/>
      <c r="QT124" s="108"/>
      <c r="QU124" s="108"/>
      <c r="QV124" s="108"/>
      <c r="QW124" s="108"/>
      <c r="QX124" s="108"/>
      <c r="QY124" s="108"/>
      <c r="QZ124" s="108"/>
      <c r="RA124" s="108"/>
      <c r="RB124" s="108"/>
      <c r="RC124" s="108"/>
      <c r="RD124" s="108"/>
      <c r="RE124" s="108"/>
      <c r="RF124" s="108"/>
      <c r="RG124" s="108"/>
      <c r="RH124" s="108"/>
      <c r="RI124" s="108"/>
      <c r="RJ124" s="108"/>
      <c r="RK124" s="108"/>
      <c r="RL124" s="108"/>
      <c r="RM124" s="108"/>
      <c r="RN124" s="108"/>
      <c r="RO124" s="108"/>
      <c r="RP124" s="108"/>
      <c r="RQ124" s="108"/>
      <c r="RR124" s="108"/>
      <c r="RS124" s="108"/>
      <c r="RT124" s="108"/>
      <c r="RU124" s="108"/>
      <c r="RV124" s="108"/>
      <c r="RW124" s="108"/>
      <c r="RX124" s="108"/>
      <c r="RY124" s="108"/>
      <c r="RZ124" s="108"/>
      <c r="SA124" s="108"/>
      <c r="SB124" s="108"/>
      <c r="SC124" s="108"/>
      <c r="SD124" s="108"/>
      <c r="SE124" s="108"/>
      <c r="SF124" s="108"/>
      <c r="SG124" s="108"/>
      <c r="SH124" s="108"/>
      <c r="SI124" s="108"/>
      <c r="SJ124" s="108"/>
      <c r="SK124" s="108"/>
      <c r="SL124" s="108"/>
      <c r="SM124" s="108"/>
      <c r="SN124" s="108"/>
      <c r="SO124" s="108"/>
      <c r="SP124" s="108"/>
      <c r="SQ124" s="108"/>
      <c r="SR124" s="108"/>
      <c r="SS124" s="108"/>
      <c r="ST124" s="108"/>
      <c r="SU124" s="108"/>
      <c r="SV124" s="108"/>
      <c r="SW124" s="108"/>
      <c r="SX124" s="108"/>
      <c r="SY124" s="108"/>
      <c r="SZ124" s="108"/>
      <c r="TA124" s="108"/>
      <c r="TB124" s="108"/>
      <c r="TC124" s="108"/>
      <c r="TD124" s="108"/>
      <c r="TE124" s="108"/>
      <c r="TF124" s="108"/>
      <c r="TG124" s="108"/>
      <c r="TH124" s="108"/>
      <c r="TI124" s="108"/>
      <c r="TJ124" s="108"/>
      <c r="TK124" s="108"/>
      <c r="TL124" s="108"/>
      <c r="TM124" s="108"/>
      <c r="TN124" s="108"/>
      <c r="TO124" s="108"/>
      <c r="TP124" s="108"/>
      <c r="TQ124" s="108"/>
      <c r="TR124" s="108"/>
      <c r="TS124" s="108"/>
      <c r="TT124" s="108"/>
      <c r="TU124" s="108"/>
      <c r="TV124" s="108"/>
      <c r="TW124" s="108"/>
      <c r="TX124" s="108"/>
      <c r="TY124" s="108"/>
      <c r="TZ124" s="108"/>
      <c r="UA124" s="108"/>
      <c r="UB124" s="108"/>
      <c r="UC124" s="108"/>
      <c r="UD124" s="108"/>
      <c r="UE124" s="108"/>
      <c r="UF124" s="108"/>
      <c r="UG124" s="108"/>
      <c r="UH124" s="108"/>
      <c r="UI124" s="108"/>
      <c r="UJ124" s="108"/>
      <c r="UK124" s="108"/>
      <c r="UL124" s="108"/>
      <c r="UM124" s="108"/>
      <c r="UN124" s="108"/>
      <c r="UO124" s="108"/>
      <c r="UP124" s="108"/>
      <c r="UQ124" s="108"/>
      <c r="UR124" s="108"/>
      <c r="US124" s="108"/>
      <c r="UT124" s="108"/>
      <c r="UU124" s="108"/>
      <c r="UV124" s="108"/>
      <c r="UW124" s="108"/>
      <c r="UX124" s="108"/>
      <c r="UY124" s="108"/>
      <c r="UZ124" s="108"/>
      <c r="VA124" s="108"/>
      <c r="VB124" s="108"/>
      <c r="VC124" s="108"/>
      <c r="VD124" s="108"/>
      <c r="VE124" s="108"/>
      <c r="VF124" s="108"/>
      <c r="VG124" s="108"/>
      <c r="VH124" s="108"/>
      <c r="VI124" s="108"/>
      <c r="VJ124" s="108"/>
      <c r="VK124" s="108"/>
      <c r="VL124" s="108"/>
      <c r="VM124" s="108"/>
      <c r="VN124" s="108"/>
      <c r="VO124" s="108"/>
      <c r="VP124" s="108"/>
      <c r="VQ124" s="108"/>
      <c r="VR124" s="108"/>
      <c r="VS124" s="108"/>
      <c r="VT124" s="108"/>
      <c r="VU124" s="108"/>
      <c r="VV124" s="108"/>
      <c r="VW124" s="108"/>
      <c r="VX124" s="108"/>
      <c r="VY124" s="108"/>
      <c r="VZ124" s="108"/>
      <c r="WA124" s="108"/>
      <c r="WB124" s="108"/>
      <c r="WC124" s="108"/>
      <c r="WD124" s="108"/>
      <c r="WE124" s="108"/>
      <c r="WF124" s="108"/>
      <c r="WG124" s="108"/>
      <c r="WH124" s="108"/>
      <c r="WI124" s="108"/>
      <c r="WJ124" s="108"/>
      <c r="WK124" s="108"/>
      <c r="WL124" s="108"/>
      <c r="WM124" s="108"/>
      <c r="WN124" s="108"/>
      <c r="WO124" s="108"/>
      <c r="WP124" s="108"/>
      <c r="WQ124" s="108"/>
      <c r="WR124" s="108"/>
      <c r="WS124" s="108"/>
      <c r="WT124" s="108"/>
      <c r="WU124" s="108"/>
      <c r="WV124" s="108"/>
      <c r="WW124" s="108"/>
      <c r="WX124" s="108"/>
      <c r="WY124" s="108"/>
      <c r="WZ124" s="108"/>
      <c r="XA124" s="108"/>
      <c r="XB124" s="108"/>
      <c r="XC124" s="108"/>
      <c r="XD124" s="108"/>
      <c r="XE124" s="108"/>
      <c r="XF124" s="108"/>
      <c r="XG124" s="108"/>
      <c r="XH124" s="108"/>
      <c r="XI124" s="108"/>
      <c r="XJ124" s="108"/>
      <c r="XK124" s="108"/>
      <c r="XL124" s="108"/>
      <c r="XM124" s="108"/>
      <c r="XN124" s="108"/>
      <c r="XO124" s="108"/>
      <c r="XP124" s="108"/>
      <c r="XQ124" s="108"/>
      <c r="XR124" s="108"/>
      <c r="XS124" s="108"/>
      <c r="XT124" s="108"/>
      <c r="XU124" s="108"/>
      <c r="XV124" s="108"/>
      <c r="XW124" s="108"/>
      <c r="XX124" s="108"/>
      <c r="XY124" s="108"/>
      <c r="XZ124" s="108"/>
      <c r="YA124" s="108"/>
      <c r="YB124" s="108"/>
      <c r="YC124" s="108"/>
      <c r="YD124" s="108"/>
      <c r="YE124" s="108"/>
      <c r="YF124" s="108"/>
      <c r="YG124" s="108"/>
      <c r="YH124" s="108"/>
      <c r="YI124" s="108"/>
      <c r="YJ124" s="108"/>
      <c r="YK124" s="108"/>
      <c r="YL124" s="108"/>
      <c r="YM124" s="108"/>
      <c r="YN124" s="108"/>
      <c r="YO124" s="108"/>
      <c r="YP124" s="108"/>
      <c r="YQ124" s="108"/>
      <c r="YR124" s="108"/>
      <c r="YS124" s="108"/>
      <c r="YT124" s="108"/>
      <c r="YU124" s="108"/>
      <c r="YV124" s="108"/>
      <c r="YW124" s="108"/>
      <c r="YX124" s="108"/>
      <c r="YY124" s="108"/>
      <c r="YZ124" s="108"/>
      <c r="ZA124" s="108"/>
      <c r="ZB124" s="108"/>
      <c r="ZC124" s="108"/>
      <c r="ZD124" s="108"/>
      <c r="ZE124" s="108"/>
      <c r="ZF124" s="108"/>
      <c r="ZG124" s="108"/>
    </row>
    <row r="125" spans="1:683" s="128" customFormat="1" ht="23.1" customHeight="1" thickBot="1" x14ac:dyDescent="0.25">
      <c r="A125" s="106">
        <v>3</v>
      </c>
      <c r="B125" s="84" t="s">
        <v>63</v>
      </c>
      <c r="C125" s="83" t="s">
        <v>346</v>
      </c>
      <c r="D125" s="83" t="s">
        <v>596</v>
      </c>
      <c r="E125" s="84" t="s">
        <v>21</v>
      </c>
      <c r="F125" s="84" t="s">
        <v>457</v>
      </c>
      <c r="G125" s="110">
        <v>45687</v>
      </c>
      <c r="H125" s="85">
        <f t="shared" si="13"/>
        <v>46052</v>
      </c>
      <c r="I125" s="134" t="s">
        <v>441</v>
      </c>
      <c r="J125" s="34">
        <v>30</v>
      </c>
      <c r="K125" s="14">
        <v>46358</v>
      </c>
      <c r="L125" s="14">
        <f t="shared" si="11"/>
        <v>46387</v>
      </c>
      <c r="M125" s="34"/>
      <c r="N125" s="14"/>
      <c r="O125" s="181">
        <f t="shared" si="12"/>
        <v>-1</v>
      </c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11"/>
      <c r="BK125" s="111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  <c r="CZ125" s="111"/>
      <c r="DA125" s="111"/>
      <c r="DB125" s="111"/>
      <c r="DC125" s="111"/>
      <c r="DD125" s="111"/>
      <c r="DE125" s="111"/>
      <c r="DF125" s="111"/>
      <c r="DG125" s="111"/>
      <c r="DH125" s="111"/>
      <c r="DI125" s="111"/>
      <c r="DJ125" s="111"/>
      <c r="DK125" s="111"/>
      <c r="DL125" s="111"/>
      <c r="DM125" s="111"/>
      <c r="DN125" s="111"/>
      <c r="DO125" s="111"/>
      <c r="DP125" s="111"/>
      <c r="DQ125" s="111"/>
      <c r="DR125" s="111"/>
      <c r="DS125" s="111"/>
      <c r="DT125" s="111"/>
      <c r="DU125" s="111"/>
      <c r="DV125" s="111"/>
      <c r="DW125" s="111"/>
      <c r="DX125" s="111"/>
      <c r="DY125" s="111"/>
      <c r="DZ125" s="111"/>
      <c r="EA125" s="111"/>
      <c r="EB125" s="111"/>
      <c r="EC125" s="111"/>
      <c r="ED125" s="111"/>
      <c r="EE125" s="111"/>
      <c r="EF125" s="111"/>
      <c r="EG125" s="111"/>
      <c r="EH125" s="111"/>
      <c r="EI125" s="111"/>
      <c r="EJ125" s="111"/>
      <c r="EK125" s="111"/>
      <c r="EL125" s="111"/>
      <c r="EM125" s="111"/>
      <c r="EN125" s="111"/>
      <c r="EO125" s="111"/>
      <c r="EP125" s="111"/>
      <c r="EQ125" s="111"/>
      <c r="ER125" s="111"/>
      <c r="ES125" s="111"/>
      <c r="ET125" s="111"/>
      <c r="EU125" s="111"/>
      <c r="EV125" s="111"/>
      <c r="EW125" s="111"/>
      <c r="EX125" s="111"/>
      <c r="EY125" s="111"/>
      <c r="EZ125" s="111"/>
      <c r="FA125" s="111"/>
      <c r="FB125" s="111"/>
      <c r="FC125" s="111"/>
      <c r="FD125" s="111"/>
      <c r="FE125" s="111"/>
      <c r="FF125" s="111"/>
      <c r="FG125" s="111"/>
      <c r="FH125" s="111"/>
      <c r="FI125" s="111"/>
      <c r="FJ125" s="111"/>
      <c r="FK125" s="111"/>
      <c r="FL125" s="111"/>
      <c r="FM125" s="111"/>
      <c r="FN125" s="111"/>
      <c r="FO125" s="111"/>
      <c r="FP125" s="111"/>
      <c r="FQ125" s="111"/>
      <c r="FR125" s="111"/>
      <c r="FS125" s="111"/>
      <c r="FT125" s="111"/>
      <c r="FU125" s="111"/>
      <c r="FV125" s="111"/>
      <c r="FW125" s="111"/>
      <c r="FX125" s="111"/>
      <c r="FY125" s="111"/>
      <c r="FZ125" s="111"/>
      <c r="GA125" s="111"/>
      <c r="GB125" s="111"/>
      <c r="GC125" s="111"/>
      <c r="GD125" s="111"/>
      <c r="GE125" s="111"/>
      <c r="GF125" s="111"/>
      <c r="GG125" s="111"/>
      <c r="GH125" s="111"/>
      <c r="GI125" s="111"/>
      <c r="GJ125" s="111"/>
      <c r="GK125" s="111"/>
      <c r="GL125" s="111"/>
      <c r="GM125" s="111"/>
      <c r="GN125" s="111"/>
      <c r="GO125" s="111"/>
      <c r="GP125" s="111"/>
      <c r="GQ125" s="111"/>
      <c r="GR125" s="111"/>
      <c r="GS125" s="111"/>
      <c r="GT125" s="111"/>
      <c r="GU125" s="111"/>
      <c r="GV125" s="111"/>
      <c r="GW125" s="111"/>
      <c r="GX125" s="111"/>
      <c r="GY125" s="111"/>
      <c r="GZ125" s="111"/>
      <c r="HA125" s="111"/>
      <c r="HB125" s="111"/>
      <c r="HC125" s="111"/>
      <c r="HD125" s="111"/>
      <c r="HE125" s="111"/>
      <c r="HF125" s="111"/>
      <c r="HG125" s="111"/>
      <c r="HH125" s="111"/>
      <c r="HI125" s="111"/>
      <c r="HJ125" s="111"/>
      <c r="HK125" s="111"/>
      <c r="HL125" s="111"/>
      <c r="HM125" s="111"/>
      <c r="HN125" s="111"/>
      <c r="HO125" s="111"/>
      <c r="HP125" s="111"/>
      <c r="HQ125" s="111"/>
      <c r="HR125" s="111"/>
      <c r="HS125" s="111"/>
      <c r="HT125" s="111"/>
      <c r="HU125" s="111"/>
      <c r="HV125" s="111"/>
      <c r="HW125" s="111"/>
      <c r="HX125" s="111"/>
      <c r="HY125" s="111"/>
      <c r="HZ125" s="111"/>
      <c r="IA125" s="111"/>
      <c r="IB125" s="111"/>
      <c r="IC125" s="111"/>
      <c r="ID125" s="111"/>
      <c r="IE125" s="111"/>
      <c r="IF125" s="111"/>
      <c r="IG125" s="111"/>
      <c r="IH125" s="111"/>
      <c r="II125" s="111"/>
      <c r="IJ125" s="111"/>
      <c r="IK125" s="111"/>
      <c r="IL125" s="111"/>
      <c r="IM125" s="111"/>
      <c r="IN125" s="111"/>
      <c r="IO125" s="111"/>
      <c r="IP125" s="111"/>
      <c r="IQ125" s="111"/>
      <c r="IR125" s="111"/>
      <c r="IS125" s="111"/>
      <c r="IT125" s="111"/>
      <c r="IU125" s="111"/>
      <c r="IV125" s="111"/>
      <c r="IW125" s="111"/>
      <c r="IX125" s="111"/>
      <c r="IY125" s="111"/>
      <c r="IZ125" s="111"/>
      <c r="JA125" s="111"/>
      <c r="JB125" s="111"/>
      <c r="JC125" s="111"/>
      <c r="JD125" s="111"/>
      <c r="JE125" s="111"/>
      <c r="JF125" s="111"/>
      <c r="JG125" s="111"/>
      <c r="JH125" s="111"/>
      <c r="JI125" s="111"/>
      <c r="JJ125" s="111"/>
      <c r="JK125" s="111"/>
      <c r="JL125" s="111"/>
      <c r="JM125" s="111"/>
      <c r="JN125" s="111"/>
      <c r="JO125" s="111"/>
      <c r="JP125" s="111"/>
      <c r="JQ125" s="111"/>
      <c r="JR125" s="111"/>
      <c r="JS125" s="111"/>
      <c r="JT125" s="111"/>
      <c r="JU125" s="111"/>
      <c r="JV125" s="111"/>
      <c r="JW125" s="111"/>
      <c r="JX125" s="111"/>
      <c r="JY125" s="111"/>
      <c r="JZ125" s="111"/>
      <c r="KA125" s="111"/>
      <c r="KB125" s="111"/>
      <c r="KC125" s="111"/>
      <c r="KD125" s="111"/>
      <c r="KE125" s="111"/>
      <c r="KF125" s="111"/>
      <c r="KG125" s="111"/>
      <c r="KH125" s="111"/>
      <c r="KI125" s="111"/>
      <c r="KJ125" s="111"/>
      <c r="KK125" s="111"/>
      <c r="KL125" s="111"/>
      <c r="KM125" s="111"/>
      <c r="KN125" s="111"/>
      <c r="KO125" s="111"/>
      <c r="KP125" s="111"/>
      <c r="KQ125" s="111"/>
      <c r="KR125" s="111"/>
      <c r="KS125" s="111"/>
      <c r="KT125" s="111"/>
      <c r="KU125" s="111"/>
      <c r="KV125" s="111"/>
      <c r="KW125" s="111"/>
      <c r="KX125" s="111"/>
      <c r="KY125" s="111"/>
      <c r="KZ125" s="111"/>
      <c r="LA125" s="111"/>
      <c r="LB125" s="111"/>
      <c r="LC125" s="111"/>
      <c r="LD125" s="111"/>
      <c r="LE125" s="111"/>
      <c r="LF125" s="111"/>
      <c r="LG125" s="111"/>
      <c r="LH125" s="111"/>
      <c r="LI125" s="111"/>
      <c r="LJ125" s="111"/>
      <c r="LK125" s="111"/>
      <c r="LL125" s="111"/>
      <c r="LM125" s="111"/>
      <c r="LN125" s="111"/>
      <c r="LO125" s="111"/>
      <c r="LP125" s="111"/>
      <c r="LQ125" s="111"/>
      <c r="LR125" s="111"/>
      <c r="LS125" s="111"/>
      <c r="LT125" s="111"/>
      <c r="LU125" s="111"/>
      <c r="LV125" s="111"/>
      <c r="LW125" s="111"/>
      <c r="LX125" s="111"/>
      <c r="LY125" s="111"/>
      <c r="LZ125" s="111"/>
      <c r="MA125" s="111"/>
      <c r="MB125" s="111"/>
      <c r="MC125" s="111"/>
      <c r="MD125" s="111"/>
      <c r="ME125" s="111"/>
      <c r="MF125" s="111"/>
      <c r="MG125" s="111"/>
      <c r="MH125" s="111"/>
      <c r="MI125" s="111"/>
      <c r="MJ125" s="111"/>
      <c r="MK125" s="111"/>
      <c r="ML125" s="111"/>
      <c r="MM125" s="111"/>
      <c r="MN125" s="111"/>
      <c r="MO125" s="111"/>
      <c r="MP125" s="111"/>
      <c r="MQ125" s="111"/>
      <c r="MR125" s="111"/>
      <c r="MS125" s="111"/>
      <c r="MT125" s="111"/>
      <c r="MU125" s="111"/>
      <c r="MV125" s="111"/>
      <c r="MW125" s="111"/>
      <c r="MX125" s="111"/>
      <c r="MY125" s="111"/>
      <c r="MZ125" s="111"/>
      <c r="NA125" s="111"/>
      <c r="NB125" s="111"/>
      <c r="NC125" s="111"/>
      <c r="ND125" s="111"/>
      <c r="NE125" s="111"/>
      <c r="NF125" s="111"/>
      <c r="NG125" s="111"/>
      <c r="NH125" s="111"/>
      <c r="NI125" s="111"/>
      <c r="NJ125" s="111"/>
      <c r="NK125" s="111"/>
      <c r="NL125" s="111"/>
      <c r="NM125" s="111"/>
      <c r="NN125" s="111"/>
      <c r="NO125" s="111"/>
      <c r="NP125" s="111"/>
      <c r="NQ125" s="111"/>
      <c r="NR125" s="111"/>
      <c r="NS125" s="111"/>
      <c r="NT125" s="111"/>
      <c r="NU125" s="111"/>
      <c r="NV125" s="111"/>
      <c r="NW125" s="111"/>
      <c r="NX125" s="111"/>
      <c r="NY125" s="111"/>
      <c r="NZ125" s="111"/>
      <c r="OA125" s="111"/>
      <c r="OB125" s="111"/>
      <c r="OC125" s="111"/>
      <c r="OD125" s="111"/>
      <c r="OE125" s="111"/>
      <c r="OF125" s="111"/>
      <c r="OG125" s="111"/>
      <c r="OH125" s="111"/>
      <c r="OI125" s="111"/>
      <c r="OJ125" s="111"/>
      <c r="OK125" s="111"/>
      <c r="OL125" s="111"/>
      <c r="OM125" s="111"/>
      <c r="ON125" s="111"/>
      <c r="OO125" s="111"/>
      <c r="OP125" s="111"/>
      <c r="OQ125" s="111"/>
      <c r="OR125" s="111"/>
      <c r="OS125" s="111"/>
      <c r="OT125" s="111"/>
      <c r="OU125" s="111"/>
      <c r="OV125" s="111"/>
      <c r="OW125" s="111"/>
      <c r="OX125" s="111"/>
      <c r="OY125" s="111"/>
      <c r="OZ125" s="111"/>
      <c r="PA125" s="111"/>
      <c r="PB125" s="111"/>
      <c r="PC125" s="111"/>
      <c r="PD125" s="111"/>
      <c r="PE125" s="111"/>
      <c r="PF125" s="111"/>
      <c r="PG125" s="111"/>
      <c r="PH125" s="111"/>
      <c r="PI125" s="111"/>
      <c r="PJ125" s="111"/>
      <c r="PK125" s="111"/>
      <c r="PL125" s="111"/>
      <c r="PM125" s="111"/>
      <c r="PN125" s="111"/>
      <c r="PO125" s="111"/>
      <c r="PP125" s="111"/>
      <c r="PQ125" s="111"/>
      <c r="PR125" s="111"/>
      <c r="PS125" s="111"/>
      <c r="PT125" s="111"/>
      <c r="PU125" s="111"/>
      <c r="PV125" s="111"/>
      <c r="PW125" s="111"/>
      <c r="PX125" s="111"/>
      <c r="PY125" s="111"/>
      <c r="PZ125" s="111"/>
      <c r="QA125" s="111"/>
      <c r="QB125" s="111"/>
      <c r="QC125" s="111"/>
      <c r="QD125" s="111"/>
      <c r="QE125" s="111"/>
      <c r="QF125" s="111"/>
      <c r="QG125" s="111"/>
      <c r="QH125" s="111"/>
      <c r="QI125" s="111"/>
      <c r="QJ125" s="111"/>
      <c r="QK125" s="111"/>
      <c r="QL125" s="111"/>
      <c r="QM125" s="111"/>
      <c r="QN125" s="111"/>
      <c r="QO125" s="111"/>
      <c r="QP125" s="111"/>
      <c r="QQ125" s="111"/>
      <c r="QR125" s="111"/>
      <c r="QS125" s="111"/>
      <c r="QT125" s="111"/>
      <c r="QU125" s="111"/>
      <c r="QV125" s="111"/>
      <c r="QW125" s="111"/>
      <c r="QX125" s="111"/>
      <c r="QY125" s="111"/>
      <c r="QZ125" s="111"/>
      <c r="RA125" s="111"/>
      <c r="RB125" s="111"/>
      <c r="RC125" s="111"/>
      <c r="RD125" s="111"/>
      <c r="RE125" s="111"/>
      <c r="RF125" s="111"/>
      <c r="RG125" s="111"/>
      <c r="RH125" s="111"/>
      <c r="RI125" s="111"/>
      <c r="RJ125" s="111"/>
      <c r="RK125" s="111"/>
      <c r="RL125" s="111"/>
      <c r="RM125" s="111"/>
      <c r="RN125" s="111"/>
      <c r="RO125" s="111"/>
      <c r="RP125" s="111"/>
      <c r="RQ125" s="111"/>
      <c r="RR125" s="111"/>
      <c r="RS125" s="111"/>
      <c r="RT125" s="111"/>
      <c r="RU125" s="111"/>
      <c r="RV125" s="111"/>
      <c r="RW125" s="111"/>
      <c r="RX125" s="111"/>
      <c r="RY125" s="111"/>
      <c r="RZ125" s="111"/>
      <c r="SA125" s="111"/>
      <c r="SB125" s="111"/>
      <c r="SC125" s="111"/>
      <c r="SD125" s="111"/>
      <c r="SE125" s="111"/>
      <c r="SF125" s="111"/>
      <c r="SG125" s="111"/>
      <c r="SH125" s="111"/>
      <c r="SI125" s="111"/>
      <c r="SJ125" s="111"/>
      <c r="SK125" s="111"/>
      <c r="SL125" s="111"/>
      <c r="SM125" s="111"/>
      <c r="SN125" s="111"/>
      <c r="SO125" s="111"/>
      <c r="SP125" s="111"/>
      <c r="SQ125" s="111"/>
      <c r="SR125" s="111"/>
      <c r="SS125" s="111"/>
      <c r="ST125" s="111"/>
      <c r="SU125" s="111"/>
      <c r="SV125" s="111"/>
      <c r="SW125" s="111"/>
      <c r="SX125" s="111"/>
      <c r="SY125" s="111"/>
      <c r="SZ125" s="111"/>
      <c r="TA125" s="111"/>
      <c r="TB125" s="111"/>
      <c r="TC125" s="111"/>
      <c r="TD125" s="111"/>
      <c r="TE125" s="111"/>
      <c r="TF125" s="111"/>
      <c r="TG125" s="111"/>
      <c r="TH125" s="111"/>
      <c r="TI125" s="111"/>
      <c r="TJ125" s="111"/>
      <c r="TK125" s="111"/>
      <c r="TL125" s="111"/>
      <c r="TM125" s="111"/>
      <c r="TN125" s="111"/>
      <c r="TO125" s="111"/>
      <c r="TP125" s="111"/>
      <c r="TQ125" s="111"/>
      <c r="TR125" s="111"/>
      <c r="TS125" s="111"/>
      <c r="TT125" s="111"/>
      <c r="TU125" s="111"/>
      <c r="TV125" s="111"/>
      <c r="TW125" s="111"/>
      <c r="TX125" s="111"/>
      <c r="TY125" s="111"/>
      <c r="TZ125" s="111"/>
      <c r="UA125" s="111"/>
      <c r="UB125" s="111"/>
      <c r="UC125" s="111"/>
      <c r="UD125" s="111"/>
      <c r="UE125" s="111"/>
      <c r="UF125" s="111"/>
      <c r="UG125" s="111"/>
      <c r="UH125" s="111"/>
      <c r="UI125" s="111"/>
      <c r="UJ125" s="111"/>
      <c r="UK125" s="111"/>
      <c r="UL125" s="111"/>
      <c r="UM125" s="111"/>
      <c r="UN125" s="111"/>
      <c r="UO125" s="111"/>
      <c r="UP125" s="111"/>
      <c r="UQ125" s="111"/>
      <c r="UR125" s="111"/>
      <c r="US125" s="111"/>
      <c r="UT125" s="111"/>
      <c r="UU125" s="111"/>
      <c r="UV125" s="111"/>
      <c r="UW125" s="111"/>
      <c r="UX125" s="111"/>
      <c r="UY125" s="111"/>
      <c r="UZ125" s="111"/>
      <c r="VA125" s="111"/>
      <c r="VB125" s="111"/>
      <c r="VC125" s="111"/>
      <c r="VD125" s="111"/>
      <c r="VE125" s="111"/>
      <c r="VF125" s="111"/>
      <c r="VG125" s="111"/>
      <c r="VH125" s="111"/>
      <c r="VI125" s="111"/>
      <c r="VJ125" s="111"/>
      <c r="VK125" s="111"/>
      <c r="VL125" s="111"/>
      <c r="VM125" s="111"/>
      <c r="VN125" s="111"/>
      <c r="VO125" s="111"/>
      <c r="VP125" s="111"/>
      <c r="VQ125" s="111"/>
      <c r="VR125" s="111"/>
      <c r="VS125" s="111"/>
      <c r="VT125" s="111"/>
      <c r="VU125" s="111"/>
      <c r="VV125" s="111"/>
      <c r="VW125" s="111"/>
      <c r="VX125" s="111"/>
      <c r="VY125" s="111"/>
      <c r="VZ125" s="111"/>
      <c r="WA125" s="111"/>
      <c r="WB125" s="111"/>
      <c r="WC125" s="111"/>
      <c r="WD125" s="111"/>
      <c r="WE125" s="111"/>
      <c r="WF125" s="111"/>
      <c r="WG125" s="111"/>
      <c r="WH125" s="111"/>
      <c r="WI125" s="111"/>
      <c r="WJ125" s="111"/>
      <c r="WK125" s="111"/>
      <c r="WL125" s="111"/>
      <c r="WM125" s="111"/>
      <c r="WN125" s="111"/>
      <c r="WO125" s="111"/>
      <c r="WP125" s="111"/>
      <c r="WQ125" s="111"/>
      <c r="WR125" s="111"/>
      <c r="WS125" s="111"/>
      <c r="WT125" s="111"/>
      <c r="WU125" s="111"/>
      <c r="WV125" s="111"/>
      <c r="WW125" s="111"/>
      <c r="WX125" s="111"/>
      <c r="WY125" s="111"/>
      <c r="WZ125" s="111"/>
      <c r="XA125" s="111"/>
      <c r="XB125" s="111"/>
      <c r="XC125" s="111"/>
      <c r="XD125" s="111"/>
      <c r="XE125" s="111"/>
      <c r="XF125" s="111"/>
      <c r="XG125" s="111"/>
      <c r="XH125" s="111"/>
      <c r="XI125" s="111"/>
      <c r="XJ125" s="111"/>
      <c r="XK125" s="111"/>
      <c r="XL125" s="111"/>
      <c r="XM125" s="111"/>
      <c r="XN125" s="111"/>
      <c r="XO125" s="111"/>
      <c r="XP125" s="111"/>
      <c r="XQ125" s="111"/>
      <c r="XR125" s="111"/>
      <c r="XS125" s="111"/>
      <c r="XT125" s="111"/>
      <c r="XU125" s="111"/>
      <c r="XV125" s="111"/>
      <c r="XW125" s="111"/>
      <c r="XX125" s="111"/>
      <c r="XY125" s="111"/>
      <c r="XZ125" s="111"/>
      <c r="YA125" s="111"/>
      <c r="YB125" s="111"/>
      <c r="YC125" s="111"/>
      <c r="YD125" s="111"/>
      <c r="YE125" s="111"/>
      <c r="YF125" s="111"/>
      <c r="YG125" s="111"/>
      <c r="YH125" s="111"/>
      <c r="YI125" s="111"/>
      <c r="YJ125" s="111"/>
      <c r="YK125" s="111"/>
      <c r="YL125" s="111"/>
      <c r="YM125" s="111"/>
      <c r="YN125" s="111"/>
      <c r="YO125" s="111"/>
      <c r="YP125" s="111"/>
      <c r="YQ125" s="111"/>
      <c r="YR125" s="111"/>
      <c r="YS125" s="111"/>
      <c r="YT125" s="111"/>
      <c r="YU125" s="111"/>
      <c r="YV125" s="111"/>
      <c r="YW125" s="111"/>
      <c r="YX125" s="111"/>
      <c r="YY125" s="111"/>
      <c r="YZ125" s="111"/>
      <c r="ZA125" s="111"/>
      <c r="ZB125" s="111"/>
      <c r="ZC125" s="111"/>
      <c r="ZD125" s="111"/>
      <c r="ZE125" s="111"/>
      <c r="ZF125" s="111"/>
      <c r="ZG125" s="111"/>
    </row>
    <row r="126" spans="1:683" s="128" customFormat="1" ht="23.1" customHeight="1" thickBot="1" x14ac:dyDescent="0.25">
      <c r="A126" s="106">
        <v>4</v>
      </c>
      <c r="B126" s="84" t="s">
        <v>63</v>
      </c>
      <c r="C126" s="83" t="s">
        <v>422</v>
      </c>
      <c r="D126" s="83" t="s">
        <v>597</v>
      </c>
      <c r="E126" s="84" t="s">
        <v>21</v>
      </c>
      <c r="F126" s="84" t="s">
        <v>256</v>
      </c>
      <c r="G126" s="110">
        <v>46043</v>
      </c>
      <c r="H126" s="85">
        <f t="shared" si="13"/>
        <v>46408</v>
      </c>
      <c r="I126" s="134" t="s">
        <v>440</v>
      </c>
      <c r="J126" s="34">
        <v>15</v>
      </c>
      <c r="K126" s="20">
        <v>46113</v>
      </c>
      <c r="L126" s="14">
        <f t="shared" si="11"/>
        <v>46127</v>
      </c>
      <c r="M126" s="19">
        <v>15</v>
      </c>
      <c r="N126" s="20">
        <v>46280</v>
      </c>
      <c r="O126" s="181">
        <f t="shared" si="12"/>
        <v>46294</v>
      </c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  <c r="DA126" s="111"/>
      <c r="DB126" s="111"/>
      <c r="DC126" s="111"/>
      <c r="DD126" s="111"/>
      <c r="DE126" s="111"/>
      <c r="DF126" s="111"/>
      <c r="DG126" s="111"/>
      <c r="DH126" s="111"/>
      <c r="DI126" s="111"/>
      <c r="DJ126" s="111"/>
      <c r="DK126" s="111"/>
      <c r="DL126" s="111"/>
      <c r="DM126" s="111"/>
      <c r="DN126" s="111"/>
      <c r="DO126" s="111"/>
      <c r="DP126" s="111"/>
      <c r="DQ126" s="111"/>
      <c r="DR126" s="111"/>
      <c r="DS126" s="111"/>
      <c r="DT126" s="111"/>
      <c r="DU126" s="111"/>
      <c r="DV126" s="111"/>
      <c r="DW126" s="111"/>
      <c r="DX126" s="111"/>
      <c r="DY126" s="111"/>
      <c r="DZ126" s="111"/>
      <c r="EA126" s="111"/>
      <c r="EB126" s="111"/>
      <c r="EC126" s="111"/>
      <c r="ED126" s="111"/>
      <c r="EE126" s="111"/>
      <c r="EF126" s="111"/>
      <c r="EG126" s="111"/>
      <c r="EH126" s="111"/>
      <c r="EI126" s="111"/>
      <c r="EJ126" s="111"/>
      <c r="EK126" s="111"/>
      <c r="EL126" s="111"/>
      <c r="EM126" s="111"/>
      <c r="EN126" s="111"/>
      <c r="EO126" s="111"/>
      <c r="EP126" s="111"/>
      <c r="EQ126" s="111"/>
      <c r="ER126" s="111"/>
      <c r="ES126" s="111"/>
      <c r="ET126" s="111"/>
      <c r="EU126" s="111"/>
      <c r="EV126" s="111"/>
      <c r="EW126" s="111"/>
      <c r="EX126" s="111"/>
      <c r="EY126" s="111"/>
      <c r="EZ126" s="111"/>
      <c r="FA126" s="111"/>
      <c r="FB126" s="111"/>
      <c r="FC126" s="111"/>
      <c r="FD126" s="111"/>
      <c r="FE126" s="111"/>
      <c r="FF126" s="111"/>
      <c r="FG126" s="111"/>
      <c r="FH126" s="111"/>
      <c r="FI126" s="111"/>
      <c r="FJ126" s="111"/>
      <c r="FK126" s="111"/>
      <c r="FL126" s="111"/>
      <c r="FM126" s="111"/>
      <c r="FN126" s="111"/>
      <c r="FO126" s="111"/>
      <c r="FP126" s="111"/>
      <c r="FQ126" s="111"/>
      <c r="FR126" s="111"/>
      <c r="FS126" s="111"/>
      <c r="FT126" s="111"/>
      <c r="FU126" s="111"/>
      <c r="FV126" s="111"/>
      <c r="FW126" s="111"/>
      <c r="FX126" s="111"/>
      <c r="FY126" s="111"/>
      <c r="FZ126" s="111"/>
      <c r="GA126" s="111"/>
      <c r="GB126" s="111"/>
      <c r="GC126" s="111"/>
      <c r="GD126" s="111"/>
      <c r="GE126" s="111"/>
      <c r="GF126" s="111"/>
      <c r="GG126" s="111"/>
      <c r="GH126" s="111"/>
      <c r="GI126" s="111"/>
      <c r="GJ126" s="111"/>
      <c r="GK126" s="111"/>
      <c r="GL126" s="111"/>
      <c r="GM126" s="111"/>
      <c r="GN126" s="111"/>
      <c r="GO126" s="111"/>
      <c r="GP126" s="111"/>
      <c r="GQ126" s="111"/>
      <c r="GR126" s="111"/>
      <c r="GS126" s="111"/>
      <c r="GT126" s="111"/>
      <c r="GU126" s="111"/>
      <c r="GV126" s="111"/>
      <c r="GW126" s="111"/>
      <c r="GX126" s="111"/>
      <c r="GY126" s="111"/>
      <c r="GZ126" s="111"/>
      <c r="HA126" s="111"/>
      <c r="HB126" s="111"/>
      <c r="HC126" s="111"/>
      <c r="HD126" s="111"/>
      <c r="HE126" s="111"/>
      <c r="HF126" s="111"/>
      <c r="HG126" s="111"/>
      <c r="HH126" s="111"/>
      <c r="HI126" s="111"/>
      <c r="HJ126" s="111"/>
      <c r="HK126" s="111"/>
      <c r="HL126" s="111"/>
      <c r="HM126" s="111"/>
      <c r="HN126" s="111"/>
      <c r="HO126" s="111"/>
      <c r="HP126" s="111"/>
      <c r="HQ126" s="111"/>
      <c r="HR126" s="111"/>
      <c r="HS126" s="111"/>
      <c r="HT126" s="111"/>
      <c r="HU126" s="111"/>
      <c r="HV126" s="111"/>
      <c r="HW126" s="111"/>
      <c r="HX126" s="111"/>
      <c r="HY126" s="111"/>
      <c r="HZ126" s="111"/>
      <c r="IA126" s="111"/>
      <c r="IB126" s="111"/>
      <c r="IC126" s="111"/>
      <c r="ID126" s="111"/>
      <c r="IE126" s="111"/>
      <c r="IF126" s="111"/>
      <c r="IG126" s="111"/>
      <c r="IH126" s="111"/>
      <c r="II126" s="111"/>
      <c r="IJ126" s="111"/>
      <c r="IK126" s="111"/>
      <c r="IL126" s="111"/>
      <c r="IM126" s="111"/>
      <c r="IN126" s="111"/>
      <c r="IO126" s="111"/>
      <c r="IP126" s="111"/>
      <c r="IQ126" s="111"/>
      <c r="IR126" s="111"/>
      <c r="IS126" s="111"/>
      <c r="IT126" s="111"/>
      <c r="IU126" s="111"/>
      <c r="IV126" s="111"/>
      <c r="IW126" s="111"/>
      <c r="IX126" s="111"/>
      <c r="IY126" s="111"/>
      <c r="IZ126" s="111"/>
      <c r="JA126" s="111"/>
      <c r="JB126" s="111"/>
      <c r="JC126" s="111"/>
      <c r="JD126" s="111"/>
      <c r="JE126" s="111"/>
      <c r="JF126" s="111"/>
      <c r="JG126" s="111"/>
      <c r="JH126" s="111"/>
      <c r="JI126" s="111"/>
      <c r="JJ126" s="111"/>
      <c r="JK126" s="111"/>
      <c r="JL126" s="111"/>
      <c r="JM126" s="111"/>
      <c r="JN126" s="111"/>
      <c r="JO126" s="111"/>
      <c r="JP126" s="111"/>
      <c r="JQ126" s="111"/>
      <c r="JR126" s="111"/>
      <c r="JS126" s="111"/>
      <c r="JT126" s="111"/>
      <c r="JU126" s="111"/>
      <c r="JV126" s="111"/>
      <c r="JW126" s="111"/>
      <c r="JX126" s="111"/>
      <c r="JY126" s="111"/>
      <c r="JZ126" s="111"/>
      <c r="KA126" s="111"/>
      <c r="KB126" s="111"/>
      <c r="KC126" s="111"/>
      <c r="KD126" s="111"/>
      <c r="KE126" s="111"/>
      <c r="KF126" s="111"/>
      <c r="KG126" s="111"/>
      <c r="KH126" s="111"/>
      <c r="KI126" s="111"/>
      <c r="KJ126" s="111"/>
      <c r="KK126" s="111"/>
      <c r="KL126" s="111"/>
      <c r="KM126" s="111"/>
      <c r="KN126" s="111"/>
      <c r="KO126" s="111"/>
      <c r="KP126" s="111"/>
      <c r="KQ126" s="111"/>
      <c r="KR126" s="111"/>
      <c r="KS126" s="111"/>
      <c r="KT126" s="111"/>
      <c r="KU126" s="111"/>
      <c r="KV126" s="111"/>
      <c r="KW126" s="111"/>
      <c r="KX126" s="111"/>
      <c r="KY126" s="111"/>
      <c r="KZ126" s="111"/>
      <c r="LA126" s="111"/>
      <c r="LB126" s="111"/>
      <c r="LC126" s="111"/>
      <c r="LD126" s="111"/>
      <c r="LE126" s="111"/>
      <c r="LF126" s="111"/>
      <c r="LG126" s="111"/>
      <c r="LH126" s="111"/>
      <c r="LI126" s="111"/>
      <c r="LJ126" s="111"/>
      <c r="LK126" s="111"/>
      <c r="LL126" s="111"/>
      <c r="LM126" s="111"/>
      <c r="LN126" s="111"/>
      <c r="LO126" s="111"/>
      <c r="LP126" s="111"/>
      <c r="LQ126" s="111"/>
      <c r="LR126" s="111"/>
      <c r="LS126" s="111"/>
      <c r="LT126" s="111"/>
      <c r="LU126" s="111"/>
      <c r="LV126" s="111"/>
      <c r="LW126" s="111"/>
      <c r="LX126" s="111"/>
      <c r="LY126" s="111"/>
      <c r="LZ126" s="111"/>
      <c r="MA126" s="111"/>
      <c r="MB126" s="111"/>
      <c r="MC126" s="111"/>
      <c r="MD126" s="111"/>
      <c r="ME126" s="111"/>
      <c r="MF126" s="111"/>
      <c r="MG126" s="111"/>
      <c r="MH126" s="111"/>
      <c r="MI126" s="111"/>
      <c r="MJ126" s="111"/>
      <c r="MK126" s="111"/>
      <c r="ML126" s="111"/>
      <c r="MM126" s="111"/>
      <c r="MN126" s="111"/>
      <c r="MO126" s="111"/>
      <c r="MP126" s="111"/>
      <c r="MQ126" s="111"/>
      <c r="MR126" s="111"/>
      <c r="MS126" s="111"/>
      <c r="MT126" s="111"/>
      <c r="MU126" s="111"/>
      <c r="MV126" s="111"/>
      <c r="MW126" s="111"/>
      <c r="MX126" s="111"/>
      <c r="MY126" s="111"/>
      <c r="MZ126" s="111"/>
      <c r="NA126" s="111"/>
      <c r="NB126" s="111"/>
      <c r="NC126" s="111"/>
      <c r="ND126" s="111"/>
      <c r="NE126" s="111"/>
      <c r="NF126" s="111"/>
      <c r="NG126" s="111"/>
      <c r="NH126" s="111"/>
      <c r="NI126" s="111"/>
      <c r="NJ126" s="111"/>
      <c r="NK126" s="111"/>
      <c r="NL126" s="111"/>
      <c r="NM126" s="111"/>
      <c r="NN126" s="111"/>
      <c r="NO126" s="111"/>
      <c r="NP126" s="111"/>
      <c r="NQ126" s="111"/>
      <c r="NR126" s="111"/>
      <c r="NS126" s="111"/>
      <c r="NT126" s="111"/>
      <c r="NU126" s="111"/>
      <c r="NV126" s="111"/>
      <c r="NW126" s="111"/>
      <c r="NX126" s="111"/>
      <c r="NY126" s="111"/>
      <c r="NZ126" s="111"/>
      <c r="OA126" s="111"/>
      <c r="OB126" s="111"/>
      <c r="OC126" s="111"/>
      <c r="OD126" s="111"/>
      <c r="OE126" s="111"/>
      <c r="OF126" s="111"/>
      <c r="OG126" s="111"/>
      <c r="OH126" s="111"/>
      <c r="OI126" s="111"/>
      <c r="OJ126" s="111"/>
      <c r="OK126" s="111"/>
      <c r="OL126" s="111"/>
      <c r="OM126" s="111"/>
      <c r="ON126" s="111"/>
      <c r="OO126" s="111"/>
      <c r="OP126" s="111"/>
      <c r="OQ126" s="111"/>
      <c r="OR126" s="111"/>
      <c r="OS126" s="111"/>
      <c r="OT126" s="111"/>
      <c r="OU126" s="111"/>
      <c r="OV126" s="111"/>
      <c r="OW126" s="111"/>
      <c r="OX126" s="111"/>
      <c r="OY126" s="111"/>
      <c r="OZ126" s="111"/>
      <c r="PA126" s="111"/>
      <c r="PB126" s="111"/>
      <c r="PC126" s="111"/>
      <c r="PD126" s="111"/>
      <c r="PE126" s="111"/>
      <c r="PF126" s="111"/>
      <c r="PG126" s="111"/>
      <c r="PH126" s="111"/>
      <c r="PI126" s="111"/>
      <c r="PJ126" s="111"/>
      <c r="PK126" s="111"/>
      <c r="PL126" s="111"/>
      <c r="PM126" s="111"/>
      <c r="PN126" s="111"/>
      <c r="PO126" s="111"/>
      <c r="PP126" s="111"/>
      <c r="PQ126" s="111"/>
      <c r="PR126" s="111"/>
      <c r="PS126" s="111"/>
      <c r="PT126" s="111"/>
      <c r="PU126" s="111"/>
      <c r="PV126" s="111"/>
      <c r="PW126" s="111"/>
      <c r="PX126" s="111"/>
      <c r="PY126" s="111"/>
      <c r="PZ126" s="111"/>
      <c r="QA126" s="111"/>
      <c r="QB126" s="111"/>
      <c r="QC126" s="111"/>
      <c r="QD126" s="111"/>
      <c r="QE126" s="111"/>
      <c r="QF126" s="111"/>
      <c r="QG126" s="111"/>
      <c r="QH126" s="111"/>
      <c r="QI126" s="111"/>
      <c r="QJ126" s="111"/>
      <c r="QK126" s="111"/>
      <c r="QL126" s="111"/>
      <c r="QM126" s="111"/>
      <c r="QN126" s="111"/>
      <c r="QO126" s="111"/>
      <c r="QP126" s="111"/>
      <c r="QQ126" s="111"/>
      <c r="QR126" s="111"/>
      <c r="QS126" s="111"/>
      <c r="QT126" s="111"/>
      <c r="QU126" s="111"/>
      <c r="QV126" s="111"/>
      <c r="QW126" s="111"/>
      <c r="QX126" s="111"/>
      <c r="QY126" s="111"/>
      <c r="QZ126" s="111"/>
      <c r="RA126" s="111"/>
      <c r="RB126" s="111"/>
      <c r="RC126" s="111"/>
      <c r="RD126" s="111"/>
      <c r="RE126" s="111"/>
      <c r="RF126" s="111"/>
      <c r="RG126" s="111"/>
      <c r="RH126" s="111"/>
      <c r="RI126" s="111"/>
      <c r="RJ126" s="111"/>
      <c r="RK126" s="111"/>
      <c r="RL126" s="111"/>
      <c r="RM126" s="111"/>
      <c r="RN126" s="111"/>
      <c r="RO126" s="111"/>
      <c r="RP126" s="111"/>
      <c r="RQ126" s="111"/>
      <c r="RR126" s="111"/>
      <c r="RS126" s="111"/>
      <c r="RT126" s="111"/>
      <c r="RU126" s="111"/>
      <c r="RV126" s="111"/>
      <c r="RW126" s="111"/>
      <c r="RX126" s="111"/>
      <c r="RY126" s="111"/>
      <c r="RZ126" s="111"/>
      <c r="SA126" s="111"/>
      <c r="SB126" s="111"/>
      <c r="SC126" s="111"/>
      <c r="SD126" s="111"/>
      <c r="SE126" s="111"/>
      <c r="SF126" s="111"/>
      <c r="SG126" s="111"/>
      <c r="SH126" s="111"/>
      <c r="SI126" s="111"/>
      <c r="SJ126" s="111"/>
      <c r="SK126" s="111"/>
      <c r="SL126" s="111"/>
      <c r="SM126" s="111"/>
      <c r="SN126" s="111"/>
      <c r="SO126" s="111"/>
      <c r="SP126" s="111"/>
      <c r="SQ126" s="111"/>
      <c r="SR126" s="111"/>
      <c r="SS126" s="111"/>
      <c r="ST126" s="111"/>
      <c r="SU126" s="111"/>
      <c r="SV126" s="111"/>
      <c r="SW126" s="111"/>
      <c r="SX126" s="111"/>
      <c r="SY126" s="111"/>
      <c r="SZ126" s="111"/>
      <c r="TA126" s="111"/>
      <c r="TB126" s="111"/>
      <c r="TC126" s="111"/>
      <c r="TD126" s="111"/>
      <c r="TE126" s="111"/>
      <c r="TF126" s="111"/>
      <c r="TG126" s="111"/>
      <c r="TH126" s="111"/>
      <c r="TI126" s="111"/>
      <c r="TJ126" s="111"/>
      <c r="TK126" s="111"/>
      <c r="TL126" s="111"/>
      <c r="TM126" s="111"/>
      <c r="TN126" s="111"/>
      <c r="TO126" s="111"/>
      <c r="TP126" s="111"/>
      <c r="TQ126" s="111"/>
      <c r="TR126" s="111"/>
      <c r="TS126" s="111"/>
      <c r="TT126" s="111"/>
      <c r="TU126" s="111"/>
      <c r="TV126" s="111"/>
      <c r="TW126" s="111"/>
      <c r="TX126" s="111"/>
      <c r="TY126" s="111"/>
      <c r="TZ126" s="111"/>
      <c r="UA126" s="111"/>
      <c r="UB126" s="111"/>
      <c r="UC126" s="111"/>
      <c r="UD126" s="111"/>
      <c r="UE126" s="111"/>
      <c r="UF126" s="111"/>
      <c r="UG126" s="111"/>
      <c r="UH126" s="111"/>
      <c r="UI126" s="111"/>
      <c r="UJ126" s="111"/>
      <c r="UK126" s="111"/>
      <c r="UL126" s="111"/>
      <c r="UM126" s="111"/>
      <c r="UN126" s="111"/>
      <c r="UO126" s="111"/>
      <c r="UP126" s="111"/>
      <c r="UQ126" s="111"/>
      <c r="UR126" s="111"/>
      <c r="US126" s="111"/>
      <c r="UT126" s="111"/>
      <c r="UU126" s="111"/>
      <c r="UV126" s="111"/>
      <c r="UW126" s="111"/>
      <c r="UX126" s="111"/>
      <c r="UY126" s="111"/>
      <c r="UZ126" s="111"/>
      <c r="VA126" s="111"/>
      <c r="VB126" s="111"/>
      <c r="VC126" s="111"/>
      <c r="VD126" s="111"/>
      <c r="VE126" s="111"/>
      <c r="VF126" s="111"/>
      <c r="VG126" s="111"/>
      <c r="VH126" s="111"/>
      <c r="VI126" s="111"/>
      <c r="VJ126" s="111"/>
      <c r="VK126" s="111"/>
      <c r="VL126" s="111"/>
      <c r="VM126" s="111"/>
      <c r="VN126" s="111"/>
      <c r="VO126" s="111"/>
      <c r="VP126" s="111"/>
      <c r="VQ126" s="111"/>
      <c r="VR126" s="111"/>
      <c r="VS126" s="111"/>
      <c r="VT126" s="111"/>
      <c r="VU126" s="111"/>
      <c r="VV126" s="111"/>
      <c r="VW126" s="111"/>
      <c r="VX126" s="111"/>
      <c r="VY126" s="111"/>
      <c r="VZ126" s="111"/>
      <c r="WA126" s="111"/>
      <c r="WB126" s="111"/>
      <c r="WC126" s="111"/>
      <c r="WD126" s="111"/>
      <c r="WE126" s="111"/>
      <c r="WF126" s="111"/>
      <c r="WG126" s="111"/>
      <c r="WH126" s="111"/>
      <c r="WI126" s="111"/>
      <c r="WJ126" s="111"/>
      <c r="WK126" s="111"/>
      <c r="WL126" s="111"/>
      <c r="WM126" s="111"/>
      <c r="WN126" s="111"/>
      <c r="WO126" s="111"/>
      <c r="WP126" s="111"/>
      <c r="WQ126" s="111"/>
      <c r="WR126" s="111"/>
      <c r="WS126" s="111"/>
      <c r="WT126" s="111"/>
      <c r="WU126" s="111"/>
      <c r="WV126" s="111"/>
      <c r="WW126" s="111"/>
      <c r="WX126" s="111"/>
      <c r="WY126" s="111"/>
      <c r="WZ126" s="111"/>
      <c r="XA126" s="111"/>
      <c r="XB126" s="111"/>
      <c r="XC126" s="111"/>
      <c r="XD126" s="111"/>
      <c r="XE126" s="111"/>
      <c r="XF126" s="111"/>
      <c r="XG126" s="111"/>
      <c r="XH126" s="111"/>
      <c r="XI126" s="111"/>
      <c r="XJ126" s="111"/>
      <c r="XK126" s="111"/>
      <c r="XL126" s="111"/>
      <c r="XM126" s="111"/>
      <c r="XN126" s="111"/>
      <c r="XO126" s="111"/>
      <c r="XP126" s="111"/>
      <c r="XQ126" s="111"/>
      <c r="XR126" s="111"/>
      <c r="XS126" s="111"/>
      <c r="XT126" s="111"/>
      <c r="XU126" s="111"/>
      <c r="XV126" s="111"/>
      <c r="XW126" s="111"/>
      <c r="XX126" s="111"/>
      <c r="XY126" s="111"/>
      <c r="XZ126" s="111"/>
      <c r="YA126" s="111"/>
      <c r="YB126" s="111"/>
      <c r="YC126" s="111"/>
      <c r="YD126" s="111"/>
      <c r="YE126" s="111"/>
      <c r="YF126" s="111"/>
      <c r="YG126" s="111"/>
      <c r="YH126" s="111"/>
      <c r="YI126" s="111"/>
      <c r="YJ126" s="111"/>
      <c r="YK126" s="111"/>
      <c r="YL126" s="111"/>
      <c r="YM126" s="111"/>
      <c r="YN126" s="111"/>
      <c r="YO126" s="111"/>
      <c r="YP126" s="111"/>
      <c r="YQ126" s="111"/>
      <c r="YR126" s="111"/>
      <c r="YS126" s="111"/>
      <c r="YT126" s="111"/>
      <c r="YU126" s="111"/>
      <c r="YV126" s="111"/>
      <c r="YW126" s="111"/>
      <c r="YX126" s="111"/>
      <c r="YY126" s="111"/>
      <c r="YZ126" s="111"/>
      <c r="ZA126" s="111"/>
      <c r="ZB126" s="111"/>
      <c r="ZC126" s="111"/>
      <c r="ZD126" s="111"/>
      <c r="ZE126" s="111"/>
      <c r="ZF126" s="111"/>
      <c r="ZG126" s="111"/>
    </row>
    <row r="127" spans="1:683" s="113" customFormat="1" ht="23.1" customHeight="1" thickBot="1" x14ac:dyDescent="0.3">
      <c r="A127" s="106">
        <v>5</v>
      </c>
      <c r="B127" s="84" t="s">
        <v>74</v>
      </c>
      <c r="C127" s="83" t="s">
        <v>93</v>
      </c>
      <c r="D127" s="83" t="s">
        <v>598</v>
      </c>
      <c r="E127" s="83" t="s">
        <v>21</v>
      </c>
      <c r="F127" s="84" t="s">
        <v>256</v>
      </c>
      <c r="G127" s="85">
        <v>44594</v>
      </c>
      <c r="H127" s="91">
        <f t="shared" si="13"/>
        <v>44959</v>
      </c>
      <c r="I127" s="135" t="s">
        <v>444</v>
      </c>
      <c r="J127" s="34">
        <v>20</v>
      </c>
      <c r="K127" s="22">
        <v>46251</v>
      </c>
      <c r="L127" s="14">
        <f t="shared" si="11"/>
        <v>46270</v>
      </c>
      <c r="M127" s="20"/>
      <c r="N127" s="20"/>
      <c r="O127" s="181">
        <f t="shared" si="12"/>
        <v>-1</v>
      </c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8"/>
      <c r="CE127" s="108"/>
      <c r="CF127" s="108"/>
      <c r="CG127" s="108"/>
      <c r="CH127" s="108"/>
      <c r="CI127" s="108"/>
      <c r="CJ127" s="108"/>
      <c r="CK127" s="108"/>
      <c r="CL127" s="108"/>
      <c r="CM127" s="108"/>
      <c r="CN127" s="108"/>
      <c r="CO127" s="108"/>
      <c r="CP127" s="108"/>
      <c r="CQ127" s="108"/>
      <c r="CR127" s="108"/>
      <c r="CS127" s="108"/>
      <c r="CT127" s="108"/>
      <c r="CU127" s="108"/>
      <c r="CV127" s="108"/>
      <c r="CW127" s="108"/>
      <c r="CX127" s="108"/>
      <c r="CY127" s="108"/>
      <c r="CZ127" s="108"/>
      <c r="DA127" s="108"/>
      <c r="DB127" s="108"/>
      <c r="DC127" s="108"/>
      <c r="DD127" s="108"/>
      <c r="DE127" s="108"/>
      <c r="DF127" s="108"/>
      <c r="DG127" s="108"/>
      <c r="DH127" s="111"/>
      <c r="DI127" s="111"/>
      <c r="DJ127" s="111"/>
      <c r="DK127" s="111"/>
      <c r="DL127" s="111"/>
      <c r="DM127" s="111"/>
      <c r="DN127" s="111"/>
      <c r="DO127" s="111"/>
      <c r="DP127" s="111"/>
      <c r="DQ127" s="111"/>
      <c r="DR127" s="111"/>
      <c r="DS127" s="111"/>
      <c r="DT127" s="111"/>
      <c r="DU127" s="111"/>
      <c r="DV127" s="111"/>
      <c r="DW127" s="111"/>
      <c r="DX127" s="111"/>
      <c r="DY127" s="111"/>
      <c r="DZ127" s="111"/>
      <c r="EA127" s="111"/>
      <c r="EB127" s="111"/>
      <c r="EC127" s="111"/>
      <c r="ED127" s="111"/>
      <c r="EE127" s="111"/>
      <c r="EF127" s="111"/>
      <c r="EG127" s="111"/>
      <c r="EH127" s="111"/>
      <c r="EI127" s="111"/>
      <c r="EJ127" s="111"/>
      <c r="EK127" s="111"/>
      <c r="EL127" s="111"/>
      <c r="EM127" s="111"/>
      <c r="EN127" s="111"/>
      <c r="EO127" s="111"/>
      <c r="EP127" s="111"/>
      <c r="EQ127" s="111"/>
      <c r="ER127" s="111"/>
      <c r="ES127" s="111"/>
      <c r="ET127" s="111"/>
      <c r="EU127" s="111"/>
      <c r="EV127" s="111"/>
      <c r="EW127" s="111"/>
      <c r="EX127" s="111"/>
      <c r="EY127" s="111"/>
      <c r="EZ127" s="111"/>
      <c r="FA127" s="111"/>
      <c r="FB127" s="111"/>
      <c r="FC127" s="111"/>
      <c r="FD127" s="111"/>
      <c r="FE127" s="111"/>
      <c r="FF127" s="111"/>
      <c r="FG127" s="111"/>
      <c r="FH127" s="111"/>
      <c r="FI127" s="111"/>
      <c r="FJ127" s="111"/>
      <c r="FK127" s="111"/>
      <c r="FL127" s="111"/>
      <c r="FM127" s="111"/>
      <c r="FN127" s="111"/>
      <c r="FO127" s="111"/>
      <c r="FP127" s="111"/>
      <c r="FQ127" s="111"/>
      <c r="FR127" s="111"/>
      <c r="FS127" s="111"/>
      <c r="FT127" s="111"/>
      <c r="FU127" s="111"/>
      <c r="FV127" s="111"/>
      <c r="FW127" s="111"/>
      <c r="FX127" s="111"/>
      <c r="FY127" s="111"/>
      <c r="FZ127" s="111"/>
      <c r="GA127" s="111"/>
      <c r="GB127" s="111"/>
      <c r="GC127" s="111"/>
      <c r="GD127" s="111"/>
      <c r="GE127" s="111"/>
      <c r="GF127" s="111"/>
      <c r="GG127" s="111"/>
      <c r="GH127" s="111"/>
      <c r="GI127" s="111"/>
      <c r="GJ127" s="111"/>
      <c r="GK127" s="111"/>
      <c r="GL127" s="111"/>
      <c r="GM127" s="111"/>
      <c r="GN127" s="111"/>
      <c r="GO127" s="111"/>
      <c r="GP127" s="111"/>
      <c r="GQ127" s="111"/>
      <c r="GR127" s="111"/>
      <c r="GS127" s="111"/>
      <c r="GT127" s="111"/>
      <c r="GU127" s="111"/>
      <c r="GV127" s="111"/>
      <c r="GW127" s="111"/>
      <c r="GX127" s="111"/>
      <c r="GY127" s="111"/>
      <c r="GZ127" s="111"/>
      <c r="HA127" s="111"/>
      <c r="HB127" s="111"/>
      <c r="HC127" s="111"/>
      <c r="HD127" s="111"/>
      <c r="HE127" s="111"/>
      <c r="HF127" s="111"/>
      <c r="HG127" s="111"/>
      <c r="HH127" s="111"/>
      <c r="HI127" s="111"/>
      <c r="HJ127" s="111"/>
      <c r="HK127" s="111"/>
      <c r="HL127" s="111"/>
      <c r="HM127" s="111"/>
      <c r="HN127" s="111"/>
      <c r="HO127" s="111"/>
      <c r="HP127" s="111"/>
      <c r="HQ127" s="111"/>
      <c r="HR127" s="111"/>
      <c r="HS127" s="111"/>
      <c r="HT127" s="111"/>
      <c r="HU127" s="111"/>
      <c r="HV127" s="111"/>
      <c r="HW127" s="111"/>
      <c r="HX127" s="111"/>
      <c r="HY127" s="111"/>
      <c r="HZ127" s="111"/>
      <c r="IA127" s="111"/>
      <c r="IB127" s="111"/>
      <c r="IC127" s="111"/>
      <c r="ID127" s="111"/>
      <c r="IE127" s="111"/>
      <c r="IF127" s="111"/>
      <c r="IG127" s="111"/>
      <c r="IH127" s="111"/>
      <c r="II127" s="111"/>
      <c r="IJ127" s="111"/>
      <c r="IK127" s="111"/>
      <c r="IL127" s="111"/>
      <c r="IM127" s="111"/>
      <c r="IN127" s="111"/>
      <c r="IO127" s="111"/>
      <c r="IP127" s="111"/>
      <c r="IQ127" s="111"/>
      <c r="IR127" s="111"/>
      <c r="IS127" s="111"/>
      <c r="IT127" s="111"/>
      <c r="IU127" s="111"/>
      <c r="IV127" s="111"/>
      <c r="IW127" s="111"/>
      <c r="IX127" s="111"/>
      <c r="IY127" s="111"/>
      <c r="IZ127" s="111"/>
      <c r="JA127" s="111"/>
      <c r="JB127" s="111"/>
      <c r="JC127" s="111"/>
      <c r="JD127" s="111"/>
      <c r="JE127" s="111"/>
      <c r="JF127" s="111"/>
      <c r="JG127" s="111"/>
      <c r="JH127" s="111"/>
      <c r="JI127" s="111"/>
      <c r="JJ127" s="111"/>
      <c r="JK127" s="111"/>
      <c r="JL127" s="111"/>
      <c r="JM127" s="111"/>
      <c r="JN127" s="111"/>
      <c r="JO127" s="111"/>
      <c r="JP127" s="111"/>
      <c r="JQ127" s="111"/>
      <c r="JR127" s="111"/>
      <c r="JS127" s="111"/>
      <c r="JT127" s="111"/>
      <c r="JU127" s="111"/>
      <c r="JV127" s="111"/>
      <c r="JW127" s="111"/>
      <c r="JX127" s="111"/>
      <c r="JY127" s="111"/>
      <c r="JZ127" s="111"/>
      <c r="KA127" s="111"/>
      <c r="KB127" s="111"/>
      <c r="KC127" s="111"/>
      <c r="KD127" s="111"/>
      <c r="KE127" s="111"/>
      <c r="KF127" s="111"/>
      <c r="KG127" s="111"/>
      <c r="KH127" s="111"/>
      <c r="KI127" s="111"/>
      <c r="KJ127" s="111"/>
      <c r="KK127" s="111"/>
      <c r="KL127" s="111"/>
      <c r="KM127" s="111"/>
      <c r="KN127" s="111"/>
      <c r="KO127" s="111"/>
      <c r="KP127" s="111"/>
      <c r="KQ127" s="111"/>
      <c r="KR127" s="111"/>
      <c r="KS127" s="111"/>
      <c r="KT127" s="111"/>
      <c r="KU127" s="111"/>
      <c r="KV127" s="111"/>
      <c r="KW127" s="111"/>
      <c r="KX127" s="111"/>
      <c r="KY127" s="111"/>
      <c r="KZ127" s="111"/>
      <c r="LA127" s="111"/>
      <c r="LB127" s="111"/>
      <c r="LC127" s="111"/>
      <c r="LD127" s="111"/>
      <c r="LE127" s="111"/>
      <c r="LF127" s="111"/>
      <c r="LG127" s="111"/>
      <c r="LH127" s="111"/>
      <c r="LI127" s="111"/>
      <c r="LJ127" s="111"/>
      <c r="LK127" s="111"/>
      <c r="LL127" s="111"/>
      <c r="LM127" s="111"/>
      <c r="LN127" s="111"/>
      <c r="LO127" s="111"/>
      <c r="LP127" s="111"/>
      <c r="LQ127" s="111"/>
      <c r="LR127" s="111"/>
      <c r="LS127" s="111"/>
      <c r="LT127" s="111"/>
      <c r="LU127" s="111"/>
      <c r="LV127" s="111"/>
      <c r="LW127" s="111"/>
      <c r="LX127" s="111"/>
      <c r="LY127" s="111"/>
      <c r="LZ127" s="111"/>
      <c r="MA127" s="111"/>
      <c r="MB127" s="111"/>
      <c r="MC127" s="111"/>
      <c r="MD127" s="111"/>
      <c r="ME127" s="111"/>
      <c r="MF127" s="111"/>
      <c r="MG127" s="111"/>
      <c r="MH127" s="111"/>
      <c r="MI127" s="111"/>
      <c r="MJ127" s="111"/>
      <c r="MK127" s="111"/>
      <c r="ML127" s="111"/>
      <c r="MM127" s="111"/>
      <c r="MN127" s="111"/>
      <c r="MO127" s="111"/>
      <c r="MP127" s="111"/>
      <c r="MQ127" s="111"/>
      <c r="MR127" s="111"/>
      <c r="MS127" s="111"/>
      <c r="MT127" s="111"/>
      <c r="MU127" s="111"/>
      <c r="MV127" s="111"/>
      <c r="MW127" s="111"/>
      <c r="MX127" s="111"/>
      <c r="MY127" s="111"/>
      <c r="MZ127" s="111"/>
      <c r="NA127" s="111"/>
      <c r="NB127" s="111"/>
      <c r="NC127" s="111"/>
      <c r="ND127" s="111"/>
      <c r="NE127" s="111"/>
      <c r="NF127" s="111"/>
      <c r="NG127" s="111"/>
      <c r="NH127" s="111"/>
      <c r="NI127" s="111"/>
      <c r="NJ127" s="111"/>
      <c r="NK127" s="111"/>
      <c r="NL127" s="111"/>
      <c r="NM127" s="111"/>
      <c r="NN127" s="111"/>
      <c r="NO127" s="111"/>
      <c r="NP127" s="111"/>
      <c r="NQ127" s="111"/>
      <c r="NR127" s="111"/>
      <c r="NS127" s="111"/>
      <c r="NT127" s="111"/>
      <c r="NU127" s="111"/>
      <c r="NV127" s="111"/>
      <c r="NW127" s="111"/>
      <c r="NX127" s="111"/>
      <c r="NY127" s="111"/>
      <c r="NZ127" s="111"/>
      <c r="OA127" s="111"/>
      <c r="OB127" s="111"/>
      <c r="OC127" s="111"/>
      <c r="OD127" s="111"/>
      <c r="OE127" s="111"/>
      <c r="OF127" s="111"/>
      <c r="OG127" s="111"/>
      <c r="OH127" s="111"/>
      <c r="OI127" s="111"/>
      <c r="OJ127" s="111"/>
      <c r="OK127" s="111"/>
      <c r="OL127" s="111"/>
      <c r="OM127" s="111"/>
      <c r="ON127" s="111"/>
      <c r="OO127" s="111"/>
      <c r="OP127" s="111"/>
      <c r="OQ127" s="111"/>
      <c r="OR127" s="111"/>
      <c r="OS127" s="111"/>
      <c r="OT127" s="111"/>
      <c r="OU127" s="111"/>
      <c r="OV127" s="111"/>
      <c r="OW127" s="111"/>
      <c r="OX127" s="111"/>
      <c r="OY127" s="111"/>
      <c r="OZ127" s="111"/>
      <c r="PA127" s="111"/>
      <c r="PB127" s="111"/>
      <c r="PC127" s="111"/>
      <c r="PD127" s="111"/>
      <c r="PE127" s="111"/>
      <c r="PF127" s="111"/>
      <c r="PG127" s="111"/>
      <c r="PH127" s="111"/>
      <c r="PI127" s="111"/>
      <c r="PJ127" s="111"/>
      <c r="PK127" s="111"/>
      <c r="PL127" s="111"/>
      <c r="PM127" s="111"/>
      <c r="PN127" s="111"/>
      <c r="PO127" s="111"/>
      <c r="PP127" s="111"/>
      <c r="PQ127" s="111"/>
      <c r="PR127" s="111"/>
      <c r="PS127" s="111"/>
      <c r="PT127" s="111"/>
      <c r="PU127" s="111"/>
      <c r="PV127" s="111"/>
      <c r="PW127" s="111"/>
      <c r="PX127" s="111"/>
      <c r="PY127" s="111"/>
      <c r="PZ127" s="111"/>
      <c r="QA127" s="111"/>
      <c r="QB127" s="111"/>
      <c r="QC127" s="111"/>
      <c r="QD127" s="111"/>
      <c r="QE127" s="111"/>
      <c r="QF127" s="111"/>
      <c r="QG127" s="111"/>
      <c r="QH127" s="111"/>
      <c r="QI127" s="111"/>
      <c r="QJ127" s="111"/>
      <c r="QK127" s="111"/>
      <c r="QL127" s="111"/>
      <c r="QM127" s="111"/>
      <c r="QN127" s="111"/>
      <c r="QO127" s="111"/>
      <c r="QP127" s="111"/>
      <c r="QQ127" s="111"/>
      <c r="QR127" s="111"/>
      <c r="QS127" s="111"/>
      <c r="QT127" s="111"/>
      <c r="QU127" s="111"/>
      <c r="QV127" s="111"/>
      <c r="QW127" s="111"/>
      <c r="QX127" s="111"/>
      <c r="QY127" s="111"/>
      <c r="QZ127" s="111"/>
      <c r="RA127" s="111"/>
      <c r="RB127" s="111"/>
      <c r="RC127" s="111"/>
      <c r="RD127" s="111"/>
      <c r="RE127" s="111"/>
      <c r="RF127" s="111"/>
      <c r="RG127" s="111"/>
      <c r="RH127" s="111"/>
      <c r="RI127" s="111"/>
      <c r="RJ127" s="111"/>
      <c r="RK127" s="111"/>
      <c r="RL127" s="111"/>
      <c r="RM127" s="111"/>
      <c r="RN127" s="111"/>
      <c r="RO127" s="111"/>
      <c r="RP127" s="111"/>
      <c r="RQ127" s="111"/>
      <c r="RR127" s="111"/>
      <c r="RS127" s="111"/>
      <c r="RT127" s="111"/>
      <c r="RU127" s="111"/>
      <c r="RV127" s="111"/>
      <c r="RW127" s="111"/>
      <c r="RX127" s="111"/>
      <c r="RY127" s="111"/>
      <c r="RZ127" s="111"/>
      <c r="SA127" s="111"/>
      <c r="SB127" s="111"/>
      <c r="SC127" s="111"/>
      <c r="SD127" s="111"/>
      <c r="SE127" s="111"/>
      <c r="SF127" s="111"/>
      <c r="SG127" s="111"/>
      <c r="SH127" s="111"/>
      <c r="SI127" s="111"/>
      <c r="SJ127" s="111"/>
      <c r="SK127" s="111"/>
      <c r="SL127" s="111"/>
      <c r="SM127" s="111"/>
      <c r="SN127" s="111"/>
      <c r="SO127" s="111"/>
      <c r="SP127" s="111"/>
      <c r="SQ127" s="111"/>
      <c r="SR127" s="111"/>
      <c r="SS127" s="111"/>
      <c r="ST127" s="111"/>
      <c r="SU127" s="111"/>
      <c r="SV127" s="111"/>
      <c r="SW127" s="111"/>
      <c r="SX127" s="111"/>
      <c r="SY127" s="111"/>
      <c r="SZ127" s="111"/>
      <c r="TA127" s="111"/>
      <c r="TB127" s="111"/>
      <c r="TC127" s="111"/>
      <c r="TD127" s="111"/>
      <c r="TE127" s="111"/>
      <c r="TF127" s="111"/>
      <c r="TG127" s="111"/>
      <c r="TH127" s="111"/>
      <c r="TI127" s="111"/>
      <c r="TJ127" s="111"/>
      <c r="TK127" s="111"/>
      <c r="TL127" s="111"/>
      <c r="TM127" s="111"/>
      <c r="TN127" s="111"/>
      <c r="TO127" s="111"/>
      <c r="TP127" s="111"/>
      <c r="TQ127" s="111"/>
      <c r="TR127" s="111"/>
      <c r="TS127" s="111"/>
      <c r="TT127" s="111"/>
      <c r="TU127" s="111"/>
      <c r="TV127" s="111"/>
      <c r="TW127" s="111"/>
      <c r="TX127" s="111"/>
      <c r="TY127" s="111"/>
      <c r="TZ127" s="111"/>
      <c r="UA127" s="111"/>
      <c r="UB127" s="111"/>
      <c r="UC127" s="111"/>
      <c r="UD127" s="111"/>
      <c r="UE127" s="111"/>
      <c r="UF127" s="111"/>
      <c r="UG127" s="111"/>
      <c r="UH127" s="111"/>
      <c r="UI127" s="111"/>
      <c r="UJ127" s="111"/>
      <c r="UK127" s="111"/>
      <c r="UL127" s="111"/>
      <c r="UM127" s="111"/>
      <c r="UN127" s="111"/>
      <c r="UO127" s="111"/>
      <c r="UP127" s="111"/>
      <c r="UQ127" s="111"/>
      <c r="UR127" s="111"/>
      <c r="US127" s="111"/>
      <c r="UT127" s="111"/>
      <c r="UU127" s="111"/>
      <c r="UV127" s="111"/>
      <c r="UW127" s="111"/>
      <c r="UX127" s="111"/>
      <c r="UY127" s="111"/>
      <c r="UZ127" s="111"/>
      <c r="VA127" s="111"/>
      <c r="VB127" s="111"/>
      <c r="VC127" s="111"/>
      <c r="VD127" s="111"/>
      <c r="VE127" s="111"/>
      <c r="VF127" s="111"/>
      <c r="VG127" s="111"/>
      <c r="VH127" s="111"/>
      <c r="VI127" s="111"/>
      <c r="VJ127" s="111"/>
      <c r="VK127" s="111"/>
      <c r="VL127" s="111"/>
      <c r="VM127" s="111"/>
      <c r="VN127" s="111"/>
      <c r="VO127" s="111"/>
      <c r="VP127" s="111"/>
      <c r="VQ127" s="111"/>
      <c r="VR127" s="111"/>
      <c r="VS127" s="111"/>
      <c r="VT127" s="111"/>
      <c r="VU127" s="111"/>
      <c r="VV127" s="111"/>
      <c r="VW127" s="111"/>
      <c r="VX127" s="111"/>
      <c r="VY127" s="111"/>
      <c r="VZ127" s="111"/>
      <c r="WA127" s="111"/>
      <c r="WB127" s="111"/>
      <c r="WC127" s="111"/>
      <c r="WD127" s="111"/>
      <c r="WE127" s="111"/>
      <c r="WF127" s="111"/>
      <c r="WG127" s="111"/>
      <c r="WH127" s="111"/>
      <c r="WI127" s="111"/>
      <c r="WJ127" s="111"/>
      <c r="WK127" s="111"/>
      <c r="WL127" s="111"/>
      <c r="WM127" s="111"/>
      <c r="WN127" s="111"/>
      <c r="WO127" s="111"/>
      <c r="WP127" s="111"/>
      <c r="WQ127" s="111"/>
      <c r="WR127" s="111"/>
      <c r="WS127" s="111"/>
      <c r="WT127" s="111"/>
      <c r="WU127" s="111"/>
      <c r="WV127" s="111"/>
      <c r="WW127" s="111"/>
      <c r="WX127" s="111"/>
      <c r="WY127" s="111"/>
      <c r="WZ127" s="111"/>
      <c r="XA127" s="111"/>
      <c r="XB127" s="111"/>
      <c r="XC127" s="111"/>
      <c r="XD127" s="111"/>
      <c r="XE127" s="111"/>
      <c r="XF127" s="111"/>
      <c r="XG127" s="111"/>
      <c r="XH127" s="111"/>
      <c r="XI127" s="111"/>
      <c r="XJ127" s="111"/>
      <c r="XK127" s="111"/>
      <c r="XL127" s="111"/>
      <c r="XM127" s="111"/>
      <c r="XN127" s="111"/>
      <c r="XO127" s="111"/>
      <c r="XP127" s="111"/>
      <c r="XQ127" s="111"/>
      <c r="XR127" s="111"/>
      <c r="XS127" s="111"/>
      <c r="XT127" s="111"/>
      <c r="XU127" s="111"/>
      <c r="XV127" s="111"/>
      <c r="XW127" s="111"/>
      <c r="XX127" s="111"/>
      <c r="XY127" s="111"/>
      <c r="XZ127" s="111"/>
      <c r="YA127" s="111"/>
      <c r="YB127" s="111"/>
      <c r="YC127" s="111"/>
      <c r="YD127" s="111"/>
      <c r="YE127" s="111"/>
      <c r="YF127" s="111"/>
      <c r="YG127" s="111"/>
      <c r="YH127" s="111"/>
      <c r="YI127" s="111"/>
      <c r="YJ127" s="111"/>
      <c r="YK127" s="111"/>
      <c r="YL127" s="111"/>
      <c r="YM127" s="111"/>
      <c r="YN127" s="111"/>
      <c r="YO127" s="111"/>
      <c r="YP127" s="111"/>
      <c r="YQ127" s="111"/>
      <c r="YR127" s="111"/>
      <c r="YS127" s="111"/>
      <c r="YT127" s="111"/>
      <c r="YU127" s="111"/>
      <c r="YV127" s="111"/>
      <c r="YW127" s="111"/>
      <c r="YX127" s="111"/>
      <c r="YY127" s="111"/>
      <c r="YZ127" s="111"/>
      <c r="ZA127" s="111"/>
      <c r="ZB127" s="111"/>
      <c r="ZC127" s="111"/>
      <c r="ZD127" s="111"/>
      <c r="ZE127" s="111"/>
      <c r="ZF127" s="111"/>
      <c r="ZG127" s="111"/>
    </row>
    <row r="128" spans="1:683" s="113" customFormat="1" ht="23.1" customHeight="1" thickBot="1" x14ac:dyDescent="0.3">
      <c r="A128" s="106">
        <v>6</v>
      </c>
      <c r="B128" s="84" t="s">
        <v>74</v>
      </c>
      <c r="C128" s="83" t="s">
        <v>97</v>
      </c>
      <c r="D128" s="83" t="s">
        <v>599</v>
      </c>
      <c r="E128" s="83" t="s">
        <v>21</v>
      </c>
      <c r="F128" s="84" t="s">
        <v>256</v>
      </c>
      <c r="G128" s="110">
        <v>45995</v>
      </c>
      <c r="H128" s="85">
        <f t="shared" si="13"/>
        <v>46360</v>
      </c>
      <c r="I128" s="140" t="s">
        <v>448</v>
      </c>
      <c r="J128" s="34">
        <v>15</v>
      </c>
      <c r="K128" s="14">
        <v>46039</v>
      </c>
      <c r="L128" s="14">
        <f t="shared" si="11"/>
        <v>46053</v>
      </c>
      <c r="M128" s="34">
        <v>15</v>
      </c>
      <c r="N128" s="14">
        <v>46205</v>
      </c>
      <c r="O128" s="181">
        <f t="shared" si="12"/>
        <v>46219</v>
      </c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8"/>
      <c r="CQ128" s="108"/>
      <c r="CR128" s="108"/>
      <c r="CS128" s="108"/>
      <c r="CT128" s="108"/>
      <c r="CU128" s="108"/>
      <c r="CV128" s="108"/>
      <c r="CW128" s="108"/>
      <c r="CX128" s="108"/>
      <c r="CY128" s="108"/>
      <c r="CZ128" s="108"/>
      <c r="DA128" s="108"/>
      <c r="DB128" s="108"/>
      <c r="DC128" s="108"/>
      <c r="DD128" s="108"/>
      <c r="DE128" s="108"/>
      <c r="DF128" s="108"/>
      <c r="DG128" s="108"/>
      <c r="DH128" s="111"/>
      <c r="DI128" s="111"/>
      <c r="DJ128" s="111"/>
      <c r="DK128" s="111"/>
      <c r="DL128" s="111"/>
      <c r="DM128" s="111"/>
      <c r="DN128" s="111"/>
      <c r="DO128" s="111"/>
      <c r="DP128" s="111"/>
      <c r="DQ128" s="111"/>
      <c r="DR128" s="111"/>
      <c r="DS128" s="111"/>
      <c r="DT128" s="111"/>
      <c r="DU128" s="111"/>
      <c r="DV128" s="111"/>
      <c r="DW128" s="111"/>
      <c r="DX128" s="111"/>
      <c r="DY128" s="111"/>
      <c r="DZ128" s="111"/>
      <c r="EA128" s="111"/>
      <c r="EB128" s="111"/>
      <c r="EC128" s="111"/>
      <c r="ED128" s="111"/>
      <c r="EE128" s="111"/>
      <c r="EF128" s="111"/>
      <c r="EG128" s="111"/>
      <c r="EH128" s="111"/>
      <c r="EI128" s="111"/>
      <c r="EJ128" s="111"/>
      <c r="EK128" s="111"/>
      <c r="EL128" s="111"/>
      <c r="EM128" s="111"/>
      <c r="EN128" s="111"/>
      <c r="EO128" s="111"/>
      <c r="EP128" s="111"/>
      <c r="EQ128" s="111"/>
      <c r="ER128" s="111"/>
      <c r="ES128" s="111"/>
      <c r="ET128" s="111"/>
      <c r="EU128" s="111"/>
      <c r="EV128" s="111"/>
      <c r="EW128" s="111"/>
      <c r="EX128" s="111"/>
      <c r="EY128" s="111"/>
      <c r="EZ128" s="111"/>
      <c r="FA128" s="111"/>
      <c r="FB128" s="111"/>
      <c r="FC128" s="111"/>
      <c r="FD128" s="111"/>
      <c r="FE128" s="111"/>
      <c r="FF128" s="111"/>
      <c r="FG128" s="111"/>
      <c r="FH128" s="111"/>
      <c r="FI128" s="111"/>
      <c r="FJ128" s="111"/>
      <c r="FK128" s="111"/>
      <c r="FL128" s="111"/>
      <c r="FM128" s="111"/>
      <c r="FN128" s="111"/>
      <c r="FO128" s="111"/>
      <c r="FP128" s="111"/>
      <c r="FQ128" s="111"/>
      <c r="FR128" s="111"/>
      <c r="FS128" s="111"/>
      <c r="FT128" s="111"/>
      <c r="FU128" s="111"/>
      <c r="FV128" s="111"/>
      <c r="FW128" s="111"/>
      <c r="FX128" s="111"/>
      <c r="FY128" s="111"/>
      <c r="FZ128" s="111"/>
      <c r="GA128" s="111"/>
      <c r="GB128" s="111"/>
      <c r="GC128" s="111"/>
      <c r="GD128" s="111"/>
      <c r="GE128" s="111"/>
      <c r="GF128" s="111"/>
      <c r="GG128" s="111"/>
      <c r="GH128" s="111"/>
      <c r="GI128" s="111"/>
      <c r="GJ128" s="111"/>
      <c r="GK128" s="111"/>
      <c r="GL128" s="111"/>
      <c r="GM128" s="111"/>
      <c r="GN128" s="111"/>
      <c r="GO128" s="111"/>
      <c r="GP128" s="111"/>
      <c r="GQ128" s="111"/>
      <c r="GR128" s="111"/>
      <c r="GS128" s="111"/>
      <c r="GT128" s="111"/>
      <c r="GU128" s="111"/>
      <c r="GV128" s="111"/>
      <c r="GW128" s="111"/>
      <c r="GX128" s="111"/>
      <c r="GY128" s="111"/>
      <c r="GZ128" s="111"/>
      <c r="HA128" s="111"/>
      <c r="HB128" s="111"/>
      <c r="HC128" s="111"/>
      <c r="HD128" s="111"/>
      <c r="HE128" s="111"/>
      <c r="HF128" s="111"/>
      <c r="HG128" s="111"/>
      <c r="HH128" s="111"/>
      <c r="HI128" s="111"/>
      <c r="HJ128" s="111"/>
      <c r="HK128" s="111"/>
      <c r="HL128" s="111"/>
      <c r="HM128" s="111"/>
      <c r="HN128" s="111"/>
      <c r="HO128" s="111"/>
      <c r="HP128" s="111"/>
      <c r="HQ128" s="111"/>
      <c r="HR128" s="111"/>
      <c r="HS128" s="111"/>
      <c r="HT128" s="111"/>
      <c r="HU128" s="111"/>
      <c r="HV128" s="111"/>
      <c r="HW128" s="111"/>
      <c r="HX128" s="111"/>
      <c r="HY128" s="111"/>
      <c r="HZ128" s="111"/>
      <c r="IA128" s="111"/>
      <c r="IB128" s="111"/>
      <c r="IC128" s="111"/>
      <c r="ID128" s="111"/>
      <c r="IE128" s="111"/>
      <c r="IF128" s="111"/>
      <c r="IG128" s="111"/>
      <c r="IH128" s="111"/>
      <c r="II128" s="111"/>
      <c r="IJ128" s="111"/>
      <c r="IK128" s="111"/>
      <c r="IL128" s="111"/>
      <c r="IM128" s="111"/>
      <c r="IN128" s="111"/>
      <c r="IO128" s="111"/>
      <c r="IP128" s="111"/>
      <c r="IQ128" s="111"/>
      <c r="IR128" s="111"/>
      <c r="IS128" s="111"/>
      <c r="IT128" s="111"/>
      <c r="IU128" s="111"/>
      <c r="IV128" s="111"/>
      <c r="IW128" s="111"/>
      <c r="IX128" s="111"/>
      <c r="IY128" s="111"/>
      <c r="IZ128" s="111"/>
      <c r="JA128" s="111"/>
      <c r="JB128" s="111"/>
      <c r="JC128" s="111"/>
      <c r="JD128" s="111"/>
      <c r="JE128" s="111"/>
      <c r="JF128" s="111"/>
      <c r="JG128" s="111"/>
      <c r="JH128" s="111"/>
      <c r="JI128" s="111"/>
      <c r="JJ128" s="111"/>
      <c r="JK128" s="111"/>
      <c r="JL128" s="111"/>
      <c r="JM128" s="111"/>
      <c r="JN128" s="111"/>
      <c r="JO128" s="111"/>
      <c r="JP128" s="111"/>
      <c r="JQ128" s="111"/>
      <c r="JR128" s="111"/>
      <c r="JS128" s="111"/>
      <c r="JT128" s="111"/>
      <c r="JU128" s="111"/>
      <c r="JV128" s="111"/>
      <c r="JW128" s="111"/>
      <c r="JX128" s="111"/>
      <c r="JY128" s="111"/>
      <c r="JZ128" s="111"/>
      <c r="KA128" s="111"/>
      <c r="KB128" s="111"/>
      <c r="KC128" s="111"/>
      <c r="KD128" s="111"/>
      <c r="KE128" s="111"/>
      <c r="KF128" s="111"/>
      <c r="KG128" s="111"/>
      <c r="KH128" s="111"/>
      <c r="KI128" s="111"/>
      <c r="KJ128" s="111"/>
      <c r="KK128" s="111"/>
      <c r="KL128" s="111"/>
      <c r="KM128" s="111"/>
      <c r="KN128" s="111"/>
      <c r="KO128" s="111"/>
      <c r="KP128" s="111"/>
      <c r="KQ128" s="111"/>
      <c r="KR128" s="111"/>
      <c r="KS128" s="111"/>
      <c r="KT128" s="111"/>
      <c r="KU128" s="111"/>
      <c r="KV128" s="111"/>
      <c r="KW128" s="111"/>
      <c r="KX128" s="111"/>
      <c r="KY128" s="111"/>
      <c r="KZ128" s="111"/>
      <c r="LA128" s="111"/>
      <c r="LB128" s="111"/>
      <c r="LC128" s="111"/>
      <c r="LD128" s="111"/>
      <c r="LE128" s="111"/>
      <c r="LF128" s="111"/>
      <c r="LG128" s="111"/>
      <c r="LH128" s="111"/>
      <c r="LI128" s="111"/>
      <c r="LJ128" s="111"/>
      <c r="LK128" s="111"/>
      <c r="LL128" s="111"/>
      <c r="LM128" s="111"/>
      <c r="LN128" s="111"/>
      <c r="LO128" s="111"/>
      <c r="LP128" s="111"/>
      <c r="LQ128" s="111"/>
      <c r="LR128" s="111"/>
      <c r="LS128" s="111"/>
      <c r="LT128" s="111"/>
      <c r="LU128" s="111"/>
      <c r="LV128" s="111"/>
      <c r="LW128" s="111"/>
      <c r="LX128" s="111"/>
      <c r="LY128" s="111"/>
      <c r="LZ128" s="111"/>
      <c r="MA128" s="111"/>
      <c r="MB128" s="111"/>
      <c r="MC128" s="111"/>
      <c r="MD128" s="111"/>
      <c r="ME128" s="111"/>
      <c r="MF128" s="111"/>
      <c r="MG128" s="111"/>
      <c r="MH128" s="111"/>
      <c r="MI128" s="111"/>
      <c r="MJ128" s="111"/>
      <c r="MK128" s="111"/>
      <c r="ML128" s="111"/>
      <c r="MM128" s="111"/>
      <c r="MN128" s="111"/>
      <c r="MO128" s="111"/>
      <c r="MP128" s="111"/>
      <c r="MQ128" s="111"/>
      <c r="MR128" s="111"/>
      <c r="MS128" s="111"/>
      <c r="MT128" s="111"/>
      <c r="MU128" s="111"/>
      <c r="MV128" s="111"/>
      <c r="MW128" s="111"/>
      <c r="MX128" s="111"/>
      <c r="MY128" s="111"/>
      <c r="MZ128" s="111"/>
      <c r="NA128" s="111"/>
      <c r="NB128" s="111"/>
      <c r="NC128" s="111"/>
      <c r="ND128" s="111"/>
      <c r="NE128" s="111"/>
      <c r="NF128" s="111"/>
      <c r="NG128" s="111"/>
      <c r="NH128" s="111"/>
      <c r="NI128" s="111"/>
      <c r="NJ128" s="111"/>
      <c r="NK128" s="111"/>
      <c r="NL128" s="111"/>
      <c r="NM128" s="111"/>
      <c r="NN128" s="111"/>
      <c r="NO128" s="111"/>
      <c r="NP128" s="111"/>
      <c r="NQ128" s="111"/>
      <c r="NR128" s="111"/>
      <c r="NS128" s="111"/>
      <c r="NT128" s="111"/>
      <c r="NU128" s="111"/>
      <c r="NV128" s="111"/>
      <c r="NW128" s="111"/>
      <c r="NX128" s="111"/>
      <c r="NY128" s="111"/>
      <c r="NZ128" s="111"/>
      <c r="OA128" s="111"/>
      <c r="OB128" s="111"/>
      <c r="OC128" s="111"/>
      <c r="OD128" s="111"/>
      <c r="OE128" s="111"/>
      <c r="OF128" s="111"/>
      <c r="OG128" s="111"/>
      <c r="OH128" s="111"/>
      <c r="OI128" s="111"/>
      <c r="OJ128" s="111"/>
      <c r="OK128" s="111"/>
      <c r="OL128" s="111"/>
      <c r="OM128" s="111"/>
      <c r="ON128" s="111"/>
      <c r="OO128" s="111"/>
      <c r="OP128" s="111"/>
      <c r="OQ128" s="111"/>
      <c r="OR128" s="111"/>
      <c r="OS128" s="111"/>
      <c r="OT128" s="111"/>
      <c r="OU128" s="111"/>
      <c r="OV128" s="111"/>
      <c r="OW128" s="111"/>
      <c r="OX128" s="111"/>
      <c r="OY128" s="111"/>
      <c r="OZ128" s="111"/>
      <c r="PA128" s="111"/>
      <c r="PB128" s="111"/>
      <c r="PC128" s="111"/>
      <c r="PD128" s="111"/>
      <c r="PE128" s="111"/>
      <c r="PF128" s="111"/>
      <c r="PG128" s="111"/>
      <c r="PH128" s="111"/>
      <c r="PI128" s="111"/>
      <c r="PJ128" s="111"/>
      <c r="PK128" s="111"/>
      <c r="PL128" s="111"/>
      <c r="PM128" s="111"/>
      <c r="PN128" s="111"/>
      <c r="PO128" s="111"/>
      <c r="PP128" s="111"/>
      <c r="PQ128" s="111"/>
      <c r="PR128" s="111"/>
      <c r="PS128" s="111"/>
      <c r="PT128" s="111"/>
      <c r="PU128" s="111"/>
      <c r="PV128" s="111"/>
      <c r="PW128" s="111"/>
      <c r="PX128" s="111"/>
      <c r="PY128" s="111"/>
      <c r="PZ128" s="111"/>
      <c r="QA128" s="111"/>
      <c r="QB128" s="111"/>
      <c r="QC128" s="111"/>
      <c r="QD128" s="111"/>
      <c r="QE128" s="111"/>
      <c r="QF128" s="111"/>
      <c r="QG128" s="111"/>
      <c r="QH128" s="111"/>
      <c r="QI128" s="111"/>
      <c r="QJ128" s="111"/>
      <c r="QK128" s="111"/>
      <c r="QL128" s="111"/>
      <c r="QM128" s="111"/>
      <c r="QN128" s="111"/>
      <c r="QO128" s="111"/>
      <c r="QP128" s="111"/>
      <c r="QQ128" s="111"/>
      <c r="QR128" s="111"/>
      <c r="QS128" s="111"/>
      <c r="QT128" s="111"/>
      <c r="QU128" s="111"/>
      <c r="QV128" s="111"/>
      <c r="QW128" s="111"/>
      <c r="QX128" s="111"/>
      <c r="QY128" s="111"/>
      <c r="QZ128" s="111"/>
      <c r="RA128" s="111"/>
      <c r="RB128" s="111"/>
      <c r="RC128" s="111"/>
      <c r="RD128" s="111"/>
      <c r="RE128" s="111"/>
      <c r="RF128" s="111"/>
      <c r="RG128" s="111"/>
      <c r="RH128" s="111"/>
      <c r="RI128" s="111"/>
      <c r="RJ128" s="111"/>
      <c r="RK128" s="111"/>
      <c r="RL128" s="111"/>
      <c r="RM128" s="111"/>
      <c r="RN128" s="111"/>
      <c r="RO128" s="111"/>
      <c r="RP128" s="111"/>
      <c r="RQ128" s="111"/>
      <c r="RR128" s="111"/>
      <c r="RS128" s="111"/>
      <c r="RT128" s="111"/>
      <c r="RU128" s="111"/>
      <c r="RV128" s="111"/>
      <c r="RW128" s="111"/>
      <c r="RX128" s="111"/>
      <c r="RY128" s="111"/>
      <c r="RZ128" s="111"/>
      <c r="SA128" s="111"/>
      <c r="SB128" s="111"/>
      <c r="SC128" s="111"/>
      <c r="SD128" s="111"/>
      <c r="SE128" s="111"/>
      <c r="SF128" s="111"/>
      <c r="SG128" s="111"/>
      <c r="SH128" s="111"/>
      <c r="SI128" s="111"/>
      <c r="SJ128" s="111"/>
      <c r="SK128" s="111"/>
      <c r="SL128" s="111"/>
      <c r="SM128" s="111"/>
      <c r="SN128" s="111"/>
      <c r="SO128" s="111"/>
      <c r="SP128" s="111"/>
      <c r="SQ128" s="111"/>
      <c r="SR128" s="111"/>
      <c r="SS128" s="111"/>
      <c r="ST128" s="111"/>
      <c r="SU128" s="111"/>
      <c r="SV128" s="111"/>
      <c r="SW128" s="111"/>
      <c r="SX128" s="111"/>
      <c r="SY128" s="111"/>
      <c r="SZ128" s="111"/>
      <c r="TA128" s="111"/>
      <c r="TB128" s="111"/>
      <c r="TC128" s="111"/>
      <c r="TD128" s="111"/>
      <c r="TE128" s="111"/>
      <c r="TF128" s="111"/>
      <c r="TG128" s="111"/>
      <c r="TH128" s="111"/>
      <c r="TI128" s="111"/>
      <c r="TJ128" s="111"/>
      <c r="TK128" s="111"/>
      <c r="TL128" s="111"/>
      <c r="TM128" s="111"/>
      <c r="TN128" s="111"/>
      <c r="TO128" s="111"/>
      <c r="TP128" s="111"/>
      <c r="TQ128" s="111"/>
      <c r="TR128" s="111"/>
      <c r="TS128" s="111"/>
      <c r="TT128" s="111"/>
      <c r="TU128" s="111"/>
      <c r="TV128" s="111"/>
      <c r="TW128" s="111"/>
      <c r="TX128" s="111"/>
      <c r="TY128" s="111"/>
      <c r="TZ128" s="111"/>
      <c r="UA128" s="111"/>
      <c r="UB128" s="111"/>
      <c r="UC128" s="111"/>
      <c r="UD128" s="111"/>
      <c r="UE128" s="111"/>
      <c r="UF128" s="111"/>
      <c r="UG128" s="111"/>
      <c r="UH128" s="111"/>
      <c r="UI128" s="111"/>
      <c r="UJ128" s="111"/>
      <c r="UK128" s="111"/>
      <c r="UL128" s="111"/>
      <c r="UM128" s="111"/>
      <c r="UN128" s="111"/>
      <c r="UO128" s="111"/>
      <c r="UP128" s="111"/>
      <c r="UQ128" s="111"/>
      <c r="UR128" s="111"/>
      <c r="US128" s="111"/>
      <c r="UT128" s="111"/>
      <c r="UU128" s="111"/>
      <c r="UV128" s="111"/>
      <c r="UW128" s="111"/>
      <c r="UX128" s="111"/>
      <c r="UY128" s="111"/>
      <c r="UZ128" s="111"/>
      <c r="VA128" s="111"/>
      <c r="VB128" s="111"/>
      <c r="VC128" s="111"/>
      <c r="VD128" s="111"/>
      <c r="VE128" s="111"/>
      <c r="VF128" s="111"/>
      <c r="VG128" s="111"/>
      <c r="VH128" s="111"/>
      <c r="VI128" s="111"/>
      <c r="VJ128" s="111"/>
      <c r="VK128" s="111"/>
      <c r="VL128" s="111"/>
      <c r="VM128" s="111"/>
      <c r="VN128" s="111"/>
      <c r="VO128" s="111"/>
      <c r="VP128" s="111"/>
      <c r="VQ128" s="111"/>
      <c r="VR128" s="111"/>
      <c r="VS128" s="111"/>
      <c r="VT128" s="111"/>
      <c r="VU128" s="111"/>
      <c r="VV128" s="111"/>
      <c r="VW128" s="111"/>
      <c r="VX128" s="111"/>
      <c r="VY128" s="111"/>
      <c r="VZ128" s="111"/>
      <c r="WA128" s="111"/>
      <c r="WB128" s="111"/>
      <c r="WC128" s="111"/>
      <c r="WD128" s="111"/>
      <c r="WE128" s="111"/>
      <c r="WF128" s="111"/>
      <c r="WG128" s="111"/>
      <c r="WH128" s="111"/>
      <c r="WI128" s="111"/>
      <c r="WJ128" s="111"/>
      <c r="WK128" s="111"/>
      <c r="WL128" s="111"/>
      <c r="WM128" s="111"/>
      <c r="WN128" s="111"/>
      <c r="WO128" s="111"/>
      <c r="WP128" s="111"/>
      <c r="WQ128" s="111"/>
      <c r="WR128" s="111"/>
      <c r="WS128" s="111"/>
      <c r="WT128" s="111"/>
      <c r="WU128" s="111"/>
      <c r="WV128" s="111"/>
      <c r="WW128" s="111"/>
      <c r="WX128" s="111"/>
      <c r="WY128" s="111"/>
      <c r="WZ128" s="111"/>
      <c r="XA128" s="111"/>
      <c r="XB128" s="111"/>
      <c r="XC128" s="111"/>
      <c r="XD128" s="111"/>
      <c r="XE128" s="111"/>
      <c r="XF128" s="111"/>
      <c r="XG128" s="111"/>
      <c r="XH128" s="111"/>
      <c r="XI128" s="111"/>
      <c r="XJ128" s="111"/>
      <c r="XK128" s="111"/>
      <c r="XL128" s="111"/>
      <c r="XM128" s="111"/>
      <c r="XN128" s="111"/>
      <c r="XO128" s="111"/>
      <c r="XP128" s="111"/>
      <c r="XQ128" s="111"/>
      <c r="XR128" s="111"/>
      <c r="XS128" s="111"/>
      <c r="XT128" s="111"/>
      <c r="XU128" s="111"/>
      <c r="XV128" s="111"/>
      <c r="XW128" s="111"/>
      <c r="XX128" s="111"/>
      <c r="XY128" s="111"/>
      <c r="XZ128" s="111"/>
      <c r="YA128" s="111"/>
      <c r="YB128" s="111"/>
      <c r="YC128" s="111"/>
      <c r="YD128" s="111"/>
      <c r="YE128" s="111"/>
      <c r="YF128" s="111"/>
      <c r="YG128" s="111"/>
      <c r="YH128" s="111"/>
      <c r="YI128" s="111"/>
      <c r="YJ128" s="111"/>
      <c r="YK128" s="111"/>
      <c r="YL128" s="111"/>
      <c r="YM128" s="111"/>
      <c r="YN128" s="111"/>
      <c r="YO128" s="111"/>
      <c r="YP128" s="111"/>
      <c r="YQ128" s="111"/>
      <c r="YR128" s="111"/>
      <c r="YS128" s="111"/>
      <c r="YT128" s="111"/>
      <c r="YU128" s="111"/>
      <c r="YV128" s="111"/>
      <c r="YW128" s="111"/>
      <c r="YX128" s="111"/>
      <c r="YY128" s="111"/>
      <c r="YZ128" s="111"/>
      <c r="ZA128" s="111"/>
      <c r="ZB128" s="111"/>
      <c r="ZC128" s="111"/>
      <c r="ZD128" s="111"/>
      <c r="ZE128" s="111"/>
      <c r="ZF128" s="111"/>
      <c r="ZG128" s="111"/>
    </row>
    <row r="129" spans="1:683" s="113" customFormat="1" ht="23.1" customHeight="1" thickBot="1" x14ac:dyDescent="0.3">
      <c r="A129" s="106">
        <v>7</v>
      </c>
      <c r="B129" s="84" t="s">
        <v>74</v>
      </c>
      <c r="C129" s="83" t="s">
        <v>119</v>
      </c>
      <c r="D129" s="83" t="s">
        <v>600</v>
      </c>
      <c r="E129" s="84" t="s">
        <v>21</v>
      </c>
      <c r="F129" s="84" t="s">
        <v>256</v>
      </c>
      <c r="G129" s="110">
        <v>45946</v>
      </c>
      <c r="H129" s="85">
        <f t="shared" si="13"/>
        <v>46311</v>
      </c>
      <c r="I129" s="135" t="s">
        <v>445</v>
      </c>
      <c r="J129" s="34">
        <v>30</v>
      </c>
      <c r="K129" s="14">
        <v>46244</v>
      </c>
      <c r="L129" s="14">
        <f t="shared" si="11"/>
        <v>46273</v>
      </c>
      <c r="M129" s="34"/>
      <c r="N129" s="14"/>
      <c r="O129" s="181">
        <f t="shared" si="12"/>
        <v>-1</v>
      </c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8"/>
      <c r="CB129" s="108"/>
      <c r="CC129" s="108"/>
      <c r="CD129" s="108"/>
      <c r="CE129" s="108"/>
      <c r="CF129" s="108"/>
      <c r="CG129" s="108"/>
      <c r="CH129" s="108"/>
      <c r="CI129" s="108"/>
      <c r="CJ129" s="108"/>
      <c r="CK129" s="108"/>
      <c r="CL129" s="108"/>
      <c r="CM129" s="108"/>
      <c r="CN129" s="108"/>
      <c r="CO129" s="108"/>
      <c r="CP129" s="108"/>
      <c r="CQ129" s="108"/>
      <c r="CR129" s="108"/>
      <c r="CS129" s="108"/>
      <c r="CT129" s="108"/>
      <c r="CU129" s="108"/>
      <c r="CV129" s="108"/>
      <c r="CW129" s="108"/>
      <c r="CX129" s="108"/>
      <c r="CY129" s="108"/>
      <c r="CZ129" s="108"/>
      <c r="DA129" s="108"/>
      <c r="DB129" s="108"/>
      <c r="DC129" s="108"/>
      <c r="DD129" s="108"/>
      <c r="DE129" s="108"/>
      <c r="DF129" s="108"/>
      <c r="DG129" s="108"/>
      <c r="DH129" s="111"/>
      <c r="DI129" s="111"/>
      <c r="DJ129" s="111"/>
      <c r="DK129" s="111"/>
      <c r="DL129" s="111"/>
      <c r="DM129" s="111"/>
      <c r="DN129" s="111"/>
      <c r="DO129" s="111"/>
      <c r="DP129" s="111"/>
      <c r="DQ129" s="111"/>
      <c r="DR129" s="111"/>
      <c r="DS129" s="111"/>
      <c r="DT129" s="111"/>
      <c r="DU129" s="111"/>
      <c r="DV129" s="111"/>
      <c r="DW129" s="111"/>
      <c r="DX129" s="111"/>
      <c r="DY129" s="111"/>
      <c r="DZ129" s="111"/>
      <c r="EA129" s="111"/>
      <c r="EB129" s="111"/>
      <c r="EC129" s="111"/>
      <c r="ED129" s="111"/>
      <c r="EE129" s="111"/>
      <c r="EF129" s="111"/>
      <c r="EG129" s="111"/>
      <c r="EH129" s="111"/>
      <c r="EI129" s="111"/>
      <c r="EJ129" s="111"/>
      <c r="EK129" s="111"/>
      <c r="EL129" s="111"/>
      <c r="EM129" s="111"/>
      <c r="EN129" s="111"/>
      <c r="EO129" s="111"/>
      <c r="EP129" s="111"/>
      <c r="EQ129" s="111"/>
      <c r="ER129" s="111"/>
      <c r="ES129" s="111"/>
      <c r="ET129" s="111"/>
      <c r="EU129" s="111"/>
      <c r="EV129" s="111"/>
      <c r="EW129" s="111"/>
      <c r="EX129" s="111"/>
      <c r="EY129" s="111"/>
      <c r="EZ129" s="111"/>
      <c r="FA129" s="111"/>
      <c r="FB129" s="111"/>
      <c r="FC129" s="111"/>
      <c r="FD129" s="111"/>
      <c r="FE129" s="111"/>
      <c r="FF129" s="111"/>
      <c r="FG129" s="111"/>
      <c r="FH129" s="111"/>
      <c r="FI129" s="111"/>
      <c r="FJ129" s="111"/>
      <c r="FK129" s="111"/>
      <c r="FL129" s="111"/>
      <c r="FM129" s="111"/>
      <c r="FN129" s="111"/>
      <c r="FO129" s="111"/>
      <c r="FP129" s="111"/>
      <c r="FQ129" s="111"/>
      <c r="FR129" s="111"/>
      <c r="FS129" s="111"/>
      <c r="FT129" s="111"/>
      <c r="FU129" s="111"/>
      <c r="FV129" s="111"/>
      <c r="FW129" s="111"/>
      <c r="FX129" s="111"/>
      <c r="FY129" s="111"/>
      <c r="FZ129" s="111"/>
      <c r="GA129" s="111"/>
      <c r="GB129" s="111"/>
      <c r="GC129" s="111"/>
      <c r="GD129" s="111"/>
      <c r="GE129" s="111"/>
      <c r="GF129" s="111"/>
      <c r="GG129" s="111"/>
      <c r="GH129" s="111"/>
      <c r="GI129" s="111"/>
      <c r="GJ129" s="111"/>
      <c r="GK129" s="111"/>
      <c r="GL129" s="111"/>
      <c r="GM129" s="111"/>
      <c r="GN129" s="111"/>
      <c r="GO129" s="111"/>
      <c r="GP129" s="111"/>
      <c r="GQ129" s="111"/>
      <c r="GR129" s="111"/>
      <c r="GS129" s="111"/>
      <c r="GT129" s="111"/>
      <c r="GU129" s="111"/>
      <c r="GV129" s="111"/>
      <c r="GW129" s="111"/>
      <c r="GX129" s="111"/>
      <c r="GY129" s="111"/>
      <c r="GZ129" s="111"/>
      <c r="HA129" s="111"/>
      <c r="HB129" s="111"/>
      <c r="HC129" s="111"/>
      <c r="HD129" s="111"/>
      <c r="HE129" s="111"/>
      <c r="HF129" s="111"/>
      <c r="HG129" s="111"/>
      <c r="HH129" s="111"/>
      <c r="HI129" s="111"/>
      <c r="HJ129" s="111"/>
      <c r="HK129" s="111"/>
      <c r="HL129" s="111"/>
      <c r="HM129" s="111"/>
      <c r="HN129" s="111"/>
      <c r="HO129" s="111"/>
      <c r="HP129" s="111"/>
      <c r="HQ129" s="111"/>
      <c r="HR129" s="111"/>
      <c r="HS129" s="111"/>
      <c r="HT129" s="111"/>
      <c r="HU129" s="111"/>
      <c r="HV129" s="111"/>
      <c r="HW129" s="111"/>
      <c r="HX129" s="111"/>
      <c r="HY129" s="111"/>
      <c r="HZ129" s="111"/>
      <c r="IA129" s="111"/>
      <c r="IB129" s="111"/>
      <c r="IC129" s="111"/>
      <c r="ID129" s="111"/>
      <c r="IE129" s="111"/>
      <c r="IF129" s="111"/>
      <c r="IG129" s="111"/>
      <c r="IH129" s="111"/>
      <c r="II129" s="111"/>
      <c r="IJ129" s="111"/>
      <c r="IK129" s="111"/>
      <c r="IL129" s="111"/>
      <c r="IM129" s="111"/>
      <c r="IN129" s="111"/>
      <c r="IO129" s="111"/>
      <c r="IP129" s="111"/>
      <c r="IQ129" s="111"/>
      <c r="IR129" s="111"/>
      <c r="IS129" s="111"/>
      <c r="IT129" s="111"/>
      <c r="IU129" s="111"/>
      <c r="IV129" s="111"/>
      <c r="IW129" s="111"/>
      <c r="IX129" s="111"/>
      <c r="IY129" s="111"/>
      <c r="IZ129" s="111"/>
      <c r="JA129" s="111"/>
      <c r="JB129" s="111"/>
      <c r="JC129" s="111"/>
      <c r="JD129" s="111"/>
      <c r="JE129" s="111"/>
      <c r="JF129" s="111"/>
      <c r="JG129" s="111"/>
      <c r="JH129" s="111"/>
      <c r="JI129" s="111"/>
      <c r="JJ129" s="111"/>
      <c r="JK129" s="111"/>
      <c r="JL129" s="111"/>
      <c r="JM129" s="111"/>
      <c r="JN129" s="111"/>
      <c r="JO129" s="111"/>
      <c r="JP129" s="111"/>
      <c r="JQ129" s="111"/>
      <c r="JR129" s="111"/>
      <c r="JS129" s="111"/>
      <c r="JT129" s="111"/>
      <c r="JU129" s="111"/>
      <c r="JV129" s="111"/>
      <c r="JW129" s="111"/>
      <c r="JX129" s="111"/>
      <c r="JY129" s="111"/>
      <c r="JZ129" s="111"/>
      <c r="KA129" s="111"/>
      <c r="KB129" s="111"/>
      <c r="KC129" s="111"/>
      <c r="KD129" s="111"/>
      <c r="KE129" s="111"/>
      <c r="KF129" s="111"/>
      <c r="KG129" s="111"/>
      <c r="KH129" s="111"/>
      <c r="KI129" s="111"/>
      <c r="KJ129" s="111"/>
      <c r="KK129" s="111"/>
      <c r="KL129" s="111"/>
      <c r="KM129" s="111"/>
      <c r="KN129" s="111"/>
      <c r="KO129" s="111"/>
      <c r="KP129" s="111"/>
      <c r="KQ129" s="111"/>
      <c r="KR129" s="111"/>
      <c r="KS129" s="111"/>
      <c r="KT129" s="111"/>
      <c r="KU129" s="111"/>
      <c r="KV129" s="111"/>
      <c r="KW129" s="111"/>
      <c r="KX129" s="111"/>
      <c r="KY129" s="111"/>
      <c r="KZ129" s="111"/>
      <c r="LA129" s="111"/>
      <c r="LB129" s="111"/>
      <c r="LC129" s="111"/>
      <c r="LD129" s="111"/>
      <c r="LE129" s="111"/>
      <c r="LF129" s="111"/>
      <c r="LG129" s="111"/>
      <c r="LH129" s="111"/>
      <c r="LI129" s="111"/>
      <c r="LJ129" s="111"/>
      <c r="LK129" s="111"/>
      <c r="LL129" s="111"/>
      <c r="LM129" s="111"/>
      <c r="LN129" s="111"/>
      <c r="LO129" s="111"/>
      <c r="LP129" s="111"/>
      <c r="LQ129" s="111"/>
      <c r="LR129" s="111"/>
      <c r="LS129" s="111"/>
      <c r="LT129" s="111"/>
      <c r="LU129" s="111"/>
      <c r="LV129" s="111"/>
      <c r="LW129" s="111"/>
      <c r="LX129" s="111"/>
      <c r="LY129" s="111"/>
      <c r="LZ129" s="111"/>
      <c r="MA129" s="111"/>
      <c r="MB129" s="111"/>
      <c r="MC129" s="111"/>
      <c r="MD129" s="111"/>
      <c r="ME129" s="111"/>
      <c r="MF129" s="111"/>
      <c r="MG129" s="111"/>
      <c r="MH129" s="111"/>
      <c r="MI129" s="111"/>
      <c r="MJ129" s="111"/>
      <c r="MK129" s="111"/>
      <c r="ML129" s="111"/>
      <c r="MM129" s="111"/>
      <c r="MN129" s="111"/>
      <c r="MO129" s="111"/>
      <c r="MP129" s="111"/>
      <c r="MQ129" s="111"/>
      <c r="MR129" s="111"/>
      <c r="MS129" s="111"/>
      <c r="MT129" s="111"/>
      <c r="MU129" s="111"/>
      <c r="MV129" s="111"/>
      <c r="MW129" s="111"/>
      <c r="MX129" s="111"/>
      <c r="MY129" s="111"/>
      <c r="MZ129" s="111"/>
      <c r="NA129" s="111"/>
      <c r="NB129" s="111"/>
      <c r="NC129" s="111"/>
      <c r="ND129" s="111"/>
      <c r="NE129" s="111"/>
      <c r="NF129" s="111"/>
      <c r="NG129" s="111"/>
      <c r="NH129" s="111"/>
      <c r="NI129" s="111"/>
      <c r="NJ129" s="111"/>
      <c r="NK129" s="111"/>
      <c r="NL129" s="111"/>
      <c r="NM129" s="111"/>
      <c r="NN129" s="111"/>
      <c r="NO129" s="111"/>
      <c r="NP129" s="111"/>
      <c r="NQ129" s="111"/>
      <c r="NR129" s="111"/>
      <c r="NS129" s="111"/>
      <c r="NT129" s="111"/>
      <c r="NU129" s="111"/>
      <c r="NV129" s="111"/>
      <c r="NW129" s="111"/>
      <c r="NX129" s="111"/>
      <c r="NY129" s="111"/>
      <c r="NZ129" s="111"/>
      <c r="OA129" s="111"/>
      <c r="OB129" s="111"/>
      <c r="OC129" s="111"/>
      <c r="OD129" s="111"/>
      <c r="OE129" s="111"/>
      <c r="OF129" s="111"/>
      <c r="OG129" s="111"/>
      <c r="OH129" s="111"/>
      <c r="OI129" s="111"/>
      <c r="OJ129" s="111"/>
      <c r="OK129" s="111"/>
      <c r="OL129" s="111"/>
      <c r="OM129" s="111"/>
      <c r="ON129" s="111"/>
      <c r="OO129" s="111"/>
      <c r="OP129" s="111"/>
      <c r="OQ129" s="111"/>
      <c r="OR129" s="111"/>
      <c r="OS129" s="111"/>
      <c r="OT129" s="111"/>
      <c r="OU129" s="111"/>
      <c r="OV129" s="111"/>
      <c r="OW129" s="111"/>
      <c r="OX129" s="111"/>
      <c r="OY129" s="111"/>
      <c r="OZ129" s="111"/>
      <c r="PA129" s="111"/>
      <c r="PB129" s="111"/>
      <c r="PC129" s="111"/>
      <c r="PD129" s="111"/>
      <c r="PE129" s="111"/>
      <c r="PF129" s="111"/>
      <c r="PG129" s="111"/>
      <c r="PH129" s="111"/>
      <c r="PI129" s="111"/>
      <c r="PJ129" s="111"/>
      <c r="PK129" s="111"/>
      <c r="PL129" s="111"/>
      <c r="PM129" s="111"/>
      <c r="PN129" s="111"/>
      <c r="PO129" s="111"/>
      <c r="PP129" s="111"/>
      <c r="PQ129" s="111"/>
      <c r="PR129" s="111"/>
      <c r="PS129" s="111"/>
      <c r="PT129" s="111"/>
      <c r="PU129" s="111"/>
      <c r="PV129" s="111"/>
      <c r="PW129" s="111"/>
      <c r="PX129" s="111"/>
      <c r="PY129" s="111"/>
      <c r="PZ129" s="111"/>
      <c r="QA129" s="111"/>
      <c r="QB129" s="111"/>
      <c r="QC129" s="111"/>
      <c r="QD129" s="111"/>
      <c r="QE129" s="111"/>
      <c r="QF129" s="111"/>
      <c r="QG129" s="111"/>
      <c r="QH129" s="111"/>
      <c r="QI129" s="111"/>
      <c r="QJ129" s="111"/>
      <c r="QK129" s="111"/>
      <c r="QL129" s="111"/>
      <c r="QM129" s="111"/>
      <c r="QN129" s="111"/>
      <c r="QO129" s="111"/>
      <c r="QP129" s="111"/>
      <c r="QQ129" s="111"/>
      <c r="QR129" s="111"/>
      <c r="QS129" s="111"/>
      <c r="QT129" s="111"/>
      <c r="QU129" s="111"/>
      <c r="QV129" s="111"/>
      <c r="QW129" s="111"/>
      <c r="QX129" s="111"/>
      <c r="QY129" s="111"/>
      <c r="QZ129" s="111"/>
      <c r="RA129" s="111"/>
      <c r="RB129" s="111"/>
      <c r="RC129" s="111"/>
      <c r="RD129" s="111"/>
      <c r="RE129" s="111"/>
      <c r="RF129" s="111"/>
      <c r="RG129" s="111"/>
      <c r="RH129" s="111"/>
      <c r="RI129" s="111"/>
      <c r="RJ129" s="111"/>
      <c r="RK129" s="111"/>
      <c r="RL129" s="111"/>
      <c r="RM129" s="111"/>
      <c r="RN129" s="111"/>
      <c r="RO129" s="111"/>
      <c r="RP129" s="111"/>
      <c r="RQ129" s="111"/>
      <c r="RR129" s="111"/>
      <c r="RS129" s="111"/>
      <c r="RT129" s="111"/>
      <c r="RU129" s="111"/>
      <c r="RV129" s="111"/>
      <c r="RW129" s="111"/>
      <c r="RX129" s="111"/>
      <c r="RY129" s="111"/>
      <c r="RZ129" s="111"/>
      <c r="SA129" s="111"/>
      <c r="SB129" s="111"/>
      <c r="SC129" s="111"/>
      <c r="SD129" s="111"/>
      <c r="SE129" s="111"/>
      <c r="SF129" s="111"/>
      <c r="SG129" s="111"/>
      <c r="SH129" s="111"/>
      <c r="SI129" s="111"/>
      <c r="SJ129" s="111"/>
      <c r="SK129" s="111"/>
      <c r="SL129" s="111"/>
      <c r="SM129" s="111"/>
      <c r="SN129" s="111"/>
      <c r="SO129" s="111"/>
      <c r="SP129" s="111"/>
      <c r="SQ129" s="111"/>
      <c r="SR129" s="111"/>
      <c r="SS129" s="111"/>
      <c r="ST129" s="111"/>
      <c r="SU129" s="111"/>
      <c r="SV129" s="111"/>
      <c r="SW129" s="111"/>
      <c r="SX129" s="111"/>
      <c r="SY129" s="111"/>
      <c r="SZ129" s="111"/>
      <c r="TA129" s="111"/>
      <c r="TB129" s="111"/>
      <c r="TC129" s="111"/>
      <c r="TD129" s="111"/>
      <c r="TE129" s="111"/>
      <c r="TF129" s="111"/>
      <c r="TG129" s="111"/>
      <c r="TH129" s="111"/>
      <c r="TI129" s="111"/>
      <c r="TJ129" s="111"/>
      <c r="TK129" s="111"/>
      <c r="TL129" s="111"/>
      <c r="TM129" s="111"/>
      <c r="TN129" s="111"/>
      <c r="TO129" s="111"/>
      <c r="TP129" s="111"/>
      <c r="TQ129" s="111"/>
      <c r="TR129" s="111"/>
      <c r="TS129" s="111"/>
      <c r="TT129" s="111"/>
      <c r="TU129" s="111"/>
      <c r="TV129" s="111"/>
      <c r="TW129" s="111"/>
      <c r="TX129" s="111"/>
      <c r="TY129" s="111"/>
      <c r="TZ129" s="111"/>
      <c r="UA129" s="111"/>
      <c r="UB129" s="111"/>
      <c r="UC129" s="111"/>
      <c r="UD129" s="111"/>
      <c r="UE129" s="111"/>
      <c r="UF129" s="111"/>
      <c r="UG129" s="111"/>
      <c r="UH129" s="111"/>
      <c r="UI129" s="111"/>
      <c r="UJ129" s="111"/>
      <c r="UK129" s="111"/>
      <c r="UL129" s="111"/>
      <c r="UM129" s="111"/>
      <c r="UN129" s="111"/>
      <c r="UO129" s="111"/>
      <c r="UP129" s="111"/>
      <c r="UQ129" s="111"/>
      <c r="UR129" s="111"/>
      <c r="US129" s="111"/>
      <c r="UT129" s="111"/>
      <c r="UU129" s="111"/>
      <c r="UV129" s="111"/>
      <c r="UW129" s="111"/>
      <c r="UX129" s="111"/>
      <c r="UY129" s="111"/>
      <c r="UZ129" s="111"/>
      <c r="VA129" s="111"/>
      <c r="VB129" s="111"/>
      <c r="VC129" s="111"/>
      <c r="VD129" s="111"/>
      <c r="VE129" s="111"/>
      <c r="VF129" s="111"/>
      <c r="VG129" s="111"/>
      <c r="VH129" s="111"/>
      <c r="VI129" s="111"/>
      <c r="VJ129" s="111"/>
      <c r="VK129" s="111"/>
      <c r="VL129" s="111"/>
      <c r="VM129" s="111"/>
      <c r="VN129" s="111"/>
      <c r="VO129" s="111"/>
      <c r="VP129" s="111"/>
      <c r="VQ129" s="111"/>
      <c r="VR129" s="111"/>
      <c r="VS129" s="111"/>
      <c r="VT129" s="111"/>
      <c r="VU129" s="111"/>
      <c r="VV129" s="111"/>
      <c r="VW129" s="111"/>
      <c r="VX129" s="111"/>
      <c r="VY129" s="111"/>
      <c r="VZ129" s="111"/>
      <c r="WA129" s="111"/>
      <c r="WB129" s="111"/>
      <c r="WC129" s="111"/>
      <c r="WD129" s="111"/>
      <c r="WE129" s="111"/>
      <c r="WF129" s="111"/>
      <c r="WG129" s="111"/>
      <c r="WH129" s="111"/>
      <c r="WI129" s="111"/>
      <c r="WJ129" s="111"/>
      <c r="WK129" s="111"/>
      <c r="WL129" s="111"/>
      <c r="WM129" s="111"/>
      <c r="WN129" s="111"/>
      <c r="WO129" s="111"/>
      <c r="WP129" s="111"/>
      <c r="WQ129" s="111"/>
      <c r="WR129" s="111"/>
      <c r="WS129" s="111"/>
      <c r="WT129" s="111"/>
      <c r="WU129" s="111"/>
      <c r="WV129" s="111"/>
      <c r="WW129" s="111"/>
      <c r="WX129" s="111"/>
      <c r="WY129" s="111"/>
      <c r="WZ129" s="111"/>
      <c r="XA129" s="111"/>
      <c r="XB129" s="111"/>
      <c r="XC129" s="111"/>
      <c r="XD129" s="111"/>
      <c r="XE129" s="111"/>
      <c r="XF129" s="111"/>
      <c r="XG129" s="111"/>
      <c r="XH129" s="111"/>
      <c r="XI129" s="111"/>
      <c r="XJ129" s="111"/>
      <c r="XK129" s="111"/>
      <c r="XL129" s="111"/>
      <c r="XM129" s="111"/>
      <c r="XN129" s="111"/>
      <c r="XO129" s="111"/>
      <c r="XP129" s="111"/>
      <c r="XQ129" s="111"/>
      <c r="XR129" s="111"/>
      <c r="XS129" s="111"/>
      <c r="XT129" s="111"/>
      <c r="XU129" s="111"/>
      <c r="XV129" s="111"/>
      <c r="XW129" s="111"/>
      <c r="XX129" s="111"/>
      <c r="XY129" s="111"/>
      <c r="XZ129" s="111"/>
      <c r="YA129" s="111"/>
      <c r="YB129" s="111"/>
      <c r="YC129" s="111"/>
      <c r="YD129" s="111"/>
      <c r="YE129" s="111"/>
      <c r="YF129" s="111"/>
      <c r="YG129" s="111"/>
      <c r="YH129" s="111"/>
      <c r="YI129" s="111"/>
      <c r="YJ129" s="111"/>
      <c r="YK129" s="111"/>
      <c r="YL129" s="111"/>
      <c r="YM129" s="111"/>
      <c r="YN129" s="111"/>
      <c r="YO129" s="111"/>
      <c r="YP129" s="111"/>
      <c r="YQ129" s="111"/>
      <c r="YR129" s="111"/>
      <c r="YS129" s="111"/>
      <c r="YT129" s="111"/>
      <c r="YU129" s="111"/>
      <c r="YV129" s="111"/>
      <c r="YW129" s="111"/>
      <c r="YX129" s="111"/>
      <c r="YY129" s="111"/>
      <c r="YZ129" s="111"/>
      <c r="ZA129" s="111"/>
      <c r="ZB129" s="111"/>
      <c r="ZC129" s="111"/>
      <c r="ZD129" s="111"/>
      <c r="ZE129" s="111"/>
      <c r="ZF129" s="111"/>
      <c r="ZG129" s="111"/>
    </row>
    <row r="130" spans="1:683" s="113" customFormat="1" ht="23.1" customHeight="1" thickBot="1" x14ac:dyDescent="0.3">
      <c r="A130" s="106">
        <v>8</v>
      </c>
      <c r="B130" s="84" t="s">
        <v>74</v>
      </c>
      <c r="C130" s="83" t="s">
        <v>120</v>
      </c>
      <c r="D130" s="83" t="s">
        <v>601</v>
      </c>
      <c r="E130" s="84" t="s">
        <v>21</v>
      </c>
      <c r="F130" s="84" t="s">
        <v>256</v>
      </c>
      <c r="G130" s="110">
        <v>45763</v>
      </c>
      <c r="H130" s="85">
        <f t="shared" si="13"/>
        <v>46128</v>
      </c>
      <c r="I130" s="138" t="s">
        <v>446</v>
      </c>
      <c r="J130" s="34">
        <v>15</v>
      </c>
      <c r="K130" s="14">
        <v>46121</v>
      </c>
      <c r="L130" s="14">
        <f t="shared" ref="L130:L161" si="14">J130-1+K130</f>
        <v>46135</v>
      </c>
      <c r="M130" s="34">
        <v>15</v>
      </c>
      <c r="N130" s="14">
        <v>46223</v>
      </c>
      <c r="O130" s="181">
        <f t="shared" ref="O130:O161" si="15">M130-1+N130</f>
        <v>46237</v>
      </c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8"/>
      <c r="CQ130" s="108"/>
      <c r="CR130" s="108"/>
      <c r="CS130" s="108"/>
      <c r="CT130" s="108"/>
      <c r="CU130" s="108"/>
      <c r="CV130" s="108"/>
      <c r="CW130" s="108"/>
      <c r="CX130" s="108"/>
      <c r="CY130" s="108"/>
      <c r="CZ130" s="108"/>
      <c r="DA130" s="108"/>
      <c r="DB130" s="108"/>
      <c r="DC130" s="108"/>
      <c r="DD130" s="108"/>
      <c r="DE130" s="108"/>
      <c r="DF130" s="108"/>
      <c r="DG130" s="108"/>
      <c r="DH130" s="111"/>
      <c r="DI130" s="111"/>
      <c r="DJ130" s="111"/>
      <c r="DK130" s="111"/>
      <c r="DL130" s="111"/>
      <c r="DM130" s="111"/>
      <c r="DN130" s="111"/>
      <c r="DO130" s="111"/>
      <c r="DP130" s="111"/>
      <c r="DQ130" s="111"/>
      <c r="DR130" s="111"/>
      <c r="DS130" s="111"/>
      <c r="DT130" s="111"/>
      <c r="DU130" s="111"/>
      <c r="DV130" s="111"/>
      <c r="DW130" s="111"/>
      <c r="DX130" s="111"/>
      <c r="DY130" s="111"/>
      <c r="DZ130" s="111"/>
      <c r="EA130" s="111"/>
      <c r="EB130" s="111"/>
      <c r="EC130" s="111"/>
      <c r="ED130" s="111"/>
      <c r="EE130" s="111"/>
      <c r="EF130" s="111"/>
      <c r="EG130" s="111"/>
      <c r="EH130" s="111"/>
      <c r="EI130" s="111"/>
      <c r="EJ130" s="111"/>
      <c r="EK130" s="111"/>
      <c r="EL130" s="111"/>
      <c r="EM130" s="111"/>
      <c r="EN130" s="111"/>
      <c r="EO130" s="111"/>
      <c r="EP130" s="111"/>
      <c r="EQ130" s="111"/>
      <c r="ER130" s="111"/>
      <c r="ES130" s="111"/>
      <c r="ET130" s="111"/>
      <c r="EU130" s="111"/>
      <c r="EV130" s="111"/>
      <c r="EW130" s="111"/>
      <c r="EX130" s="111"/>
      <c r="EY130" s="111"/>
      <c r="EZ130" s="111"/>
      <c r="FA130" s="111"/>
      <c r="FB130" s="111"/>
      <c r="FC130" s="111"/>
      <c r="FD130" s="111"/>
      <c r="FE130" s="111"/>
      <c r="FF130" s="111"/>
      <c r="FG130" s="111"/>
      <c r="FH130" s="111"/>
      <c r="FI130" s="111"/>
      <c r="FJ130" s="111"/>
      <c r="FK130" s="111"/>
      <c r="FL130" s="111"/>
      <c r="FM130" s="111"/>
      <c r="FN130" s="111"/>
      <c r="FO130" s="111"/>
      <c r="FP130" s="111"/>
      <c r="FQ130" s="111"/>
      <c r="FR130" s="111"/>
      <c r="FS130" s="111"/>
      <c r="FT130" s="111"/>
      <c r="FU130" s="111"/>
      <c r="FV130" s="111"/>
      <c r="FW130" s="111"/>
      <c r="FX130" s="111"/>
      <c r="FY130" s="111"/>
      <c r="FZ130" s="111"/>
      <c r="GA130" s="111"/>
      <c r="GB130" s="111"/>
      <c r="GC130" s="111"/>
      <c r="GD130" s="111"/>
      <c r="GE130" s="111"/>
      <c r="GF130" s="111"/>
      <c r="GG130" s="111"/>
      <c r="GH130" s="111"/>
      <c r="GI130" s="111"/>
      <c r="GJ130" s="111"/>
      <c r="GK130" s="111"/>
      <c r="GL130" s="111"/>
      <c r="GM130" s="111"/>
      <c r="GN130" s="111"/>
      <c r="GO130" s="111"/>
      <c r="GP130" s="111"/>
      <c r="GQ130" s="111"/>
      <c r="GR130" s="111"/>
      <c r="GS130" s="111"/>
      <c r="GT130" s="111"/>
      <c r="GU130" s="111"/>
      <c r="GV130" s="111"/>
      <c r="GW130" s="111"/>
      <c r="GX130" s="111"/>
      <c r="GY130" s="111"/>
      <c r="GZ130" s="111"/>
      <c r="HA130" s="111"/>
      <c r="HB130" s="111"/>
      <c r="HC130" s="111"/>
      <c r="HD130" s="111"/>
      <c r="HE130" s="111"/>
      <c r="HF130" s="111"/>
      <c r="HG130" s="111"/>
      <c r="HH130" s="111"/>
      <c r="HI130" s="111"/>
      <c r="HJ130" s="111"/>
      <c r="HK130" s="111"/>
      <c r="HL130" s="111"/>
      <c r="HM130" s="111"/>
      <c r="HN130" s="111"/>
      <c r="HO130" s="111"/>
      <c r="HP130" s="111"/>
      <c r="HQ130" s="111"/>
      <c r="HR130" s="111"/>
      <c r="HS130" s="111"/>
      <c r="HT130" s="111"/>
      <c r="HU130" s="111"/>
      <c r="HV130" s="111"/>
      <c r="HW130" s="111"/>
      <c r="HX130" s="111"/>
      <c r="HY130" s="111"/>
      <c r="HZ130" s="111"/>
      <c r="IA130" s="111"/>
      <c r="IB130" s="111"/>
      <c r="IC130" s="111"/>
      <c r="ID130" s="111"/>
      <c r="IE130" s="111"/>
      <c r="IF130" s="111"/>
      <c r="IG130" s="111"/>
      <c r="IH130" s="111"/>
      <c r="II130" s="111"/>
      <c r="IJ130" s="111"/>
      <c r="IK130" s="111"/>
      <c r="IL130" s="111"/>
      <c r="IM130" s="111"/>
      <c r="IN130" s="111"/>
      <c r="IO130" s="111"/>
      <c r="IP130" s="111"/>
      <c r="IQ130" s="111"/>
      <c r="IR130" s="111"/>
      <c r="IS130" s="111"/>
      <c r="IT130" s="111"/>
      <c r="IU130" s="111"/>
      <c r="IV130" s="111"/>
      <c r="IW130" s="111"/>
      <c r="IX130" s="111"/>
      <c r="IY130" s="111"/>
      <c r="IZ130" s="111"/>
      <c r="JA130" s="111"/>
      <c r="JB130" s="111"/>
      <c r="JC130" s="111"/>
      <c r="JD130" s="111"/>
      <c r="JE130" s="111"/>
      <c r="JF130" s="111"/>
      <c r="JG130" s="111"/>
      <c r="JH130" s="111"/>
      <c r="JI130" s="111"/>
      <c r="JJ130" s="111"/>
      <c r="JK130" s="111"/>
      <c r="JL130" s="111"/>
      <c r="JM130" s="111"/>
      <c r="JN130" s="111"/>
      <c r="JO130" s="111"/>
      <c r="JP130" s="111"/>
      <c r="JQ130" s="111"/>
      <c r="JR130" s="111"/>
      <c r="JS130" s="111"/>
      <c r="JT130" s="111"/>
      <c r="JU130" s="111"/>
      <c r="JV130" s="111"/>
      <c r="JW130" s="111"/>
      <c r="JX130" s="111"/>
      <c r="JY130" s="111"/>
      <c r="JZ130" s="111"/>
      <c r="KA130" s="111"/>
      <c r="KB130" s="111"/>
      <c r="KC130" s="111"/>
      <c r="KD130" s="111"/>
      <c r="KE130" s="111"/>
      <c r="KF130" s="111"/>
      <c r="KG130" s="111"/>
      <c r="KH130" s="111"/>
      <c r="KI130" s="111"/>
      <c r="KJ130" s="111"/>
      <c r="KK130" s="111"/>
      <c r="KL130" s="111"/>
      <c r="KM130" s="111"/>
      <c r="KN130" s="111"/>
      <c r="KO130" s="111"/>
      <c r="KP130" s="111"/>
      <c r="KQ130" s="111"/>
      <c r="KR130" s="111"/>
      <c r="KS130" s="111"/>
      <c r="KT130" s="111"/>
      <c r="KU130" s="111"/>
      <c r="KV130" s="111"/>
      <c r="KW130" s="111"/>
      <c r="KX130" s="111"/>
      <c r="KY130" s="111"/>
      <c r="KZ130" s="111"/>
      <c r="LA130" s="111"/>
      <c r="LB130" s="111"/>
      <c r="LC130" s="111"/>
      <c r="LD130" s="111"/>
      <c r="LE130" s="111"/>
      <c r="LF130" s="111"/>
      <c r="LG130" s="111"/>
      <c r="LH130" s="111"/>
      <c r="LI130" s="111"/>
      <c r="LJ130" s="111"/>
      <c r="LK130" s="111"/>
      <c r="LL130" s="111"/>
      <c r="LM130" s="111"/>
      <c r="LN130" s="111"/>
      <c r="LO130" s="111"/>
      <c r="LP130" s="111"/>
      <c r="LQ130" s="111"/>
      <c r="LR130" s="111"/>
      <c r="LS130" s="111"/>
      <c r="LT130" s="111"/>
      <c r="LU130" s="111"/>
      <c r="LV130" s="111"/>
      <c r="LW130" s="111"/>
      <c r="LX130" s="111"/>
      <c r="LY130" s="111"/>
      <c r="LZ130" s="111"/>
      <c r="MA130" s="111"/>
      <c r="MB130" s="111"/>
      <c r="MC130" s="111"/>
      <c r="MD130" s="111"/>
      <c r="ME130" s="111"/>
      <c r="MF130" s="111"/>
      <c r="MG130" s="111"/>
      <c r="MH130" s="111"/>
      <c r="MI130" s="111"/>
      <c r="MJ130" s="111"/>
      <c r="MK130" s="111"/>
      <c r="ML130" s="111"/>
      <c r="MM130" s="111"/>
      <c r="MN130" s="111"/>
      <c r="MO130" s="111"/>
      <c r="MP130" s="111"/>
      <c r="MQ130" s="111"/>
      <c r="MR130" s="111"/>
      <c r="MS130" s="111"/>
      <c r="MT130" s="111"/>
      <c r="MU130" s="111"/>
      <c r="MV130" s="111"/>
      <c r="MW130" s="111"/>
      <c r="MX130" s="111"/>
      <c r="MY130" s="111"/>
      <c r="MZ130" s="111"/>
      <c r="NA130" s="111"/>
      <c r="NB130" s="111"/>
      <c r="NC130" s="111"/>
      <c r="ND130" s="111"/>
      <c r="NE130" s="111"/>
      <c r="NF130" s="111"/>
      <c r="NG130" s="111"/>
      <c r="NH130" s="111"/>
      <c r="NI130" s="111"/>
      <c r="NJ130" s="111"/>
      <c r="NK130" s="111"/>
      <c r="NL130" s="111"/>
      <c r="NM130" s="111"/>
      <c r="NN130" s="111"/>
      <c r="NO130" s="111"/>
      <c r="NP130" s="111"/>
      <c r="NQ130" s="111"/>
      <c r="NR130" s="111"/>
      <c r="NS130" s="111"/>
      <c r="NT130" s="111"/>
      <c r="NU130" s="111"/>
      <c r="NV130" s="111"/>
      <c r="NW130" s="111"/>
      <c r="NX130" s="111"/>
      <c r="NY130" s="111"/>
      <c r="NZ130" s="111"/>
      <c r="OA130" s="111"/>
      <c r="OB130" s="111"/>
      <c r="OC130" s="111"/>
      <c r="OD130" s="111"/>
      <c r="OE130" s="111"/>
      <c r="OF130" s="111"/>
      <c r="OG130" s="111"/>
      <c r="OH130" s="111"/>
      <c r="OI130" s="111"/>
      <c r="OJ130" s="111"/>
      <c r="OK130" s="111"/>
      <c r="OL130" s="111"/>
      <c r="OM130" s="111"/>
      <c r="ON130" s="111"/>
      <c r="OO130" s="111"/>
      <c r="OP130" s="111"/>
      <c r="OQ130" s="111"/>
      <c r="OR130" s="111"/>
      <c r="OS130" s="111"/>
      <c r="OT130" s="111"/>
      <c r="OU130" s="111"/>
      <c r="OV130" s="111"/>
      <c r="OW130" s="111"/>
      <c r="OX130" s="111"/>
      <c r="OY130" s="111"/>
      <c r="OZ130" s="111"/>
      <c r="PA130" s="111"/>
      <c r="PB130" s="111"/>
      <c r="PC130" s="111"/>
      <c r="PD130" s="111"/>
      <c r="PE130" s="111"/>
      <c r="PF130" s="111"/>
      <c r="PG130" s="111"/>
      <c r="PH130" s="111"/>
      <c r="PI130" s="111"/>
      <c r="PJ130" s="111"/>
      <c r="PK130" s="111"/>
      <c r="PL130" s="111"/>
      <c r="PM130" s="111"/>
      <c r="PN130" s="111"/>
      <c r="PO130" s="111"/>
      <c r="PP130" s="111"/>
      <c r="PQ130" s="111"/>
      <c r="PR130" s="111"/>
      <c r="PS130" s="111"/>
      <c r="PT130" s="111"/>
      <c r="PU130" s="111"/>
      <c r="PV130" s="111"/>
      <c r="PW130" s="111"/>
      <c r="PX130" s="111"/>
      <c r="PY130" s="111"/>
      <c r="PZ130" s="111"/>
      <c r="QA130" s="111"/>
      <c r="QB130" s="111"/>
      <c r="QC130" s="111"/>
      <c r="QD130" s="111"/>
      <c r="QE130" s="111"/>
      <c r="QF130" s="111"/>
      <c r="QG130" s="111"/>
      <c r="QH130" s="111"/>
      <c r="QI130" s="111"/>
      <c r="QJ130" s="111"/>
      <c r="QK130" s="111"/>
      <c r="QL130" s="111"/>
      <c r="QM130" s="111"/>
      <c r="QN130" s="111"/>
      <c r="QO130" s="111"/>
      <c r="QP130" s="111"/>
      <c r="QQ130" s="111"/>
      <c r="QR130" s="111"/>
      <c r="QS130" s="111"/>
      <c r="QT130" s="111"/>
      <c r="QU130" s="111"/>
      <c r="QV130" s="111"/>
      <c r="QW130" s="111"/>
      <c r="QX130" s="111"/>
      <c r="QY130" s="111"/>
      <c r="QZ130" s="111"/>
      <c r="RA130" s="111"/>
      <c r="RB130" s="111"/>
      <c r="RC130" s="111"/>
      <c r="RD130" s="111"/>
      <c r="RE130" s="111"/>
      <c r="RF130" s="111"/>
      <c r="RG130" s="111"/>
      <c r="RH130" s="111"/>
      <c r="RI130" s="111"/>
      <c r="RJ130" s="111"/>
      <c r="RK130" s="111"/>
      <c r="RL130" s="111"/>
      <c r="RM130" s="111"/>
      <c r="RN130" s="111"/>
      <c r="RO130" s="111"/>
      <c r="RP130" s="111"/>
      <c r="RQ130" s="111"/>
      <c r="RR130" s="111"/>
      <c r="RS130" s="111"/>
      <c r="RT130" s="111"/>
      <c r="RU130" s="111"/>
      <c r="RV130" s="111"/>
      <c r="RW130" s="111"/>
      <c r="RX130" s="111"/>
      <c r="RY130" s="111"/>
      <c r="RZ130" s="111"/>
      <c r="SA130" s="111"/>
      <c r="SB130" s="111"/>
      <c r="SC130" s="111"/>
      <c r="SD130" s="111"/>
      <c r="SE130" s="111"/>
      <c r="SF130" s="111"/>
      <c r="SG130" s="111"/>
      <c r="SH130" s="111"/>
      <c r="SI130" s="111"/>
      <c r="SJ130" s="111"/>
      <c r="SK130" s="111"/>
      <c r="SL130" s="111"/>
      <c r="SM130" s="111"/>
      <c r="SN130" s="111"/>
      <c r="SO130" s="111"/>
      <c r="SP130" s="111"/>
      <c r="SQ130" s="111"/>
      <c r="SR130" s="111"/>
      <c r="SS130" s="111"/>
      <c r="ST130" s="111"/>
      <c r="SU130" s="111"/>
      <c r="SV130" s="111"/>
      <c r="SW130" s="111"/>
      <c r="SX130" s="111"/>
      <c r="SY130" s="111"/>
      <c r="SZ130" s="111"/>
      <c r="TA130" s="111"/>
      <c r="TB130" s="111"/>
      <c r="TC130" s="111"/>
      <c r="TD130" s="111"/>
      <c r="TE130" s="111"/>
      <c r="TF130" s="111"/>
      <c r="TG130" s="111"/>
      <c r="TH130" s="111"/>
      <c r="TI130" s="111"/>
      <c r="TJ130" s="111"/>
      <c r="TK130" s="111"/>
      <c r="TL130" s="111"/>
      <c r="TM130" s="111"/>
      <c r="TN130" s="111"/>
      <c r="TO130" s="111"/>
      <c r="TP130" s="111"/>
      <c r="TQ130" s="111"/>
      <c r="TR130" s="111"/>
      <c r="TS130" s="111"/>
      <c r="TT130" s="111"/>
      <c r="TU130" s="111"/>
      <c r="TV130" s="111"/>
      <c r="TW130" s="111"/>
      <c r="TX130" s="111"/>
      <c r="TY130" s="111"/>
      <c r="TZ130" s="111"/>
      <c r="UA130" s="111"/>
      <c r="UB130" s="111"/>
      <c r="UC130" s="111"/>
      <c r="UD130" s="111"/>
      <c r="UE130" s="111"/>
      <c r="UF130" s="111"/>
      <c r="UG130" s="111"/>
      <c r="UH130" s="111"/>
      <c r="UI130" s="111"/>
      <c r="UJ130" s="111"/>
      <c r="UK130" s="111"/>
      <c r="UL130" s="111"/>
      <c r="UM130" s="111"/>
      <c r="UN130" s="111"/>
      <c r="UO130" s="111"/>
      <c r="UP130" s="111"/>
      <c r="UQ130" s="111"/>
      <c r="UR130" s="111"/>
      <c r="US130" s="111"/>
      <c r="UT130" s="111"/>
      <c r="UU130" s="111"/>
      <c r="UV130" s="111"/>
      <c r="UW130" s="111"/>
      <c r="UX130" s="111"/>
      <c r="UY130" s="111"/>
      <c r="UZ130" s="111"/>
      <c r="VA130" s="111"/>
      <c r="VB130" s="111"/>
      <c r="VC130" s="111"/>
      <c r="VD130" s="111"/>
      <c r="VE130" s="111"/>
      <c r="VF130" s="111"/>
      <c r="VG130" s="111"/>
      <c r="VH130" s="111"/>
      <c r="VI130" s="111"/>
      <c r="VJ130" s="111"/>
      <c r="VK130" s="111"/>
      <c r="VL130" s="111"/>
      <c r="VM130" s="111"/>
      <c r="VN130" s="111"/>
      <c r="VO130" s="111"/>
      <c r="VP130" s="111"/>
      <c r="VQ130" s="111"/>
      <c r="VR130" s="111"/>
      <c r="VS130" s="111"/>
      <c r="VT130" s="111"/>
      <c r="VU130" s="111"/>
      <c r="VV130" s="111"/>
      <c r="VW130" s="111"/>
      <c r="VX130" s="111"/>
      <c r="VY130" s="111"/>
      <c r="VZ130" s="111"/>
      <c r="WA130" s="111"/>
      <c r="WB130" s="111"/>
      <c r="WC130" s="111"/>
      <c r="WD130" s="111"/>
      <c r="WE130" s="111"/>
      <c r="WF130" s="111"/>
      <c r="WG130" s="111"/>
      <c r="WH130" s="111"/>
      <c r="WI130" s="111"/>
      <c r="WJ130" s="111"/>
      <c r="WK130" s="111"/>
      <c r="WL130" s="111"/>
      <c r="WM130" s="111"/>
      <c r="WN130" s="111"/>
      <c r="WO130" s="111"/>
      <c r="WP130" s="111"/>
      <c r="WQ130" s="111"/>
      <c r="WR130" s="111"/>
      <c r="WS130" s="111"/>
      <c r="WT130" s="111"/>
      <c r="WU130" s="111"/>
      <c r="WV130" s="111"/>
      <c r="WW130" s="111"/>
      <c r="WX130" s="111"/>
      <c r="WY130" s="111"/>
      <c r="WZ130" s="111"/>
      <c r="XA130" s="111"/>
      <c r="XB130" s="111"/>
      <c r="XC130" s="111"/>
      <c r="XD130" s="111"/>
      <c r="XE130" s="111"/>
      <c r="XF130" s="111"/>
      <c r="XG130" s="111"/>
      <c r="XH130" s="111"/>
      <c r="XI130" s="111"/>
      <c r="XJ130" s="111"/>
      <c r="XK130" s="111"/>
      <c r="XL130" s="111"/>
      <c r="XM130" s="111"/>
      <c r="XN130" s="111"/>
      <c r="XO130" s="111"/>
      <c r="XP130" s="111"/>
      <c r="XQ130" s="111"/>
      <c r="XR130" s="111"/>
      <c r="XS130" s="111"/>
      <c r="XT130" s="111"/>
      <c r="XU130" s="111"/>
      <c r="XV130" s="111"/>
      <c r="XW130" s="111"/>
      <c r="XX130" s="111"/>
      <c r="XY130" s="111"/>
      <c r="XZ130" s="111"/>
      <c r="YA130" s="111"/>
      <c r="YB130" s="111"/>
      <c r="YC130" s="111"/>
      <c r="YD130" s="111"/>
      <c r="YE130" s="111"/>
      <c r="YF130" s="111"/>
      <c r="YG130" s="111"/>
      <c r="YH130" s="111"/>
      <c r="YI130" s="111"/>
      <c r="YJ130" s="111"/>
      <c r="YK130" s="111"/>
      <c r="YL130" s="111"/>
      <c r="YM130" s="111"/>
      <c r="YN130" s="111"/>
      <c r="YO130" s="111"/>
      <c r="YP130" s="111"/>
      <c r="YQ130" s="111"/>
      <c r="YR130" s="111"/>
      <c r="YS130" s="111"/>
      <c r="YT130" s="111"/>
      <c r="YU130" s="111"/>
      <c r="YV130" s="111"/>
      <c r="YW130" s="111"/>
      <c r="YX130" s="111"/>
      <c r="YY130" s="111"/>
      <c r="YZ130" s="111"/>
      <c r="ZA130" s="111"/>
      <c r="ZB130" s="111"/>
      <c r="ZC130" s="111"/>
      <c r="ZD130" s="111"/>
      <c r="ZE130" s="111"/>
      <c r="ZF130" s="111"/>
      <c r="ZG130" s="111"/>
    </row>
    <row r="131" spans="1:683" s="113" customFormat="1" ht="23.1" customHeight="1" thickBot="1" x14ac:dyDescent="0.3">
      <c r="A131" s="106">
        <v>9</v>
      </c>
      <c r="B131" s="84" t="s">
        <v>74</v>
      </c>
      <c r="C131" s="83" t="s">
        <v>132</v>
      </c>
      <c r="D131" s="83" t="s">
        <v>602</v>
      </c>
      <c r="E131" s="84" t="s">
        <v>21</v>
      </c>
      <c r="F131" s="84" t="s">
        <v>458</v>
      </c>
      <c r="G131" s="110">
        <v>45735</v>
      </c>
      <c r="H131" s="85">
        <f t="shared" si="13"/>
        <v>46100</v>
      </c>
      <c r="I131" s="147" t="s">
        <v>454</v>
      </c>
      <c r="J131" s="34">
        <v>15</v>
      </c>
      <c r="K131" s="14">
        <v>46027</v>
      </c>
      <c r="L131" s="14">
        <f t="shared" si="14"/>
        <v>46041</v>
      </c>
      <c r="M131" s="34">
        <v>15</v>
      </c>
      <c r="N131" s="14">
        <v>46090</v>
      </c>
      <c r="O131" s="181">
        <f t="shared" si="15"/>
        <v>46104</v>
      </c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8"/>
      <c r="CB131" s="108"/>
      <c r="CC131" s="108"/>
      <c r="CD131" s="108"/>
      <c r="CE131" s="108"/>
      <c r="CF131" s="108"/>
      <c r="CG131" s="108"/>
      <c r="CH131" s="108"/>
      <c r="CI131" s="108"/>
      <c r="CJ131" s="108"/>
      <c r="CK131" s="108"/>
      <c r="CL131" s="108"/>
      <c r="CM131" s="108"/>
      <c r="CN131" s="108"/>
      <c r="CO131" s="108"/>
      <c r="CP131" s="108"/>
      <c r="CQ131" s="108"/>
      <c r="CR131" s="108"/>
      <c r="CS131" s="108"/>
      <c r="CT131" s="108"/>
      <c r="CU131" s="108"/>
      <c r="CV131" s="108"/>
      <c r="CW131" s="108"/>
      <c r="CX131" s="108"/>
      <c r="CY131" s="108"/>
      <c r="CZ131" s="108"/>
      <c r="DA131" s="108"/>
      <c r="DB131" s="108"/>
      <c r="DC131" s="108"/>
      <c r="DD131" s="108"/>
      <c r="DE131" s="108"/>
      <c r="DF131" s="108"/>
      <c r="DG131" s="108"/>
      <c r="DH131" s="111"/>
      <c r="DI131" s="111"/>
      <c r="DJ131" s="111"/>
      <c r="DK131" s="111"/>
      <c r="DL131" s="111"/>
      <c r="DM131" s="111"/>
      <c r="DN131" s="111"/>
      <c r="DO131" s="111"/>
      <c r="DP131" s="111"/>
      <c r="DQ131" s="111"/>
      <c r="DR131" s="111"/>
      <c r="DS131" s="111"/>
      <c r="DT131" s="111"/>
      <c r="DU131" s="111"/>
      <c r="DV131" s="111"/>
      <c r="DW131" s="111"/>
      <c r="DX131" s="111"/>
      <c r="DY131" s="111"/>
      <c r="DZ131" s="111"/>
      <c r="EA131" s="111"/>
      <c r="EB131" s="111"/>
      <c r="EC131" s="111"/>
      <c r="ED131" s="111"/>
      <c r="EE131" s="111"/>
      <c r="EF131" s="111"/>
      <c r="EG131" s="111"/>
      <c r="EH131" s="111"/>
      <c r="EI131" s="111"/>
      <c r="EJ131" s="111"/>
      <c r="EK131" s="111"/>
      <c r="EL131" s="111"/>
      <c r="EM131" s="111"/>
      <c r="EN131" s="111"/>
      <c r="EO131" s="111"/>
      <c r="EP131" s="111"/>
      <c r="EQ131" s="111"/>
      <c r="ER131" s="111"/>
      <c r="ES131" s="111"/>
      <c r="ET131" s="111"/>
      <c r="EU131" s="111"/>
      <c r="EV131" s="111"/>
      <c r="EW131" s="111"/>
      <c r="EX131" s="111"/>
      <c r="EY131" s="111"/>
      <c r="EZ131" s="111"/>
      <c r="FA131" s="111"/>
      <c r="FB131" s="111"/>
      <c r="FC131" s="111"/>
      <c r="FD131" s="111"/>
      <c r="FE131" s="111"/>
      <c r="FF131" s="111"/>
      <c r="FG131" s="111"/>
      <c r="FH131" s="111"/>
      <c r="FI131" s="111"/>
      <c r="FJ131" s="111"/>
      <c r="FK131" s="111"/>
      <c r="FL131" s="111"/>
      <c r="FM131" s="111"/>
      <c r="FN131" s="111"/>
      <c r="FO131" s="111"/>
      <c r="FP131" s="111"/>
      <c r="FQ131" s="111"/>
      <c r="FR131" s="111"/>
      <c r="FS131" s="111"/>
      <c r="FT131" s="111"/>
      <c r="FU131" s="111"/>
      <c r="FV131" s="111"/>
      <c r="FW131" s="111"/>
      <c r="FX131" s="111"/>
      <c r="FY131" s="111"/>
      <c r="FZ131" s="111"/>
      <c r="GA131" s="111"/>
      <c r="GB131" s="111"/>
      <c r="GC131" s="111"/>
      <c r="GD131" s="111"/>
      <c r="GE131" s="111"/>
      <c r="GF131" s="111"/>
      <c r="GG131" s="111"/>
      <c r="GH131" s="111"/>
      <c r="GI131" s="111"/>
      <c r="GJ131" s="111"/>
      <c r="GK131" s="111"/>
      <c r="GL131" s="111"/>
      <c r="GM131" s="111"/>
      <c r="GN131" s="111"/>
      <c r="GO131" s="111"/>
      <c r="GP131" s="111"/>
      <c r="GQ131" s="111"/>
      <c r="GR131" s="111"/>
      <c r="GS131" s="111"/>
      <c r="GT131" s="111"/>
      <c r="GU131" s="111"/>
      <c r="GV131" s="111"/>
      <c r="GW131" s="111"/>
      <c r="GX131" s="111"/>
      <c r="GY131" s="111"/>
      <c r="GZ131" s="111"/>
      <c r="HA131" s="111"/>
      <c r="HB131" s="111"/>
      <c r="HC131" s="111"/>
      <c r="HD131" s="111"/>
      <c r="HE131" s="111"/>
      <c r="HF131" s="111"/>
      <c r="HG131" s="111"/>
      <c r="HH131" s="111"/>
      <c r="HI131" s="111"/>
      <c r="HJ131" s="111"/>
      <c r="HK131" s="111"/>
      <c r="HL131" s="111"/>
      <c r="HM131" s="111"/>
      <c r="HN131" s="111"/>
      <c r="HO131" s="111"/>
      <c r="HP131" s="111"/>
      <c r="HQ131" s="111"/>
      <c r="HR131" s="111"/>
      <c r="HS131" s="111"/>
      <c r="HT131" s="111"/>
      <c r="HU131" s="111"/>
      <c r="HV131" s="111"/>
      <c r="HW131" s="111"/>
      <c r="HX131" s="111"/>
      <c r="HY131" s="111"/>
      <c r="HZ131" s="111"/>
      <c r="IA131" s="111"/>
      <c r="IB131" s="111"/>
      <c r="IC131" s="111"/>
      <c r="ID131" s="111"/>
      <c r="IE131" s="111"/>
      <c r="IF131" s="111"/>
      <c r="IG131" s="111"/>
      <c r="IH131" s="111"/>
      <c r="II131" s="111"/>
      <c r="IJ131" s="111"/>
      <c r="IK131" s="111"/>
      <c r="IL131" s="111"/>
      <c r="IM131" s="111"/>
      <c r="IN131" s="111"/>
      <c r="IO131" s="111"/>
      <c r="IP131" s="111"/>
      <c r="IQ131" s="111"/>
      <c r="IR131" s="111"/>
      <c r="IS131" s="111"/>
      <c r="IT131" s="111"/>
      <c r="IU131" s="111"/>
      <c r="IV131" s="111"/>
      <c r="IW131" s="111"/>
      <c r="IX131" s="111"/>
      <c r="IY131" s="111"/>
      <c r="IZ131" s="111"/>
      <c r="JA131" s="111"/>
      <c r="JB131" s="111"/>
      <c r="JC131" s="111"/>
      <c r="JD131" s="111"/>
      <c r="JE131" s="111"/>
      <c r="JF131" s="111"/>
      <c r="JG131" s="111"/>
      <c r="JH131" s="111"/>
      <c r="JI131" s="111"/>
      <c r="JJ131" s="111"/>
      <c r="JK131" s="111"/>
      <c r="JL131" s="111"/>
      <c r="JM131" s="111"/>
      <c r="JN131" s="111"/>
      <c r="JO131" s="111"/>
      <c r="JP131" s="111"/>
      <c r="JQ131" s="111"/>
      <c r="JR131" s="111"/>
      <c r="JS131" s="111"/>
      <c r="JT131" s="111"/>
      <c r="JU131" s="111"/>
      <c r="JV131" s="111"/>
      <c r="JW131" s="111"/>
      <c r="JX131" s="111"/>
      <c r="JY131" s="111"/>
      <c r="JZ131" s="111"/>
      <c r="KA131" s="111"/>
      <c r="KB131" s="111"/>
      <c r="KC131" s="111"/>
      <c r="KD131" s="111"/>
      <c r="KE131" s="111"/>
      <c r="KF131" s="111"/>
      <c r="KG131" s="111"/>
      <c r="KH131" s="111"/>
      <c r="KI131" s="111"/>
      <c r="KJ131" s="111"/>
      <c r="KK131" s="111"/>
      <c r="KL131" s="111"/>
      <c r="KM131" s="111"/>
      <c r="KN131" s="111"/>
      <c r="KO131" s="111"/>
      <c r="KP131" s="111"/>
      <c r="KQ131" s="111"/>
      <c r="KR131" s="111"/>
      <c r="KS131" s="111"/>
      <c r="KT131" s="111"/>
      <c r="KU131" s="111"/>
      <c r="KV131" s="111"/>
      <c r="KW131" s="111"/>
      <c r="KX131" s="111"/>
      <c r="KY131" s="111"/>
      <c r="KZ131" s="111"/>
      <c r="LA131" s="111"/>
      <c r="LB131" s="111"/>
      <c r="LC131" s="111"/>
      <c r="LD131" s="111"/>
      <c r="LE131" s="111"/>
      <c r="LF131" s="111"/>
      <c r="LG131" s="111"/>
      <c r="LH131" s="111"/>
      <c r="LI131" s="111"/>
      <c r="LJ131" s="111"/>
      <c r="LK131" s="111"/>
      <c r="LL131" s="111"/>
      <c r="LM131" s="111"/>
      <c r="LN131" s="111"/>
      <c r="LO131" s="111"/>
      <c r="LP131" s="111"/>
      <c r="LQ131" s="111"/>
      <c r="LR131" s="111"/>
      <c r="LS131" s="111"/>
      <c r="LT131" s="111"/>
      <c r="LU131" s="111"/>
      <c r="LV131" s="111"/>
      <c r="LW131" s="111"/>
      <c r="LX131" s="111"/>
      <c r="LY131" s="111"/>
      <c r="LZ131" s="111"/>
      <c r="MA131" s="111"/>
      <c r="MB131" s="111"/>
      <c r="MC131" s="111"/>
      <c r="MD131" s="111"/>
      <c r="ME131" s="111"/>
      <c r="MF131" s="111"/>
      <c r="MG131" s="111"/>
      <c r="MH131" s="111"/>
      <c r="MI131" s="111"/>
      <c r="MJ131" s="111"/>
      <c r="MK131" s="111"/>
      <c r="ML131" s="111"/>
      <c r="MM131" s="111"/>
      <c r="MN131" s="111"/>
      <c r="MO131" s="111"/>
      <c r="MP131" s="111"/>
      <c r="MQ131" s="111"/>
      <c r="MR131" s="111"/>
      <c r="MS131" s="111"/>
      <c r="MT131" s="111"/>
      <c r="MU131" s="111"/>
      <c r="MV131" s="111"/>
      <c r="MW131" s="111"/>
      <c r="MX131" s="111"/>
      <c r="MY131" s="111"/>
      <c r="MZ131" s="111"/>
      <c r="NA131" s="111"/>
      <c r="NB131" s="111"/>
      <c r="NC131" s="111"/>
      <c r="ND131" s="111"/>
      <c r="NE131" s="111"/>
      <c r="NF131" s="111"/>
      <c r="NG131" s="111"/>
      <c r="NH131" s="111"/>
      <c r="NI131" s="111"/>
      <c r="NJ131" s="111"/>
      <c r="NK131" s="111"/>
      <c r="NL131" s="111"/>
      <c r="NM131" s="111"/>
      <c r="NN131" s="111"/>
      <c r="NO131" s="111"/>
      <c r="NP131" s="111"/>
      <c r="NQ131" s="111"/>
      <c r="NR131" s="111"/>
      <c r="NS131" s="111"/>
      <c r="NT131" s="111"/>
      <c r="NU131" s="111"/>
      <c r="NV131" s="111"/>
      <c r="NW131" s="111"/>
      <c r="NX131" s="111"/>
      <c r="NY131" s="111"/>
      <c r="NZ131" s="111"/>
      <c r="OA131" s="111"/>
      <c r="OB131" s="111"/>
      <c r="OC131" s="111"/>
      <c r="OD131" s="111"/>
      <c r="OE131" s="111"/>
      <c r="OF131" s="111"/>
      <c r="OG131" s="111"/>
      <c r="OH131" s="111"/>
      <c r="OI131" s="111"/>
      <c r="OJ131" s="111"/>
      <c r="OK131" s="111"/>
      <c r="OL131" s="111"/>
      <c r="OM131" s="111"/>
      <c r="ON131" s="111"/>
      <c r="OO131" s="111"/>
      <c r="OP131" s="111"/>
      <c r="OQ131" s="111"/>
      <c r="OR131" s="111"/>
      <c r="OS131" s="111"/>
      <c r="OT131" s="111"/>
      <c r="OU131" s="111"/>
      <c r="OV131" s="111"/>
      <c r="OW131" s="111"/>
      <c r="OX131" s="111"/>
      <c r="OY131" s="111"/>
      <c r="OZ131" s="111"/>
      <c r="PA131" s="111"/>
      <c r="PB131" s="111"/>
      <c r="PC131" s="111"/>
      <c r="PD131" s="111"/>
      <c r="PE131" s="111"/>
      <c r="PF131" s="111"/>
      <c r="PG131" s="111"/>
      <c r="PH131" s="111"/>
      <c r="PI131" s="111"/>
      <c r="PJ131" s="111"/>
      <c r="PK131" s="111"/>
      <c r="PL131" s="111"/>
      <c r="PM131" s="111"/>
      <c r="PN131" s="111"/>
      <c r="PO131" s="111"/>
      <c r="PP131" s="111"/>
      <c r="PQ131" s="111"/>
      <c r="PR131" s="111"/>
      <c r="PS131" s="111"/>
      <c r="PT131" s="111"/>
      <c r="PU131" s="111"/>
      <c r="PV131" s="111"/>
      <c r="PW131" s="111"/>
      <c r="PX131" s="111"/>
      <c r="PY131" s="111"/>
      <c r="PZ131" s="111"/>
      <c r="QA131" s="111"/>
      <c r="QB131" s="111"/>
      <c r="QC131" s="111"/>
      <c r="QD131" s="111"/>
      <c r="QE131" s="111"/>
      <c r="QF131" s="111"/>
      <c r="QG131" s="111"/>
      <c r="QH131" s="111"/>
      <c r="QI131" s="111"/>
      <c r="QJ131" s="111"/>
      <c r="QK131" s="111"/>
      <c r="QL131" s="111"/>
      <c r="QM131" s="111"/>
      <c r="QN131" s="111"/>
      <c r="QO131" s="111"/>
      <c r="QP131" s="111"/>
      <c r="QQ131" s="111"/>
      <c r="QR131" s="111"/>
      <c r="QS131" s="111"/>
      <c r="QT131" s="111"/>
      <c r="QU131" s="111"/>
      <c r="QV131" s="111"/>
      <c r="QW131" s="111"/>
      <c r="QX131" s="111"/>
      <c r="QY131" s="111"/>
      <c r="QZ131" s="111"/>
      <c r="RA131" s="111"/>
      <c r="RB131" s="111"/>
      <c r="RC131" s="111"/>
      <c r="RD131" s="111"/>
      <c r="RE131" s="111"/>
      <c r="RF131" s="111"/>
      <c r="RG131" s="111"/>
      <c r="RH131" s="111"/>
      <c r="RI131" s="111"/>
      <c r="RJ131" s="111"/>
      <c r="RK131" s="111"/>
      <c r="RL131" s="111"/>
      <c r="RM131" s="111"/>
      <c r="RN131" s="111"/>
      <c r="RO131" s="111"/>
      <c r="RP131" s="111"/>
      <c r="RQ131" s="111"/>
      <c r="RR131" s="111"/>
      <c r="RS131" s="111"/>
      <c r="RT131" s="111"/>
      <c r="RU131" s="111"/>
      <c r="RV131" s="111"/>
      <c r="RW131" s="111"/>
      <c r="RX131" s="111"/>
      <c r="RY131" s="111"/>
      <c r="RZ131" s="111"/>
      <c r="SA131" s="111"/>
      <c r="SB131" s="111"/>
      <c r="SC131" s="111"/>
      <c r="SD131" s="111"/>
      <c r="SE131" s="111"/>
      <c r="SF131" s="111"/>
      <c r="SG131" s="111"/>
      <c r="SH131" s="111"/>
      <c r="SI131" s="111"/>
      <c r="SJ131" s="111"/>
      <c r="SK131" s="111"/>
      <c r="SL131" s="111"/>
      <c r="SM131" s="111"/>
      <c r="SN131" s="111"/>
      <c r="SO131" s="111"/>
      <c r="SP131" s="111"/>
      <c r="SQ131" s="111"/>
      <c r="SR131" s="111"/>
      <c r="SS131" s="111"/>
      <c r="ST131" s="111"/>
      <c r="SU131" s="111"/>
      <c r="SV131" s="111"/>
      <c r="SW131" s="111"/>
      <c r="SX131" s="111"/>
      <c r="SY131" s="111"/>
      <c r="SZ131" s="111"/>
      <c r="TA131" s="111"/>
      <c r="TB131" s="111"/>
      <c r="TC131" s="111"/>
      <c r="TD131" s="111"/>
      <c r="TE131" s="111"/>
      <c r="TF131" s="111"/>
      <c r="TG131" s="111"/>
      <c r="TH131" s="111"/>
      <c r="TI131" s="111"/>
      <c r="TJ131" s="111"/>
      <c r="TK131" s="111"/>
      <c r="TL131" s="111"/>
      <c r="TM131" s="111"/>
      <c r="TN131" s="111"/>
      <c r="TO131" s="111"/>
      <c r="TP131" s="111"/>
      <c r="TQ131" s="111"/>
      <c r="TR131" s="111"/>
      <c r="TS131" s="111"/>
      <c r="TT131" s="111"/>
      <c r="TU131" s="111"/>
      <c r="TV131" s="111"/>
      <c r="TW131" s="111"/>
      <c r="TX131" s="111"/>
      <c r="TY131" s="111"/>
      <c r="TZ131" s="111"/>
      <c r="UA131" s="111"/>
      <c r="UB131" s="111"/>
      <c r="UC131" s="111"/>
      <c r="UD131" s="111"/>
      <c r="UE131" s="111"/>
      <c r="UF131" s="111"/>
      <c r="UG131" s="111"/>
      <c r="UH131" s="111"/>
      <c r="UI131" s="111"/>
      <c r="UJ131" s="111"/>
      <c r="UK131" s="111"/>
      <c r="UL131" s="111"/>
      <c r="UM131" s="111"/>
      <c r="UN131" s="111"/>
      <c r="UO131" s="111"/>
      <c r="UP131" s="111"/>
      <c r="UQ131" s="111"/>
      <c r="UR131" s="111"/>
      <c r="US131" s="111"/>
      <c r="UT131" s="111"/>
      <c r="UU131" s="111"/>
      <c r="UV131" s="111"/>
      <c r="UW131" s="111"/>
      <c r="UX131" s="111"/>
      <c r="UY131" s="111"/>
      <c r="UZ131" s="111"/>
      <c r="VA131" s="111"/>
      <c r="VB131" s="111"/>
      <c r="VC131" s="111"/>
      <c r="VD131" s="111"/>
      <c r="VE131" s="111"/>
      <c r="VF131" s="111"/>
      <c r="VG131" s="111"/>
      <c r="VH131" s="111"/>
      <c r="VI131" s="111"/>
      <c r="VJ131" s="111"/>
      <c r="VK131" s="111"/>
      <c r="VL131" s="111"/>
      <c r="VM131" s="111"/>
      <c r="VN131" s="111"/>
      <c r="VO131" s="111"/>
      <c r="VP131" s="111"/>
      <c r="VQ131" s="111"/>
      <c r="VR131" s="111"/>
      <c r="VS131" s="111"/>
      <c r="VT131" s="111"/>
      <c r="VU131" s="111"/>
      <c r="VV131" s="111"/>
      <c r="VW131" s="111"/>
      <c r="VX131" s="111"/>
      <c r="VY131" s="111"/>
      <c r="VZ131" s="111"/>
      <c r="WA131" s="111"/>
      <c r="WB131" s="111"/>
      <c r="WC131" s="111"/>
      <c r="WD131" s="111"/>
      <c r="WE131" s="111"/>
      <c r="WF131" s="111"/>
      <c r="WG131" s="111"/>
      <c r="WH131" s="111"/>
      <c r="WI131" s="111"/>
      <c r="WJ131" s="111"/>
      <c r="WK131" s="111"/>
      <c r="WL131" s="111"/>
      <c r="WM131" s="111"/>
      <c r="WN131" s="111"/>
      <c r="WO131" s="111"/>
      <c r="WP131" s="111"/>
      <c r="WQ131" s="111"/>
      <c r="WR131" s="111"/>
      <c r="WS131" s="111"/>
      <c r="WT131" s="111"/>
      <c r="WU131" s="111"/>
      <c r="WV131" s="111"/>
      <c r="WW131" s="111"/>
      <c r="WX131" s="111"/>
      <c r="WY131" s="111"/>
      <c r="WZ131" s="111"/>
      <c r="XA131" s="111"/>
      <c r="XB131" s="111"/>
      <c r="XC131" s="111"/>
      <c r="XD131" s="111"/>
      <c r="XE131" s="111"/>
      <c r="XF131" s="111"/>
      <c r="XG131" s="111"/>
      <c r="XH131" s="111"/>
      <c r="XI131" s="111"/>
      <c r="XJ131" s="111"/>
      <c r="XK131" s="111"/>
      <c r="XL131" s="111"/>
      <c r="XM131" s="111"/>
      <c r="XN131" s="111"/>
      <c r="XO131" s="111"/>
      <c r="XP131" s="111"/>
      <c r="XQ131" s="111"/>
      <c r="XR131" s="111"/>
      <c r="XS131" s="111"/>
      <c r="XT131" s="111"/>
      <c r="XU131" s="111"/>
      <c r="XV131" s="111"/>
      <c r="XW131" s="111"/>
      <c r="XX131" s="111"/>
      <c r="XY131" s="111"/>
      <c r="XZ131" s="111"/>
      <c r="YA131" s="111"/>
      <c r="YB131" s="111"/>
      <c r="YC131" s="111"/>
      <c r="YD131" s="111"/>
      <c r="YE131" s="111"/>
      <c r="YF131" s="111"/>
      <c r="YG131" s="111"/>
      <c r="YH131" s="111"/>
      <c r="YI131" s="111"/>
      <c r="YJ131" s="111"/>
      <c r="YK131" s="111"/>
      <c r="YL131" s="111"/>
      <c r="YM131" s="111"/>
      <c r="YN131" s="111"/>
      <c r="YO131" s="111"/>
      <c r="YP131" s="111"/>
      <c r="YQ131" s="111"/>
      <c r="YR131" s="111"/>
      <c r="YS131" s="111"/>
      <c r="YT131" s="111"/>
      <c r="YU131" s="111"/>
      <c r="YV131" s="111"/>
      <c r="YW131" s="111"/>
      <c r="YX131" s="111"/>
      <c r="YY131" s="111"/>
      <c r="YZ131" s="111"/>
      <c r="ZA131" s="111"/>
      <c r="ZB131" s="111"/>
      <c r="ZC131" s="111"/>
      <c r="ZD131" s="111"/>
      <c r="ZE131" s="111"/>
      <c r="ZF131" s="111"/>
      <c r="ZG131" s="111"/>
    </row>
    <row r="132" spans="1:683" s="113" customFormat="1" ht="23.1" customHeight="1" thickBot="1" x14ac:dyDescent="0.3">
      <c r="A132" s="106">
        <v>10</v>
      </c>
      <c r="B132" s="84" t="s">
        <v>74</v>
      </c>
      <c r="C132" s="83" t="s">
        <v>137</v>
      </c>
      <c r="D132" s="83" t="s">
        <v>603</v>
      </c>
      <c r="E132" s="84" t="s">
        <v>21</v>
      </c>
      <c r="F132" s="84" t="s">
        <v>256</v>
      </c>
      <c r="G132" s="110">
        <v>45603</v>
      </c>
      <c r="H132" s="91">
        <f t="shared" si="13"/>
        <v>45968</v>
      </c>
      <c r="I132" s="135" t="s">
        <v>445</v>
      </c>
      <c r="J132" s="34">
        <v>30</v>
      </c>
      <c r="K132" s="14">
        <v>46224</v>
      </c>
      <c r="L132" s="14">
        <f t="shared" si="14"/>
        <v>46253</v>
      </c>
      <c r="M132" s="34"/>
      <c r="N132" s="14"/>
      <c r="O132" s="181">
        <f t="shared" si="15"/>
        <v>-1</v>
      </c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  <c r="CE132" s="108"/>
      <c r="CF132" s="108"/>
      <c r="CG132" s="108"/>
      <c r="CH132" s="108"/>
      <c r="CI132" s="108"/>
      <c r="CJ132" s="108"/>
      <c r="CK132" s="108"/>
      <c r="CL132" s="108"/>
      <c r="CM132" s="108"/>
      <c r="CN132" s="108"/>
      <c r="CO132" s="108"/>
      <c r="CP132" s="108"/>
      <c r="CQ132" s="108"/>
      <c r="CR132" s="108"/>
      <c r="CS132" s="108"/>
      <c r="CT132" s="108"/>
      <c r="CU132" s="108"/>
      <c r="CV132" s="108"/>
      <c r="CW132" s="108"/>
      <c r="CX132" s="108"/>
      <c r="CY132" s="108"/>
      <c r="CZ132" s="108"/>
      <c r="DA132" s="108"/>
      <c r="DB132" s="108"/>
      <c r="DC132" s="108"/>
      <c r="DD132" s="108"/>
      <c r="DE132" s="108"/>
      <c r="DF132" s="108"/>
      <c r="DG132" s="108"/>
      <c r="DH132" s="111"/>
      <c r="DI132" s="111"/>
      <c r="DJ132" s="111"/>
      <c r="DK132" s="111"/>
      <c r="DL132" s="111"/>
      <c r="DM132" s="111"/>
      <c r="DN132" s="111"/>
      <c r="DO132" s="111"/>
      <c r="DP132" s="111"/>
      <c r="DQ132" s="111"/>
      <c r="DR132" s="111"/>
      <c r="DS132" s="111"/>
      <c r="DT132" s="111"/>
      <c r="DU132" s="111"/>
      <c r="DV132" s="111"/>
      <c r="DW132" s="111"/>
      <c r="DX132" s="111"/>
      <c r="DY132" s="111"/>
      <c r="DZ132" s="111"/>
      <c r="EA132" s="111"/>
      <c r="EB132" s="111"/>
      <c r="EC132" s="111"/>
      <c r="ED132" s="111"/>
      <c r="EE132" s="111"/>
      <c r="EF132" s="111"/>
      <c r="EG132" s="111"/>
      <c r="EH132" s="111"/>
      <c r="EI132" s="111"/>
      <c r="EJ132" s="111"/>
      <c r="EK132" s="111"/>
      <c r="EL132" s="111"/>
      <c r="EM132" s="111"/>
      <c r="EN132" s="111"/>
      <c r="EO132" s="111"/>
      <c r="EP132" s="111"/>
      <c r="EQ132" s="111"/>
      <c r="ER132" s="111"/>
      <c r="ES132" s="111"/>
      <c r="ET132" s="111"/>
      <c r="EU132" s="111"/>
      <c r="EV132" s="111"/>
      <c r="EW132" s="111"/>
      <c r="EX132" s="111"/>
      <c r="EY132" s="111"/>
      <c r="EZ132" s="111"/>
      <c r="FA132" s="111"/>
      <c r="FB132" s="111"/>
      <c r="FC132" s="111"/>
      <c r="FD132" s="111"/>
      <c r="FE132" s="111"/>
      <c r="FF132" s="111"/>
      <c r="FG132" s="111"/>
      <c r="FH132" s="111"/>
      <c r="FI132" s="111"/>
      <c r="FJ132" s="111"/>
      <c r="FK132" s="111"/>
      <c r="FL132" s="111"/>
      <c r="FM132" s="111"/>
      <c r="FN132" s="111"/>
      <c r="FO132" s="111"/>
      <c r="FP132" s="111"/>
      <c r="FQ132" s="111"/>
      <c r="FR132" s="111"/>
      <c r="FS132" s="111"/>
      <c r="FT132" s="111"/>
      <c r="FU132" s="111"/>
      <c r="FV132" s="111"/>
      <c r="FW132" s="111"/>
      <c r="FX132" s="111"/>
      <c r="FY132" s="111"/>
      <c r="FZ132" s="111"/>
      <c r="GA132" s="111"/>
      <c r="GB132" s="111"/>
      <c r="GC132" s="111"/>
      <c r="GD132" s="111"/>
      <c r="GE132" s="111"/>
      <c r="GF132" s="111"/>
      <c r="GG132" s="111"/>
      <c r="GH132" s="111"/>
      <c r="GI132" s="111"/>
      <c r="GJ132" s="111"/>
      <c r="GK132" s="111"/>
      <c r="GL132" s="111"/>
      <c r="GM132" s="111"/>
      <c r="GN132" s="111"/>
      <c r="GO132" s="111"/>
      <c r="GP132" s="111"/>
      <c r="GQ132" s="111"/>
      <c r="GR132" s="111"/>
      <c r="GS132" s="111"/>
      <c r="GT132" s="111"/>
      <c r="GU132" s="111"/>
      <c r="GV132" s="111"/>
      <c r="GW132" s="111"/>
      <c r="GX132" s="111"/>
      <c r="GY132" s="111"/>
      <c r="GZ132" s="111"/>
      <c r="HA132" s="111"/>
      <c r="HB132" s="111"/>
      <c r="HC132" s="111"/>
      <c r="HD132" s="111"/>
      <c r="HE132" s="111"/>
      <c r="HF132" s="111"/>
      <c r="HG132" s="111"/>
      <c r="HH132" s="111"/>
      <c r="HI132" s="111"/>
      <c r="HJ132" s="111"/>
      <c r="HK132" s="111"/>
      <c r="HL132" s="111"/>
      <c r="HM132" s="111"/>
      <c r="HN132" s="111"/>
      <c r="HO132" s="111"/>
      <c r="HP132" s="111"/>
      <c r="HQ132" s="111"/>
      <c r="HR132" s="111"/>
      <c r="HS132" s="111"/>
      <c r="HT132" s="111"/>
      <c r="HU132" s="111"/>
      <c r="HV132" s="111"/>
      <c r="HW132" s="111"/>
      <c r="HX132" s="111"/>
      <c r="HY132" s="111"/>
      <c r="HZ132" s="111"/>
      <c r="IA132" s="111"/>
      <c r="IB132" s="111"/>
      <c r="IC132" s="111"/>
      <c r="ID132" s="111"/>
      <c r="IE132" s="111"/>
      <c r="IF132" s="111"/>
      <c r="IG132" s="111"/>
      <c r="IH132" s="111"/>
      <c r="II132" s="111"/>
      <c r="IJ132" s="111"/>
      <c r="IK132" s="111"/>
      <c r="IL132" s="111"/>
      <c r="IM132" s="111"/>
      <c r="IN132" s="111"/>
      <c r="IO132" s="111"/>
      <c r="IP132" s="111"/>
      <c r="IQ132" s="111"/>
      <c r="IR132" s="111"/>
      <c r="IS132" s="111"/>
      <c r="IT132" s="111"/>
      <c r="IU132" s="111"/>
      <c r="IV132" s="111"/>
      <c r="IW132" s="111"/>
      <c r="IX132" s="111"/>
      <c r="IY132" s="111"/>
      <c r="IZ132" s="111"/>
      <c r="JA132" s="111"/>
      <c r="JB132" s="111"/>
      <c r="JC132" s="111"/>
      <c r="JD132" s="111"/>
      <c r="JE132" s="111"/>
      <c r="JF132" s="111"/>
      <c r="JG132" s="111"/>
      <c r="JH132" s="111"/>
      <c r="JI132" s="111"/>
      <c r="JJ132" s="111"/>
      <c r="JK132" s="111"/>
      <c r="JL132" s="111"/>
      <c r="JM132" s="111"/>
      <c r="JN132" s="111"/>
      <c r="JO132" s="111"/>
      <c r="JP132" s="111"/>
      <c r="JQ132" s="111"/>
      <c r="JR132" s="111"/>
      <c r="JS132" s="111"/>
      <c r="JT132" s="111"/>
      <c r="JU132" s="111"/>
      <c r="JV132" s="111"/>
      <c r="JW132" s="111"/>
      <c r="JX132" s="111"/>
      <c r="JY132" s="111"/>
      <c r="JZ132" s="111"/>
      <c r="KA132" s="111"/>
      <c r="KB132" s="111"/>
      <c r="KC132" s="111"/>
      <c r="KD132" s="111"/>
      <c r="KE132" s="111"/>
      <c r="KF132" s="111"/>
      <c r="KG132" s="111"/>
      <c r="KH132" s="111"/>
      <c r="KI132" s="111"/>
      <c r="KJ132" s="111"/>
      <c r="KK132" s="111"/>
      <c r="KL132" s="111"/>
      <c r="KM132" s="111"/>
      <c r="KN132" s="111"/>
      <c r="KO132" s="111"/>
      <c r="KP132" s="111"/>
      <c r="KQ132" s="111"/>
      <c r="KR132" s="111"/>
      <c r="KS132" s="111"/>
      <c r="KT132" s="111"/>
      <c r="KU132" s="111"/>
      <c r="KV132" s="111"/>
      <c r="KW132" s="111"/>
      <c r="KX132" s="111"/>
      <c r="KY132" s="111"/>
      <c r="KZ132" s="111"/>
      <c r="LA132" s="111"/>
      <c r="LB132" s="111"/>
      <c r="LC132" s="111"/>
      <c r="LD132" s="111"/>
      <c r="LE132" s="111"/>
      <c r="LF132" s="111"/>
      <c r="LG132" s="111"/>
      <c r="LH132" s="111"/>
      <c r="LI132" s="111"/>
      <c r="LJ132" s="111"/>
      <c r="LK132" s="111"/>
      <c r="LL132" s="111"/>
      <c r="LM132" s="111"/>
      <c r="LN132" s="111"/>
      <c r="LO132" s="111"/>
      <c r="LP132" s="111"/>
      <c r="LQ132" s="111"/>
      <c r="LR132" s="111"/>
      <c r="LS132" s="111"/>
      <c r="LT132" s="111"/>
      <c r="LU132" s="111"/>
      <c r="LV132" s="111"/>
      <c r="LW132" s="111"/>
      <c r="LX132" s="111"/>
      <c r="LY132" s="111"/>
      <c r="LZ132" s="111"/>
      <c r="MA132" s="111"/>
      <c r="MB132" s="111"/>
      <c r="MC132" s="111"/>
      <c r="MD132" s="111"/>
      <c r="ME132" s="111"/>
      <c r="MF132" s="111"/>
      <c r="MG132" s="111"/>
      <c r="MH132" s="111"/>
      <c r="MI132" s="111"/>
      <c r="MJ132" s="111"/>
      <c r="MK132" s="111"/>
      <c r="ML132" s="111"/>
      <c r="MM132" s="111"/>
      <c r="MN132" s="111"/>
      <c r="MO132" s="111"/>
      <c r="MP132" s="111"/>
      <c r="MQ132" s="111"/>
      <c r="MR132" s="111"/>
      <c r="MS132" s="111"/>
      <c r="MT132" s="111"/>
      <c r="MU132" s="111"/>
      <c r="MV132" s="111"/>
      <c r="MW132" s="111"/>
      <c r="MX132" s="111"/>
      <c r="MY132" s="111"/>
      <c r="MZ132" s="111"/>
      <c r="NA132" s="111"/>
      <c r="NB132" s="111"/>
      <c r="NC132" s="111"/>
      <c r="ND132" s="111"/>
      <c r="NE132" s="111"/>
      <c r="NF132" s="111"/>
      <c r="NG132" s="111"/>
      <c r="NH132" s="111"/>
      <c r="NI132" s="111"/>
      <c r="NJ132" s="111"/>
      <c r="NK132" s="111"/>
      <c r="NL132" s="111"/>
      <c r="NM132" s="111"/>
      <c r="NN132" s="111"/>
      <c r="NO132" s="111"/>
      <c r="NP132" s="111"/>
      <c r="NQ132" s="111"/>
      <c r="NR132" s="111"/>
      <c r="NS132" s="111"/>
      <c r="NT132" s="111"/>
      <c r="NU132" s="111"/>
      <c r="NV132" s="111"/>
      <c r="NW132" s="111"/>
      <c r="NX132" s="111"/>
      <c r="NY132" s="111"/>
      <c r="NZ132" s="111"/>
      <c r="OA132" s="111"/>
      <c r="OB132" s="111"/>
      <c r="OC132" s="111"/>
      <c r="OD132" s="111"/>
      <c r="OE132" s="111"/>
      <c r="OF132" s="111"/>
      <c r="OG132" s="111"/>
      <c r="OH132" s="111"/>
      <c r="OI132" s="111"/>
      <c r="OJ132" s="111"/>
      <c r="OK132" s="111"/>
      <c r="OL132" s="111"/>
      <c r="OM132" s="111"/>
      <c r="ON132" s="111"/>
      <c r="OO132" s="111"/>
      <c r="OP132" s="111"/>
      <c r="OQ132" s="111"/>
      <c r="OR132" s="111"/>
      <c r="OS132" s="111"/>
      <c r="OT132" s="111"/>
      <c r="OU132" s="111"/>
      <c r="OV132" s="111"/>
      <c r="OW132" s="111"/>
      <c r="OX132" s="111"/>
      <c r="OY132" s="111"/>
      <c r="OZ132" s="111"/>
      <c r="PA132" s="111"/>
      <c r="PB132" s="111"/>
      <c r="PC132" s="111"/>
      <c r="PD132" s="111"/>
      <c r="PE132" s="111"/>
      <c r="PF132" s="111"/>
      <c r="PG132" s="111"/>
      <c r="PH132" s="111"/>
      <c r="PI132" s="111"/>
      <c r="PJ132" s="111"/>
      <c r="PK132" s="111"/>
      <c r="PL132" s="111"/>
      <c r="PM132" s="111"/>
      <c r="PN132" s="111"/>
      <c r="PO132" s="111"/>
      <c r="PP132" s="111"/>
      <c r="PQ132" s="111"/>
      <c r="PR132" s="111"/>
      <c r="PS132" s="111"/>
      <c r="PT132" s="111"/>
      <c r="PU132" s="111"/>
      <c r="PV132" s="111"/>
      <c r="PW132" s="111"/>
      <c r="PX132" s="111"/>
      <c r="PY132" s="111"/>
      <c r="PZ132" s="111"/>
      <c r="QA132" s="111"/>
      <c r="QB132" s="111"/>
      <c r="QC132" s="111"/>
      <c r="QD132" s="111"/>
      <c r="QE132" s="111"/>
      <c r="QF132" s="111"/>
      <c r="QG132" s="111"/>
      <c r="QH132" s="111"/>
      <c r="QI132" s="111"/>
      <c r="QJ132" s="111"/>
      <c r="QK132" s="111"/>
      <c r="QL132" s="111"/>
      <c r="QM132" s="111"/>
      <c r="QN132" s="111"/>
      <c r="QO132" s="111"/>
      <c r="QP132" s="111"/>
      <c r="QQ132" s="111"/>
      <c r="QR132" s="111"/>
      <c r="QS132" s="111"/>
      <c r="QT132" s="111"/>
      <c r="QU132" s="111"/>
      <c r="QV132" s="111"/>
      <c r="QW132" s="111"/>
      <c r="QX132" s="111"/>
      <c r="QY132" s="111"/>
      <c r="QZ132" s="111"/>
      <c r="RA132" s="111"/>
      <c r="RB132" s="111"/>
      <c r="RC132" s="111"/>
      <c r="RD132" s="111"/>
      <c r="RE132" s="111"/>
      <c r="RF132" s="111"/>
      <c r="RG132" s="111"/>
      <c r="RH132" s="111"/>
      <c r="RI132" s="111"/>
      <c r="RJ132" s="111"/>
      <c r="RK132" s="111"/>
      <c r="RL132" s="111"/>
      <c r="RM132" s="111"/>
      <c r="RN132" s="111"/>
      <c r="RO132" s="111"/>
      <c r="RP132" s="111"/>
      <c r="RQ132" s="111"/>
      <c r="RR132" s="111"/>
      <c r="RS132" s="111"/>
      <c r="RT132" s="111"/>
      <c r="RU132" s="111"/>
      <c r="RV132" s="111"/>
      <c r="RW132" s="111"/>
      <c r="RX132" s="111"/>
      <c r="RY132" s="111"/>
      <c r="RZ132" s="111"/>
      <c r="SA132" s="111"/>
      <c r="SB132" s="111"/>
      <c r="SC132" s="111"/>
      <c r="SD132" s="111"/>
      <c r="SE132" s="111"/>
      <c r="SF132" s="111"/>
      <c r="SG132" s="111"/>
      <c r="SH132" s="111"/>
      <c r="SI132" s="111"/>
      <c r="SJ132" s="111"/>
      <c r="SK132" s="111"/>
      <c r="SL132" s="111"/>
      <c r="SM132" s="111"/>
      <c r="SN132" s="111"/>
      <c r="SO132" s="111"/>
      <c r="SP132" s="111"/>
      <c r="SQ132" s="111"/>
      <c r="SR132" s="111"/>
      <c r="SS132" s="111"/>
      <c r="ST132" s="111"/>
      <c r="SU132" s="111"/>
      <c r="SV132" s="111"/>
      <c r="SW132" s="111"/>
      <c r="SX132" s="111"/>
      <c r="SY132" s="111"/>
      <c r="SZ132" s="111"/>
      <c r="TA132" s="111"/>
      <c r="TB132" s="111"/>
      <c r="TC132" s="111"/>
      <c r="TD132" s="111"/>
      <c r="TE132" s="111"/>
      <c r="TF132" s="111"/>
      <c r="TG132" s="111"/>
      <c r="TH132" s="111"/>
      <c r="TI132" s="111"/>
      <c r="TJ132" s="111"/>
      <c r="TK132" s="111"/>
      <c r="TL132" s="111"/>
      <c r="TM132" s="111"/>
      <c r="TN132" s="111"/>
      <c r="TO132" s="111"/>
      <c r="TP132" s="111"/>
      <c r="TQ132" s="111"/>
      <c r="TR132" s="111"/>
      <c r="TS132" s="111"/>
      <c r="TT132" s="111"/>
      <c r="TU132" s="111"/>
      <c r="TV132" s="111"/>
      <c r="TW132" s="111"/>
      <c r="TX132" s="111"/>
      <c r="TY132" s="111"/>
      <c r="TZ132" s="111"/>
      <c r="UA132" s="111"/>
      <c r="UB132" s="111"/>
      <c r="UC132" s="111"/>
      <c r="UD132" s="111"/>
      <c r="UE132" s="111"/>
      <c r="UF132" s="111"/>
      <c r="UG132" s="111"/>
      <c r="UH132" s="111"/>
      <c r="UI132" s="111"/>
      <c r="UJ132" s="111"/>
      <c r="UK132" s="111"/>
      <c r="UL132" s="111"/>
      <c r="UM132" s="111"/>
      <c r="UN132" s="111"/>
      <c r="UO132" s="111"/>
      <c r="UP132" s="111"/>
      <c r="UQ132" s="111"/>
      <c r="UR132" s="111"/>
      <c r="US132" s="111"/>
      <c r="UT132" s="111"/>
      <c r="UU132" s="111"/>
      <c r="UV132" s="111"/>
      <c r="UW132" s="111"/>
      <c r="UX132" s="111"/>
      <c r="UY132" s="111"/>
      <c r="UZ132" s="111"/>
      <c r="VA132" s="111"/>
      <c r="VB132" s="111"/>
      <c r="VC132" s="111"/>
      <c r="VD132" s="111"/>
      <c r="VE132" s="111"/>
      <c r="VF132" s="111"/>
      <c r="VG132" s="111"/>
      <c r="VH132" s="111"/>
      <c r="VI132" s="111"/>
      <c r="VJ132" s="111"/>
      <c r="VK132" s="111"/>
      <c r="VL132" s="111"/>
      <c r="VM132" s="111"/>
      <c r="VN132" s="111"/>
      <c r="VO132" s="111"/>
      <c r="VP132" s="111"/>
      <c r="VQ132" s="111"/>
      <c r="VR132" s="111"/>
      <c r="VS132" s="111"/>
      <c r="VT132" s="111"/>
      <c r="VU132" s="111"/>
      <c r="VV132" s="111"/>
      <c r="VW132" s="111"/>
      <c r="VX132" s="111"/>
      <c r="VY132" s="111"/>
      <c r="VZ132" s="111"/>
      <c r="WA132" s="111"/>
      <c r="WB132" s="111"/>
      <c r="WC132" s="111"/>
      <c r="WD132" s="111"/>
      <c r="WE132" s="111"/>
      <c r="WF132" s="111"/>
      <c r="WG132" s="111"/>
      <c r="WH132" s="111"/>
      <c r="WI132" s="111"/>
      <c r="WJ132" s="111"/>
      <c r="WK132" s="111"/>
      <c r="WL132" s="111"/>
      <c r="WM132" s="111"/>
      <c r="WN132" s="111"/>
      <c r="WO132" s="111"/>
      <c r="WP132" s="111"/>
      <c r="WQ132" s="111"/>
      <c r="WR132" s="111"/>
      <c r="WS132" s="111"/>
      <c r="WT132" s="111"/>
      <c r="WU132" s="111"/>
      <c r="WV132" s="111"/>
      <c r="WW132" s="111"/>
      <c r="WX132" s="111"/>
      <c r="WY132" s="111"/>
      <c r="WZ132" s="111"/>
      <c r="XA132" s="111"/>
      <c r="XB132" s="111"/>
      <c r="XC132" s="111"/>
      <c r="XD132" s="111"/>
      <c r="XE132" s="111"/>
      <c r="XF132" s="111"/>
      <c r="XG132" s="111"/>
      <c r="XH132" s="111"/>
      <c r="XI132" s="111"/>
      <c r="XJ132" s="111"/>
      <c r="XK132" s="111"/>
      <c r="XL132" s="111"/>
      <c r="XM132" s="111"/>
      <c r="XN132" s="111"/>
      <c r="XO132" s="111"/>
      <c r="XP132" s="111"/>
      <c r="XQ132" s="111"/>
      <c r="XR132" s="111"/>
      <c r="XS132" s="111"/>
      <c r="XT132" s="111"/>
      <c r="XU132" s="111"/>
      <c r="XV132" s="111"/>
      <c r="XW132" s="111"/>
      <c r="XX132" s="111"/>
      <c r="XY132" s="111"/>
      <c r="XZ132" s="111"/>
      <c r="YA132" s="111"/>
      <c r="YB132" s="111"/>
      <c r="YC132" s="111"/>
      <c r="YD132" s="111"/>
      <c r="YE132" s="111"/>
      <c r="YF132" s="111"/>
      <c r="YG132" s="111"/>
      <c r="YH132" s="111"/>
      <c r="YI132" s="111"/>
      <c r="YJ132" s="111"/>
      <c r="YK132" s="111"/>
      <c r="YL132" s="111"/>
      <c r="YM132" s="111"/>
      <c r="YN132" s="111"/>
      <c r="YO132" s="111"/>
      <c r="YP132" s="111"/>
      <c r="YQ132" s="111"/>
      <c r="YR132" s="111"/>
      <c r="YS132" s="111"/>
      <c r="YT132" s="111"/>
      <c r="YU132" s="111"/>
      <c r="YV132" s="111"/>
      <c r="YW132" s="111"/>
      <c r="YX132" s="111"/>
      <c r="YY132" s="111"/>
      <c r="YZ132" s="111"/>
      <c r="ZA132" s="111"/>
      <c r="ZB132" s="111"/>
      <c r="ZC132" s="111"/>
      <c r="ZD132" s="111"/>
      <c r="ZE132" s="111"/>
      <c r="ZF132" s="111"/>
      <c r="ZG132" s="111"/>
    </row>
    <row r="133" spans="1:683" s="113" customFormat="1" ht="23.1" customHeight="1" thickBot="1" x14ac:dyDescent="0.3">
      <c r="A133" s="106">
        <v>11</v>
      </c>
      <c r="B133" s="84" t="s">
        <v>74</v>
      </c>
      <c r="C133" s="83" t="s">
        <v>143</v>
      </c>
      <c r="D133" s="118" t="s">
        <v>604</v>
      </c>
      <c r="E133" s="84" t="s">
        <v>21</v>
      </c>
      <c r="F133" s="84" t="s">
        <v>256</v>
      </c>
      <c r="G133" s="129">
        <v>45754</v>
      </c>
      <c r="H133" s="85">
        <f t="shared" si="13"/>
        <v>46119</v>
      </c>
      <c r="I133" s="137" t="s">
        <v>451</v>
      </c>
      <c r="J133" s="34">
        <v>15</v>
      </c>
      <c r="K133" s="14">
        <v>46023</v>
      </c>
      <c r="L133" s="14">
        <f t="shared" si="14"/>
        <v>46037</v>
      </c>
      <c r="M133" s="34">
        <v>15</v>
      </c>
      <c r="N133" s="14">
        <v>46373</v>
      </c>
      <c r="O133" s="181">
        <f t="shared" si="15"/>
        <v>46387</v>
      </c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  <c r="CE133" s="108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8"/>
      <c r="CS133" s="108"/>
      <c r="CT133" s="108"/>
      <c r="CU133" s="108"/>
      <c r="CV133" s="108"/>
      <c r="CW133" s="108"/>
      <c r="CX133" s="108"/>
      <c r="CY133" s="108"/>
      <c r="CZ133" s="108"/>
      <c r="DA133" s="108"/>
      <c r="DB133" s="108"/>
      <c r="DC133" s="108"/>
      <c r="DD133" s="108"/>
      <c r="DE133" s="108"/>
      <c r="DF133" s="108"/>
      <c r="DG133" s="108"/>
      <c r="DH133" s="111"/>
      <c r="DI133" s="111"/>
      <c r="DJ133" s="111"/>
      <c r="DK133" s="111"/>
      <c r="DL133" s="111"/>
      <c r="DM133" s="111"/>
      <c r="DN133" s="111"/>
      <c r="DO133" s="111"/>
      <c r="DP133" s="111"/>
      <c r="DQ133" s="111"/>
      <c r="DR133" s="111"/>
      <c r="DS133" s="111"/>
      <c r="DT133" s="111"/>
      <c r="DU133" s="111"/>
      <c r="DV133" s="111"/>
      <c r="DW133" s="111"/>
      <c r="DX133" s="111"/>
      <c r="DY133" s="111"/>
      <c r="DZ133" s="111"/>
      <c r="EA133" s="111"/>
      <c r="EB133" s="111"/>
      <c r="EC133" s="111"/>
      <c r="ED133" s="111"/>
      <c r="EE133" s="111"/>
      <c r="EF133" s="111"/>
      <c r="EG133" s="111"/>
      <c r="EH133" s="111"/>
      <c r="EI133" s="111"/>
      <c r="EJ133" s="111"/>
      <c r="EK133" s="111"/>
      <c r="EL133" s="111"/>
      <c r="EM133" s="111"/>
      <c r="EN133" s="111"/>
      <c r="EO133" s="111"/>
      <c r="EP133" s="111"/>
      <c r="EQ133" s="111"/>
      <c r="ER133" s="111"/>
      <c r="ES133" s="111"/>
      <c r="ET133" s="111"/>
      <c r="EU133" s="111"/>
      <c r="EV133" s="111"/>
      <c r="EW133" s="111"/>
      <c r="EX133" s="111"/>
      <c r="EY133" s="111"/>
      <c r="EZ133" s="111"/>
      <c r="FA133" s="111"/>
      <c r="FB133" s="111"/>
      <c r="FC133" s="111"/>
      <c r="FD133" s="111"/>
      <c r="FE133" s="111"/>
      <c r="FF133" s="111"/>
      <c r="FG133" s="111"/>
      <c r="FH133" s="111"/>
      <c r="FI133" s="111"/>
      <c r="FJ133" s="111"/>
      <c r="FK133" s="111"/>
      <c r="FL133" s="111"/>
      <c r="FM133" s="111"/>
      <c r="FN133" s="111"/>
      <c r="FO133" s="111"/>
      <c r="FP133" s="111"/>
      <c r="FQ133" s="111"/>
      <c r="FR133" s="111"/>
      <c r="FS133" s="111"/>
      <c r="FT133" s="111"/>
      <c r="FU133" s="111"/>
      <c r="FV133" s="111"/>
      <c r="FW133" s="111"/>
      <c r="FX133" s="111"/>
      <c r="FY133" s="111"/>
      <c r="FZ133" s="111"/>
      <c r="GA133" s="111"/>
      <c r="GB133" s="111"/>
      <c r="GC133" s="111"/>
      <c r="GD133" s="111"/>
      <c r="GE133" s="111"/>
      <c r="GF133" s="111"/>
      <c r="GG133" s="111"/>
      <c r="GH133" s="111"/>
      <c r="GI133" s="111"/>
      <c r="GJ133" s="111"/>
      <c r="GK133" s="111"/>
      <c r="GL133" s="111"/>
      <c r="GM133" s="111"/>
      <c r="GN133" s="111"/>
      <c r="GO133" s="111"/>
      <c r="GP133" s="111"/>
      <c r="GQ133" s="111"/>
      <c r="GR133" s="111"/>
      <c r="GS133" s="111"/>
      <c r="GT133" s="111"/>
      <c r="GU133" s="111"/>
      <c r="GV133" s="111"/>
      <c r="GW133" s="111"/>
      <c r="GX133" s="111"/>
      <c r="GY133" s="111"/>
      <c r="GZ133" s="111"/>
      <c r="HA133" s="111"/>
      <c r="HB133" s="111"/>
      <c r="HC133" s="111"/>
      <c r="HD133" s="111"/>
      <c r="HE133" s="111"/>
      <c r="HF133" s="111"/>
      <c r="HG133" s="111"/>
      <c r="HH133" s="111"/>
      <c r="HI133" s="111"/>
      <c r="HJ133" s="111"/>
      <c r="HK133" s="111"/>
      <c r="HL133" s="111"/>
      <c r="HM133" s="111"/>
      <c r="HN133" s="111"/>
      <c r="HO133" s="111"/>
      <c r="HP133" s="111"/>
      <c r="HQ133" s="111"/>
      <c r="HR133" s="111"/>
      <c r="HS133" s="111"/>
      <c r="HT133" s="111"/>
      <c r="HU133" s="111"/>
      <c r="HV133" s="111"/>
      <c r="HW133" s="111"/>
      <c r="HX133" s="111"/>
      <c r="HY133" s="111"/>
      <c r="HZ133" s="111"/>
      <c r="IA133" s="111"/>
      <c r="IB133" s="111"/>
      <c r="IC133" s="111"/>
      <c r="ID133" s="111"/>
      <c r="IE133" s="111"/>
      <c r="IF133" s="111"/>
      <c r="IG133" s="111"/>
      <c r="IH133" s="111"/>
      <c r="II133" s="111"/>
      <c r="IJ133" s="111"/>
      <c r="IK133" s="111"/>
      <c r="IL133" s="111"/>
      <c r="IM133" s="111"/>
      <c r="IN133" s="111"/>
      <c r="IO133" s="111"/>
      <c r="IP133" s="111"/>
      <c r="IQ133" s="111"/>
      <c r="IR133" s="111"/>
      <c r="IS133" s="111"/>
      <c r="IT133" s="111"/>
      <c r="IU133" s="111"/>
      <c r="IV133" s="111"/>
      <c r="IW133" s="111"/>
      <c r="IX133" s="111"/>
      <c r="IY133" s="111"/>
      <c r="IZ133" s="111"/>
      <c r="JA133" s="111"/>
      <c r="JB133" s="111"/>
      <c r="JC133" s="111"/>
      <c r="JD133" s="111"/>
      <c r="JE133" s="111"/>
      <c r="JF133" s="111"/>
      <c r="JG133" s="111"/>
      <c r="JH133" s="111"/>
      <c r="JI133" s="111"/>
      <c r="JJ133" s="111"/>
      <c r="JK133" s="111"/>
      <c r="JL133" s="111"/>
      <c r="JM133" s="111"/>
      <c r="JN133" s="111"/>
      <c r="JO133" s="111"/>
      <c r="JP133" s="111"/>
      <c r="JQ133" s="111"/>
      <c r="JR133" s="111"/>
      <c r="JS133" s="111"/>
      <c r="JT133" s="111"/>
      <c r="JU133" s="111"/>
      <c r="JV133" s="111"/>
      <c r="JW133" s="111"/>
      <c r="JX133" s="111"/>
      <c r="JY133" s="111"/>
      <c r="JZ133" s="111"/>
      <c r="KA133" s="111"/>
      <c r="KB133" s="111"/>
      <c r="KC133" s="111"/>
      <c r="KD133" s="111"/>
      <c r="KE133" s="111"/>
      <c r="KF133" s="111"/>
      <c r="KG133" s="111"/>
      <c r="KH133" s="111"/>
      <c r="KI133" s="111"/>
      <c r="KJ133" s="111"/>
      <c r="KK133" s="111"/>
      <c r="KL133" s="111"/>
      <c r="KM133" s="111"/>
      <c r="KN133" s="111"/>
      <c r="KO133" s="111"/>
      <c r="KP133" s="111"/>
      <c r="KQ133" s="111"/>
      <c r="KR133" s="111"/>
      <c r="KS133" s="111"/>
      <c r="KT133" s="111"/>
      <c r="KU133" s="111"/>
      <c r="KV133" s="111"/>
      <c r="KW133" s="111"/>
      <c r="KX133" s="111"/>
      <c r="KY133" s="111"/>
      <c r="KZ133" s="111"/>
      <c r="LA133" s="111"/>
      <c r="LB133" s="111"/>
      <c r="LC133" s="111"/>
      <c r="LD133" s="111"/>
      <c r="LE133" s="111"/>
      <c r="LF133" s="111"/>
      <c r="LG133" s="111"/>
      <c r="LH133" s="111"/>
      <c r="LI133" s="111"/>
      <c r="LJ133" s="111"/>
      <c r="LK133" s="111"/>
      <c r="LL133" s="111"/>
      <c r="LM133" s="111"/>
      <c r="LN133" s="111"/>
      <c r="LO133" s="111"/>
      <c r="LP133" s="111"/>
      <c r="LQ133" s="111"/>
      <c r="LR133" s="111"/>
      <c r="LS133" s="111"/>
      <c r="LT133" s="111"/>
      <c r="LU133" s="111"/>
      <c r="LV133" s="111"/>
      <c r="LW133" s="111"/>
      <c r="LX133" s="111"/>
      <c r="LY133" s="111"/>
      <c r="LZ133" s="111"/>
      <c r="MA133" s="111"/>
      <c r="MB133" s="111"/>
      <c r="MC133" s="111"/>
      <c r="MD133" s="111"/>
      <c r="ME133" s="111"/>
      <c r="MF133" s="111"/>
      <c r="MG133" s="111"/>
      <c r="MH133" s="111"/>
      <c r="MI133" s="111"/>
      <c r="MJ133" s="111"/>
      <c r="MK133" s="111"/>
      <c r="ML133" s="111"/>
      <c r="MM133" s="111"/>
      <c r="MN133" s="111"/>
      <c r="MO133" s="111"/>
      <c r="MP133" s="111"/>
      <c r="MQ133" s="111"/>
      <c r="MR133" s="111"/>
      <c r="MS133" s="111"/>
      <c r="MT133" s="111"/>
      <c r="MU133" s="111"/>
      <c r="MV133" s="111"/>
      <c r="MW133" s="111"/>
      <c r="MX133" s="111"/>
      <c r="MY133" s="111"/>
      <c r="MZ133" s="111"/>
      <c r="NA133" s="111"/>
      <c r="NB133" s="111"/>
      <c r="NC133" s="111"/>
      <c r="ND133" s="111"/>
      <c r="NE133" s="111"/>
      <c r="NF133" s="111"/>
      <c r="NG133" s="111"/>
      <c r="NH133" s="111"/>
      <c r="NI133" s="111"/>
      <c r="NJ133" s="111"/>
      <c r="NK133" s="111"/>
      <c r="NL133" s="111"/>
      <c r="NM133" s="111"/>
      <c r="NN133" s="111"/>
      <c r="NO133" s="111"/>
      <c r="NP133" s="111"/>
      <c r="NQ133" s="111"/>
      <c r="NR133" s="111"/>
      <c r="NS133" s="111"/>
      <c r="NT133" s="111"/>
      <c r="NU133" s="111"/>
      <c r="NV133" s="111"/>
      <c r="NW133" s="111"/>
      <c r="NX133" s="111"/>
      <c r="NY133" s="111"/>
      <c r="NZ133" s="111"/>
      <c r="OA133" s="111"/>
      <c r="OB133" s="111"/>
      <c r="OC133" s="111"/>
      <c r="OD133" s="111"/>
      <c r="OE133" s="111"/>
      <c r="OF133" s="111"/>
      <c r="OG133" s="111"/>
      <c r="OH133" s="111"/>
      <c r="OI133" s="111"/>
      <c r="OJ133" s="111"/>
      <c r="OK133" s="111"/>
      <c r="OL133" s="111"/>
      <c r="OM133" s="111"/>
      <c r="ON133" s="111"/>
      <c r="OO133" s="111"/>
      <c r="OP133" s="111"/>
      <c r="OQ133" s="111"/>
      <c r="OR133" s="111"/>
      <c r="OS133" s="111"/>
      <c r="OT133" s="111"/>
      <c r="OU133" s="111"/>
      <c r="OV133" s="111"/>
      <c r="OW133" s="111"/>
      <c r="OX133" s="111"/>
      <c r="OY133" s="111"/>
      <c r="OZ133" s="111"/>
      <c r="PA133" s="111"/>
      <c r="PB133" s="111"/>
      <c r="PC133" s="111"/>
      <c r="PD133" s="111"/>
      <c r="PE133" s="111"/>
      <c r="PF133" s="111"/>
      <c r="PG133" s="111"/>
      <c r="PH133" s="111"/>
      <c r="PI133" s="111"/>
      <c r="PJ133" s="111"/>
      <c r="PK133" s="111"/>
      <c r="PL133" s="111"/>
      <c r="PM133" s="111"/>
      <c r="PN133" s="111"/>
      <c r="PO133" s="111"/>
      <c r="PP133" s="111"/>
      <c r="PQ133" s="111"/>
      <c r="PR133" s="111"/>
      <c r="PS133" s="111"/>
      <c r="PT133" s="111"/>
      <c r="PU133" s="111"/>
      <c r="PV133" s="111"/>
      <c r="PW133" s="111"/>
      <c r="PX133" s="111"/>
      <c r="PY133" s="111"/>
      <c r="PZ133" s="111"/>
      <c r="QA133" s="111"/>
      <c r="QB133" s="111"/>
      <c r="QC133" s="111"/>
      <c r="QD133" s="111"/>
      <c r="QE133" s="111"/>
      <c r="QF133" s="111"/>
      <c r="QG133" s="111"/>
      <c r="QH133" s="111"/>
      <c r="QI133" s="111"/>
      <c r="QJ133" s="111"/>
      <c r="QK133" s="111"/>
      <c r="QL133" s="111"/>
      <c r="QM133" s="111"/>
      <c r="QN133" s="111"/>
      <c r="QO133" s="111"/>
      <c r="QP133" s="111"/>
      <c r="QQ133" s="111"/>
      <c r="QR133" s="111"/>
      <c r="QS133" s="111"/>
      <c r="QT133" s="111"/>
      <c r="QU133" s="111"/>
      <c r="QV133" s="111"/>
      <c r="QW133" s="111"/>
      <c r="QX133" s="111"/>
      <c r="QY133" s="111"/>
      <c r="QZ133" s="111"/>
      <c r="RA133" s="111"/>
      <c r="RB133" s="111"/>
      <c r="RC133" s="111"/>
      <c r="RD133" s="111"/>
      <c r="RE133" s="111"/>
      <c r="RF133" s="111"/>
      <c r="RG133" s="111"/>
      <c r="RH133" s="111"/>
      <c r="RI133" s="111"/>
      <c r="RJ133" s="111"/>
      <c r="RK133" s="111"/>
      <c r="RL133" s="111"/>
      <c r="RM133" s="111"/>
      <c r="RN133" s="111"/>
      <c r="RO133" s="111"/>
      <c r="RP133" s="111"/>
      <c r="RQ133" s="111"/>
      <c r="RR133" s="111"/>
      <c r="RS133" s="111"/>
      <c r="RT133" s="111"/>
      <c r="RU133" s="111"/>
      <c r="RV133" s="111"/>
      <c r="RW133" s="111"/>
      <c r="RX133" s="111"/>
      <c r="RY133" s="111"/>
      <c r="RZ133" s="111"/>
      <c r="SA133" s="111"/>
      <c r="SB133" s="111"/>
      <c r="SC133" s="111"/>
      <c r="SD133" s="111"/>
      <c r="SE133" s="111"/>
      <c r="SF133" s="111"/>
      <c r="SG133" s="111"/>
      <c r="SH133" s="111"/>
      <c r="SI133" s="111"/>
      <c r="SJ133" s="111"/>
      <c r="SK133" s="111"/>
      <c r="SL133" s="111"/>
      <c r="SM133" s="111"/>
      <c r="SN133" s="111"/>
      <c r="SO133" s="111"/>
      <c r="SP133" s="111"/>
      <c r="SQ133" s="111"/>
      <c r="SR133" s="111"/>
      <c r="SS133" s="111"/>
      <c r="ST133" s="111"/>
      <c r="SU133" s="111"/>
      <c r="SV133" s="111"/>
      <c r="SW133" s="111"/>
      <c r="SX133" s="111"/>
      <c r="SY133" s="111"/>
      <c r="SZ133" s="111"/>
      <c r="TA133" s="111"/>
      <c r="TB133" s="111"/>
      <c r="TC133" s="111"/>
      <c r="TD133" s="111"/>
      <c r="TE133" s="111"/>
      <c r="TF133" s="111"/>
      <c r="TG133" s="111"/>
      <c r="TH133" s="111"/>
      <c r="TI133" s="111"/>
      <c r="TJ133" s="111"/>
      <c r="TK133" s="111"/>
      <c r="TL133" s="111"/>
      <c r="TM133" s="111"/>
      <c r="TN133" s="111"/>
      <c r="TO133" s="111"/>
      <c r="TP133" s="111"/>
      <c r="TQ133" s="111"/>
      <c r="TR133" s="111"/>
      <c r="TS133" s="111"/>
      <c r="TT133" s="111"/>
      <c r="TU133" s="111"/>
      <c r="TV133" s="111"/>
      <c r="TW133" s="111"/>
      <c r="TX133" s="111"/>
      <c r="TY133" s="111"/>
      <c r="TZ133" s="111"/>
      <c r="UA133" s="111"/>
      <c r="UB133" s="111"/>
      <c r="UC133" s="111"/>
      <c r="UD133" s="111"/>
      <c r="UE133" s="111"/>
      <c r="UF133" s="111"/>
      <c r="UG133" s="111"/>
      <c r="UH133" s="111"/>
      <c r="UI133" s="111"/>
      <c r="UJ133" s="111"/>
      <c r="UK133" s="111"/>
      <c r="UL133" s="111"/>
      <c r="UM133" s="111"/>
      <c r="UN133" s="111"/>
      <c r="UO133" s="111"/>
      <c r="UP133" s="111"/>
      <c r="UQ133" s="111"/>
      <c r="UR133" s="111"/>
      <c r="US133" s="111"/>
      <c r="UT133" s="111"/>
      <c r="UU133" s="111"/>
      <c r="UV133" s="111"/>
      <c r="UW133" s="111"/>
      <c r="UX133" s="111"/>
      <c r="UY133" s="111"/>
      <c r="UZ133" s="111"/>
      <c r="VA133" s="111"/>
      <c r="VB133" s="111"/>
      <c r="VC133" s="111"/>
      <c r="VD133" s="111"/>
      <c r="VE133" s="111"/>
      <c r="VF133" s="111"/>
      <c r="VG133" s="111"/>
      <c r="VH133" s="111"/>
      <c r="VI133" s="111"/>
      <c r="VJ133" s="111"/>
      <c r="VK133" s="111"/>
      <c r="VL133" s="111"/>
      <c r="VM133" s="111"/>
      <c r="VN133" s="111"/>
      <c r="VO133" s="111"/>
      <c r="VP133" s="111"/>
      <c r="VQ133" s="111"/>
      <c r="VR133" s="111"/>
      <c r="VS133" s="111"/>
      <c r="VT133" s="111"/>
      <c r="VU133" s="111"/>
      <c r="VV133" s="111"/>
      <c r="VW133" s="111"/>
      <c r="VX133" s="111"/>
      <c r="VY133" s="111"/>
      <c r="VZ133" s="111"/>
      <c r="WA133" s="111"/>
      <c r="WB133" s="111"/>
      <c r="WC133" s="111"/>
      <c r="WD133" s="111"/>
      <c r="WE133" s="111"/>
      <c r="WF133" s="111"/>
      <c r="WG133" s="111"/>
      <c r="WH133" s="111"/>
      <c r="WI133" s="111"/>
      <c r="WJ133" s="111"/>
      <c r="WK133" s="111"/>
      <c r="WL133" s="111"/>
      <c r="WM133" s="111"/>
      <c r="WN133" s="111"/>
      <c r="WO133" s="111"/>
      <c r="WP133" s="111"/>
      <c r="WQ133" s="111"/>
      <c r="WR133" s="111"/>
      <c r="WS133" s="111"/>
      <c r="WT133" s="111"/>
      <c r="WU133" s="111"/>
      <c r="WV133" s="111"/>
      <c r="WW133" s="111"/>
      <c r="WX133" s="111"/>
      <c r="WY133" s="111"/>
      <c r="WZ133" s="111"/>
      <c r="XA133" s="111"/>
      <c r="XB133" s="111"/>
      <c r="XC133" s="111"/>
      <c r="XD133" s="111"/>
      <c r="XE133" s="111"/>
      <c r="XF133" s="111"/>
      <c r="XG133" s="111"/>
      <c r="XH133" s="111"/>
      <c r="XI133" s="111"/>
      <c r="XJ133" s="111"/>
      <c r="XK133" s="111"/>
      <c r="XL133" s="111"/>
      <c r="XM133" s="111"/>
      <c r="XN133" s="111"/>
      <c r="XO133" s="111"/>
      <c r="XP133" s="111"/>
      <c r="XQ133" s="111"/>
      <c r="XR133" s="111"/>
      <c r="XS133" s="111"/>
      <c r="XT133" s="111"/>
      <c r="XU133" s="111"/>
      <c r="XV133" s="111"/>
      <c r="XW133" s="111"/>
      <c r="XX133" s="111"/>
      <c r="XY133" s="111"/>
      <c r="XZ133" s="111"/>
      <c r="YA133" s="111"/>
      <c r="YB133" s="111"/>
      <c r="YC133" s="111"/>
      <c r="YD133" s="111"/>
      <c r="YE133" s="111"/>
      <c r="YF133" s="111"/>
      <c r="YG133" s="111"/>
      <c r="YH133" s="111"/>
      <c r="YI133" s="111"/>
      <c r="YJ133" s="111"/>
      <c r="YK133" s="111"/>
      <c r="YL133" s="111"/>
      <c r="YM133" s="111"/>
      <c r="YN133" s="111"/>
      <c r="YO133" s="111"/>
      <c r="YP133" s="111"/>
      <c r="YQ133" s="111"/>
      <c r="YR133" s="111"/>
      <c r="YS133" s="111"/>
      <c r="YT133" s="111"/>
      <c r="YU133" s="111"/>
      <c r="YV133" s="111"/>
      <c r="YW133" s="111"/>
      <c r="YX133" s="111"/>
      <c r="YY133" s="111"/>
      <c r="YZ133" s="111"/>
      <c r="ZA133" s="111"/>
      <c r="ZB133" s="111"/>
      <c r="ZC133" s="111"/>
      <c r="ZD133" s="111"/>
      <c r="ZE133" s="111"/>
      <c r="ZF133" s="111"/>
      <c r="ZG133" s="111"/>
    </row>
    <row r="134" spans="1:683" s="131" customFormat="1" ht="23.1" customHeight="1" thickBot="1" x14ac:dyDescent="0.3">
      <c r="A134" s="106">
        <v>12</v>
      </c>
      <c r="B134" s="84" t="s">
        <v>74</v>
      </c>
      <c r="C134" s="94" t="s">
        <v>139</v>
      </c>
      <c r="D134" s="94" t="s">
        <v>605</v>
      </c>
      <c r="E134" s="83" t="s">
        <v>21</v>
      </c>
      <c r="F134" s="84" t="s">
        <v>458</v>
      </c>
      <c r="G134" s="110">
        <v>45845</v>
      </c>
      <c r="H134" s="85">
        <f t="shared" si="13"/>
        <v>46210</v>
      </c>
      <c r="I134" s="148" t="s">
        <v>449</v>
      </c>
      <c r="J134" s="34">
        <v>30</v>
      </c>
      <c r="K134" s="51">
        <v>46342</v>
      </c>
      <c r="L134" s="14">
        <f t="shared" si="14"/>
        <v>46371</v>
      </c>
      <c r="M134" s="34"/>
      <c r="N134" s="14"/>
      <c r="O134" s="181">
        <f t="shared" si="15"/>
        <v>-1</v>
      </c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130"/>
    </row>
    <row r="135" spans="1:683" s="109" customFormat="1" ht="23.1" customHeight="1" thickBot="1" x14ac:dyDescent="0.3">
      <c r="A135" s="106">
        <v>13</v>
      </c>
      <c r="B135" s="84" t="s">
        <v>147</v>
      </c>
      <c r="C135" s="83" t="s">
        <v>323</v>
      </c>
      <c r="D135" s="83" t="s">
        <v>606</v>
      </c>
      <c r="E135" s="83" t="s">
        <v>21</v>
      </c>
      <c r="F135" s="84" t="s">
        <v>457</v>
      </c>
      <c r="G135" s="110">
        <v>45777</v>
      </c>
      <c r="H135" s="85">
        <f t="shared" si="13"/>
        <v>46142</v>
      </c>
      <c r="I135" s="146" t="s">
        <v>450</v>
      </c>
      <c r="J135" s="34">
        <v>15</v>
      </c>
      <c r="K135" s="14">
        <v>46038</v>
      </c>
      <c r="L135" s="14">
        <f t="shared" si="14"/>
        <v>46052</v>
      </c>
      <c r="M135" s="34">
        <v>15</v>
      </c>
      <c r="N135" s="14">
        <v>46118</v>
      </c>
      <c r="O135" s="181">
        <f t="shared" si="15"/>
        <v>46132</v>
      </c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</row>
    <row r="136" spans="1:683" s="128" customFormat="1" ht="23.1" customHeight="1" thickBot="1" x14ac:dyDescent="0.3">
      <c r="A136" s="106">
        <v>14</v>
      </c>
      <c r="B136" s="84" t="s">
        <v>147</v>
      </c>
      <c r="C136" s="83" t="s">
        <v>331</v>
      </c>
      <c r="D136" s="83" t="s">
        <v>607</v>
      </c>
      <c r="E136" s="83" t="s">
        <v>21</v>
      </c>
      <c r="F136" s="84" t="s">
        <v>458</v>
      </c>
      <c r="G136" s="110">
        <v>45888</v>
      </c>
      <c r="H136" s="85">
        <f t="shared" si="13"/>
        <v>46253</v>
      </c>
      <c r="I136" s="142" t="s">
        <v>453</v>
      </c>
      <c r="J136" s="34">
        <v>15</v>
      </c>
      <c r="K136" s="14">
        <v>46255</v>
      </c>
      <c r="L136" s="14">
        <f t="shared" si="14"/>
        <v>46269</v>
      </c>
      <c r="M136" s="34">
        <v>15</v>
      </c>
      <c r="N136" s="14">
        <v>46329</v>
      </c>
      <c r="O136" s="181">
        <f t="shared" si="15"/>
        <v>46343</v>
      </c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</row>
    <row r="137" spans="1:683" s="128" customFormat="1" ht="23.1" customHeight="1" thickBot="1" x14ac:dyDescent="0.3">
      <c r="A137" s="106">
        <v>15</v>
      </c>
      <c r="B137" s="89" t="s">
        <v>147</v>
      </c>
      <c r="C137" s="87" t="s">
        <v>397</v>
      </c>
      <c r="D137" s="126" t="s">
        <v>608</v>
      </c>
      <c r="E137" s="87" t="s">
        <v>21</v>
      </c>
      <c r="F137" s="89" t="s">
        <v>256</v>
      </c>
      <c r="G137" s="112">
        <v>45833</v>
      </c>
      <c r="H137" s="88">
        <f t="shared" si="13"/>
        <v>46198</v>
      </c>
      <c r="I137" s="143" t="s">
        <v>447</v>
      </c>
      <c r="J137" s="102">
        <v>30</v>
      </c>
      <c r="K137" s="103">
        <v>46195</v>
      </c>
      <c r="L137" s="103">
        <f t="shared" si="14"/>
        <v>46224</v>
      </c>
      <c r="M137" s="102"/>
      <c r="N137" s="103"/>
      <c r="O137" s="182">
        <f t="shared" si="15"/>
        <v>-1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</row>
    <row r="138" spans="1:683" s="93" customFormat="1" ht="23.1" customHeight="1" x14ac:dyDescent="0.25"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</row>
    <row r="139" spans="1:683" s="93" customFormat="1" ht="23.1" customHeight="1" x14ac:dyDescent="0.25"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</row>
    <row r="140" spans="1:683" s="93" customFormat="1" ht="23.1" customHeight="1" x14ac:dyDescent="0.25"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</row>
    <row r="141" spans="1:683" s="93" customFormat="1" ht="23.1" customHeight="1" x14ac:dyDescent="0.25"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</row>
    <row r="142" spans="1:683" s="93" customFormat="1" ht="23.1" customHeight="1" x14ac:dyDescent="0.25"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</row>
    <row r="143" spans="1:683" s="93" customFormat="1" ht="23.1" customHeight="1" x14ac:dyDescent="0.25"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</row>
    <row r="144" spans="1:683" s="93" customFormat="1" ht="23.1" customHeight="1" x14ac:dyDescent="0.25"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</row>
    <row r="145" spans="4:61" s="93" customFormat="1" ht="23.1" customHeight="1" x14ac:dyDescent="0.25"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</row>
    <row r="146" spans="4:61" s="93" customFormat="1" ht="23.1" customHeight="1" x14ac:dyDescent="0.25"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</row>
    <row r="147" spans="4:61" s="93" customFormat="1" ht="23.1" customHeight="1" x14ac:dyDescent="0.25">
      <c r="D147" s="132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</row>
    <row r="148" spans="4:61" s="93" customFormat="1" ht="23.1" customHeight="1" x14ac:dyDescent="0.25">
      <c r="D148" s="132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</row>
    <row r="149" spans="4:61" s="93" customFormat="1" ht="23.1" customHeight="1" x14ac:dyDescent="0.25"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</row>
    <row r="150" spans="4:61" s="93" customFormat="1" ht="23.1" customHeight="1" x14ac:dyDescent="0.25"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</row>
    <row r="151" spans="4:61" s="93" customFormat="1" ht="23.1" customHeight="1" x14ac:dyDescent="0.25"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</row>
    <row r="152" spans="4:61" s="93" customFormat="1" ht="23.1" customHeight="1" x14ac:dyDescent="0.25"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</row>
    <row r="153" spans="4:61" s="93" customFormat="1" ht="23.1" customHeight="1" x14ac:dyDescent="0.25"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</row>
    <row r="154" spans="4:61" s="93" customFormat="1" ht="23.1" customHeight="1" x14ac:dyDescent="0.25"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</row>
    <row r="155" spans="4:61" s="93" customFormat="1" ht="23.1" customHeight="1" x14ac:dyDescent="0.25"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</row>
    <row r="156" spans="4:61" s="93" customFormat="1" ht="23.1" customHeight="1" x14ac:dyDescent="0.25"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</row>
    <row r="157" spans="4:61" s="93" customFormat="1" ht="23.1" customHeight="1" x14ac:dyDescent="0.25"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</row>
    <row r="158" spans="4:61" s="93" customFormat="1" ht="23.1" customHeight="1" x14ac:dyDescent="0.25"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</row>
    <row r="159" spans="4:61" s="93" customFormat="1" ht="23.1" customHeight="1" x14ac:dyDescent="0.25"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</row>
    <row r="160" spans="4:61" s="93" customFormat="1" ht="23.1" customHeight="1" x14ac:dyDescent="0.25"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</row>
    <row r="161" spans="8:61" s="93" customFormat="1" ht="23.1" customHeight="1" x14ac:dyDescent="0.25"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</row>
    <row r="162" spans="8:61" s="93" customFormat="1" ht="23.1" customHeight="1" x14ac:dyDescent="0.25"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</row>
    <row r="163" spans="8:61" s="93" customFormat="1" ht="23.1" customHeight="1" x14ac:dyDescent="0.25"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</row>
    <row r="164" spans="8:61" s="93" customFormat="1" ht="23.1" customHeight="1" x14ac:dyDescent="0.25"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</row>
    <row r="165" spans="8:61" s="93" customFormat="1" ht="23.1" customHeight="1" x14ac:dyDescent="0.25"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</row>
    <row r="166" spans="8:61" s="93" customFormat="1" ht="23.1" customHeight="1" x14ac:dyDescent="0.25"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</row>
    <row r="167" spans="8:61" s="93" customFormat="1" ht="23.1" customHeight="1" x14ac:dyDescent="0.25"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</row>
    <row r="168" spans="8:61" s="93" customFormat="1" ht="23.1" customHeight="1" x14ac:dyDescent="0.25"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</row>
    <row r="169" spans="8:61" s="93" customFormat="1" ht="23.1" customHeight="1" x14ac:dyDescent="0.25"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</row>
    <row r="170" spans="8:61" s="93" customFormat="1" ht="23.1" customHeight="1" x14ac:dyDescent="0.25"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</row>
    <row r="171" spans="8:61" s="93" customFormat="1" ht="23.1" customHeight="1" x14ac:dyDescent="0.25"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</row>
    <row r="172" spans="8:61" s="93" customFormat="1" ht="23.1" customHeight="1" x14ac:dyDescent="0.25"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</row>
    <row r="173" spans="8:61" s="93" customFormat="1" ht="23.1" customHeight="1" x14ac:dyDescent="0.25"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</row>
    <row r="174" spans="8:61" s="93" customFormat="1" ht="23.1" customHeight="1" x14ac:dyDescent="0.25"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</row>
    <row r="175" spans="8:61" s="93" customFormat="1" ht="23.1" customHeight="1" x14ac:dyDescent="0.25"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</row>
    <row r="176" spans="8:61" s="93" customFormat="1" ht="23.1" customHeight="1" x14ac:dyDescent="0.25"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</row>
    <row r="177" spans="8:61" s="93" customFormat="1" ht="23.1" customHeight="1" x14ac:dyDescent="0.25"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</row>
    <row r="178" spans="8:61" s="93" customFormat="1" ht="23.1" customHeight="1" x14ac:dyDescent="0.25"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</row>
    <row r="179" spans="8:61" s="93" customFormat="1" ht="23.1" customHeight="1" x14ac:dyDescent="0.25"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</row>
    <row r="180" spans="8:61" s="93" customFormat="1" ht="23.1" customHeight="1" x14ac:dyDescent="0.25"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</row>
    <row r="181" spans="8:61" s="93" customFormat="1" ht="23.1" customHeight="1" x14ac:dyDescent="0.25"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</row>
    <row r="182" spans="8:61" s="93" customFormat="1" ht="23.1" customHeight="1" x14ac:dyDescent="0.25"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</row>
    <row r="183" spans="8:61" s="93" customFormat="1" ht="23.1" customHeight="1" x14ac:dyDescent="0.25"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</row>
    <row r="184" spans="8:61" s="93" customFormat="1" ht="23.1" customHeight="1" x14ac:dyDescent="0.25"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</row>
    <row r="185" spans="8:61" s="93" customFormat="1" ht="23.1" customHeight="1" x14ac:dyDescent="0.25"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</row>
    <row r="186" spans="8:61" s="93" customFormat="1" ht="23.1" customHeight="1" x14ac:dyDescent="0.25"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</row>
    <row r="187" spans="8:61" s="93" customFormat="1" ht="23.1" customHeight="1" x14ac:dyDescent="0.25"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</row>
    <row r="188" spans="8:61" s="93" customFormat="1" ht="23.1" customHeight="1" x14ac:dyDescent="0.25"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</row>
    <row r="189" spans="8:61" s="93" customFormat="1" ht="23.1" customHeight="1" x14ac:dyDescent="0.25"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</row>
    <row r="190" spans="8:61" s="93" customFormat="1" ht="23.1" customHeight="1" x14ac:dyDescent="0.25"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</row>
    <row r="191" spans="8:61" s="93" customFormat="1" ht="23.1" customHeight="1" x14ac:dyDescent="0.25"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</row>
    <row r="192" spans="8:61" s="93" customFormat="1" ht="23.1" customHeight="1" x14ac:dyDescent="0.25"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</row>
    <row r="193" spans="8:61" s="93" customFormat="1" ht="23.1" customHeight="1" x14ac:dyDescent="0.25"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</row>
    <row r="194" spans="8:61" s="93" customFormat="1" ht="23.1" customHeight="1" x14ac:dyDescent="0.25"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</row>
    <row r="195" spans="8:61" s="93" customFormat="1" ht="23.1" customHeight="1" x14ac:dyDescent="0.25"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</row>
    <row r="196" spans="8:61" s="93" customFormat="1" ht="23.1" customHeight="1" x14ac:dyDescent="0.25"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</row>
    <row r="197" spans="8:61" s="93" customFormat="1" ht="23.1" customHeight="1" x14ac:dyDescent="0.25"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</row>
    <row r="198" spans="8:61" s="93" customFormat="1" ht="23.1" customHeight="1" x14ac:dyDescent="0.25"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</row>
    <row r="199" spans="8:61" s="93" customFormat="1" ht="23.1" customHeight="1" x14ac:dyDescent="0.25"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</row>
    <row r="200" spans="8:61" s="93" customFormat="1" ht="23.1" customHeight="1" x14ac:dyDescent="0.25"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</row>
    <row r="201" spans="8:61" s="93" customFormat="1" ht="23.1" customHeight="1" x14ac:dyDescent="0.25"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</row>
    <row r="202" spans="8:61" s="93" customFormat="1" ht="23.1" customHeight="1" x14ac:dyDescent="0.25"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</row>
    <row r="203" spans="8:61" s="93" customFormat="1" ht="23.1" customHeight="1" x14ac:dyDescent="0.25"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</row>
    <row r="204" spans="8:61" s="93" customFormat="1" ht="23.1" customHeight="1" x14ac:dyDescent="0.25"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</row>
    <row r="205" spans="8:61" s="93" customFormat="1" ht="23.1" customHeight="1" x14ac:dyDescent="0.25"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</row>
    <row r="206" spans="8:61" s="93" customFormat="1" ht="23.1" customHeight="1" x14ac:dyDescent="0.25"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</row>
    <row r="207" spans="8:61" s="93" customFormat="1" ht="23.1" customHeight="1" x14ac:dyDescent="0.25"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</row>
    <row r="208" spans="8:61" s="93" customFormat="1" ht="23.1" customHeight="1" x14ac:dyDescent="0.25"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</row>
    <row r="209" spans="8:61" s="93" customFormat="1" ht="23.1" customHeight="1" x14ac:dyDescent="0.25"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</row>
    <row r="210" spans="8:61" s="93" customFormat="1" ht="23.1" customHeight="1" x14ac:dyDescent="0.25"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</row>
    <row r="211" spans="8:61" s="93" customFormat="1" ht="23.1" customHeight="1" x14ac:dyDescent="0.25"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</row>
    <row r="212" spans="8:61" s="93" customFormat="1" ht="23.1" customHeight="1" x14ac:dyDescent="0.25"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</row>
    <row r="213" spans="8:61" s="93" customFormat="1" ht="23.1" customHeight="1" x14ac:dyDescent="0.25"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</row>
    <row r="214" spans="8:61" s="93" customFormat="1" ht="23.1" customHeight="1" x14ac:dyDescent="0.25"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</row>
    <row r="215" spans="8:61" s="93" customFormat="1" ht="23.1" customHeight="1" x14ac:dyDescent="0.25"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</row>
    <row r="216" spans="8:61" s="93" customFormat="1" ht="23.1" customHeight="1" x14ac:dyDescent="0.25"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</row>
    <row r="217" spans="8:61" s="93" customFormat="1" ht="23.1" customHeight="1" x14ac:dyDescent="0.25"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</row>
    <row r="218" spans="8:61" s="93" customFormat="1" ht="23.1" customHeight="1" x14ac:dyDescent="0.25"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</row>
    <row r="219" spans="8:61" s="93" customFormat="1" ht="23.1" customHeight="1" x14ac:dyDescent="0.25"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</row>
    <row r="220" spans="8:61" s="93" customFormat="1" ht="23.1" customHeight="1" x14ac:dyDescent="0.25"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</row>
    <row r="221" spans="8:61" s="93" customFormat="1" ht="23.1" customHeight="1" x14ac:dyDescent="0.25"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</row>
    <row r="222" spans="8:61" s="93" customFormat="1" ht="23.1" customHeight="1" x14ac:dyDescent="0.25"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</row>
    <row r="223" spans="8:61" s="93" customFormat="1" ht="23.1" customHeight="1" x14ac:dyDescent="0.25"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</row>
    <row r="224" spans="8:61" s="93" customFormat="1" ht="23.1" customHeight="1" x14ac:dyDescent="0.25"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</row>
    <row r="225" spans="8:61" s="93" customFormat="1" ht="23.1" customHeight="1" x14ac:dyDescent="0.25"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</row>
    <row r="226" spans="8:61" s="93" customFormat="1" ht="23.1" customHeight="1" x14ac:dyDescent="0.25"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</row>
    <row r="227" spans="8:61" s="93" customFormat="1" ht="23.1" customHeight="1" x14ac:dyDescent="0.25"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</row>
    <row r="228" spans="8:61" s="93" customFormat="1" ht="23.1" customHeight="1" x14ac:dyDescent="0.25"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</row>
    <row r="229" spans="8:61" s="93" customFormat="1" ht="23.1" customHeight="1" x14ac:dyDescent="0.25"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</row>
    <row r="230" spans="8:61" s="93" customFormat="1" ht="23.1" customHeight="1" x14ac:dyDescent="0.25"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</row>
    <row r="231" spans="8:61" s="93" customFormat="1" ht="23.1" customHeight="1" x14ac:dyDescent="0.25"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</row>
    <row r="232" spans="8:61" s="93" customFormat="1" ht="23.1" customHeight="1" x14ac:dyDescent="0.25"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</row>
    <row r="233" spans="8:61" s="93" customFormat="1" ht="23.1" customHeight="1" x14ac:dyDescent="0.25"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</row>
    <row r="234" spans="8:61" s="93" customFormat="1" ht="23.1" customHeight="1" x14ac:dyDescent="0.25"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</row>
    <row r="235" spans="8:61" s="93" customFormat="1" ht="23.1" customHeight="1" x14ac:dyDescent="0.25"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</row>
    <row r="236" spans="8:61" s="93" customFormat="1" ht="23.1" customHeight="1" x14ac:dyDescent="0.25"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</row>
    <row r="237" spans="8:61" s="93" customFormat="1" ht="23.1" customHeight="1" x14ac:dyDescent="0.25"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</row>
    <row r="238" spans="8:61" s="93" customFormat="1" ht="23.1" customHeight="1" x14ac:dyDescent="0.25"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</row>
    <row r="239" spans="8:61" s="93" customFormat="1" ht="23.1" customHeight="1" x14ac:dyDescent="0.25"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</row>
    <row r="240" spans="8:61" s="93" customFormat="1" ht="23.1" customHeight="1" x14ac:dyDescent="0.25"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</row>
    <row r="241" spans="8:61" s="93" customFormat="1" ht="23.1" customHeight="1" x14ac:dyDescent="0.25"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</row>
    <row r="242" spans="8:61" s="93" customFormat="1" ht="23.1" customHeight="1" x14ac:dyDescent="0.25"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</row>
    <row r="243" spans="8:61" s="93" customFormat="1" ht="23.1" customHeight="1" x14ac:dyDescent="0.25"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</row>
    <row r="244" spans="8:61" s="93" customFormat="1" ht="23.1" customHeight="1" x14ac:dyDescent="0.25"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</row>
    <row r="245" spans="8:61" s="93" customFormat="1" ht="23.1" customHeight="1" x14ac:dyDescent="0.25"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</row>
    <row r="246" spans="8:61" s="93" customFormat="1" ht="23.1" customHeight="1" x14ac:dyDescent="0.25"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</row>
    <row r="247" spans="8:61" s="93" customFormat="1" ht="23.1" customHeight="1" x14ac:dyDescent="0.25"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</row>
    <row r="248" spans="8:61" s="93" customFormat="1" ht="23.1" customHeight="1" x14ac:dyDescent="0.25"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</row>
    <row r="249" spans="8:61" s="93" customFormat="1" ht="23.1" customHeight="1" x14ac:dyDescent="0.25"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8"/>
    </row>
    <row r="250" spans="8:61" s="93" customFormat="1" ht="23.1" customHeight="1" x14ac:dyDescent="0.25"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8"/>
    </row>
    <row r="251" spans="8:61" s="93" customFormat="1" ht="23.1" customHeight="1" x14ac:dyDescent="0.25"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8"/>
    </row>
    <row r="252" spans="8:61" s="93" customFormat="1" ht="23.1" customHeight="1" x14ac:dyDescent="0.25"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8"/>
    </row>
    <row r="253" spans="8:61" s="93" customFormat="1" ht="23.1" customHeight="1" x14ac:dyDescent="0.25"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8"/>
    </row>
    <row r="254" spans="8:61" s="93" customFormat="1" ht="23.1" customHeight="1" x14ac:dyDescent="0.25"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</row>
    <row r="255" spans="8:61" s="93" customFormat="1" ht="23.1" customHeight="1" x14ac:dyDescent="0.25"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</row>
    <row r="256" spans="8:61" s="93" customFormat="1" ht="23.1" customHeight="1" x14ac:dyDescent="0.25"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</row>
    <row r="257" spans="8:61" s="93" customFormat="1" ht="23.1" customHeight="1" x14ac:dyDescent="0.25"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</row>
    <row r="258" spans="8:61" s="93" customFormat="1" ht="23.1" customHeight="1" x14ac:dyDescent="0.25"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</row>
    <row r="259" spans="8:61" s="93" customFormat="1" ht="23.1" customHeight="1" x14ac:dyDescent="0.25"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</row>
    <row r="260" spans="8:61" s="93" customFormat="1" ht="23.1" customHeight="1" x14ac:dyDescent="0.25"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  <c r="BA260" s="108"/>
      <c r="BB260" s="108"/>
      <c r="BC260" s="108"/>
      <c r="BD260" s="108"/>
      <c r="BE260" s="108"/>
      <c r="BF260" s="108"/>
      <c r="BG260" s="108"/>
      <c r="BH260" s="108"/>
      <c r="BI260" s="108"/>
    </row>
    <row r="261" spans="8:61" s="93" customFormat="1" ht="23.1" customHeight="1" x14ac:dyDescent="0.25"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  <c r="BA261" s="108"/>
      <c r="BB261" s="108"/>
      <c r="BC261" s="108"/>
      <c r="BD261" s="108"/>
      <c r="BE261" s="108"/>
      <c r="BF261" s="108"/>
      <c r="BG261" s="108"/>
      <c r="BH261" s="108"/>
      <c r="BI261" s="108"/>
    </row>
    <row r="262" spans="8:61" s="93" customFormat="1" ht="23.1" customHeight="1" x14ac:dyDescent="0.25"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  <c r="BA262" s="108"/>
      <c r="BB262" s="108"/>
      <c r="BC262" s="108"/>
      <c r="BD262" s="108"/>
      <c r="BE262" s="108"/>
      <c r="BF262" s="108"/>
      <c r="BG262" s="108"/>
      <c r="BH262" s="108"/>
      <c r="BI262" s="108"/>
    </row>
    <row r="263" spans="8:61" s="93" customFormat="1" ht="23.1" customHeight="1" x14ac:dyDescent="0.25"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</row>
    <row r="264" spans="8:61" s="93" customFormat="1" ht="23.1" customHeight="1" x14ac:dyDescent="0.25"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</row>
    <row r="265" spans="8:61" s="93" customFormat="1" ht="23.1" customHeight="1" x14ac:dyDescent="0.25"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</row>
    <row r="266" spans="8:61" s="93" customFormat="1" ht="23.1" customHeight="1" x14ac:dyDescent="0.25"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</row>
    <row r="267" spans="8:61" s="93" customFormat="1" ht="23.1" customHeight="1" x14ac:dyDescent="0.25"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</row>
    <row r="268" spans="8:61" s="93" customFormat="1" ht="23.1" customHeight="1" x14ac:dyDescent="0.25"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</row>
    <row r="269" spans="8:61" s="93" customFormat="1" ht="23.1" customHeight="1" x14ac:dyDescent="0.25"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</row>
    <row r="270" spans="8:61" s="93" customFormat="1" ht="23.1" customHeight="1" x14ac:dyDescent="0.25"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</row>
    <row r="271" spans="8:61" s="93" customFormat="1" ht="23.1" customHeight="1" x14ac:dyDescent="0.25"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</row>
    <row r="272" spans="8:61" s="93" customFormat="1" ht="23.1" customHeight="1" x14ac:dyDescent="0.25"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  <c r="BA272" s="108"/>
      <c r="BB272" s="108"/>
      <c r="BC272" s="108"/>
      <c r="BD272" s="108"/>
      <c r="BE272" s="108"/>
      <c r="BF272" s="108"/>
      <c r="BG272" s="108"/>
      <c r="BH272" s="108"/>
      <c r="BI272" s="108"/>
    </row>
    <row r="273" spans="8:61" s="93" customFormat="1" ht="23.1" customHeight="1" x14ac:dyDescent="0.25"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</row>
    <row r="274" spans="8:61" s="93" customFormat="1" ht="23.1" customHeight="1" x14ac:dyDescent="0.25"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</row>
    <row r="275" spans="8:61" s="93" customFormat="1" ht="23.1" customHeight="1" x14ac:dyDescent="0.25"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</row>
    <row r="276" spans="8:61" s="93" customFormat="1" ht="23.1" customHeight="1" x14ac:dyDescent="0.25"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</row>
    <row r="277" spans="8:61" s="93" customFormat="1" ht="23.1" customHeight="1" x14ac:dyDescent="0.25"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  <c r="BB277" s="108"/>
      <c r="BC277" s="108"/>
      <c r="BD277" s="108"/>
      <c r="BE277" s="108"/>
      <c r="BF277" s="108"/>
      <c r="BG277" s="108"/>
      <c r="BH277" s="108"/>
      <c r="BI277" s="108"/>
    </row>
    <row r="278" spans="8:61" s="93" customFormat="1" ht="23.1" customHeight="1" x14ac:dyDescent="0.25"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</row>
    <row r="279" spans="8:61" s="93" customFormat="1" ht="23.1" customHeight="1" x14ac:dyDescent="0.25"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</row>
    <row r="280" spans="8:61" s="93" customFormat="1" ht="23.1" customHeight="1" x14ac:dyDescent="0.25"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  <c r="BA280" s="108"/>
      <c r="BB280" s="108"/>
      <c r="BC280" s="108"/>
      <c r="BD280" s="108"/>
      <c r="BE280" s="108"/>
      <c r="BF280" s="108"/>
      <c r="BG280" s="108"/>
      <c r="BH280" s="108"/>
      <c r="BI280" s="108"/>
    </row>
    <row r="281" spans="8:61" s="93" customFormat="1" ht="23.1" customHeight="1" x14ac:dyDescent="0.25"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  <c r="BA281" s="108"/>
      <c r="BB281" s="108"/>
      <c r="BC281" s="108"/>
      <c r="BD281" s="108"/>
      <c r="BE281" s="108"/>
      <c r="BF281" s="108"/>
      <c r="BG281" s="108"/>
      <c r="BH281" s="108"/>
      <c r="BI281" s="108"/>
    </row>
    <row r="282" spans="8:61" s="93" customFormat="1" ht="23.1" customHeight="1" x14ac:dyDescent="0.25"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8"/>
      <c r="BF282" s="108"/>
      <c r="BG282" s="108"/>
      <c r="BH282" s="108"/>
      <c r="BI282" s="108"/>
    </row>
    <row r="283" spans="8:61" s="93" customFormat="1" ht="23.1" customHeight="1" x14ac:dyDescent="0.25"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G283" s="108"/>
      <c r="BH283" s="108"/>
      <c r="BI283" s="108"/>
    </row>
    <row r="284" spans="8:61" s="93" customFormat="1" ht="23.1" customHeight="1" x14ac:dyDescent="0.25"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</row>
    <row r="285" spans="8:61" s="93" customFormat="1" ht="23.1" customHeight="1" x14ac:dyDescent="0.25"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</row>
    <row r="286" spans="8:61" s="93" customFormat="1" ht="23.1" customHeight="1" x14ac:dyDescent="0.25"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</row>
    <row r="287" spans="8:61" s="93" customFormat="1" ht="23.1" customHeight="1" x14ac:dyDescent="0.25"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</row>
    <row r="288" spans="8:61" s="93" customFormat="1" ht="23.1" customHeight="1" x14ac:dyDescent="0.25"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</row>
    <row r="289" spans="8:61" s="93" customFormat="1" ht="23.1" customHeight="1" x14ac:dyDescent="0.25"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</row>
    <row r="290" spans="8:61" s="93" customFormat="1" ht="23.1" customHeight="1" x14ac:dyDescent="0.25"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</row>
    <row r="291" spans="8:61" s="27" customFormat="1" x14ac:dyDescent="0.25"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</row>
    <row r="292" spans="8:61" s="27" customFormat="1" x14ac:dyDescent="0.25"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</row>
    <row r="293" spans="8:61" s="27" customFormat="1" x14ac:dyDescent="0.25"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</row>
    <row r="294" spans="8:61" s="27" customFormat="1" x14ac:dyDescent="0.25"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</row>
    <row r="295" spans="8:61" s="27" customFormat="1" x14ac:dyDescent="0.25"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</row>
    <row r="296" spans="8:61" s="27" customFormat="1" x14ac:dyDescent="0.25"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</row>
    <row r="297" spans="8:61" s="27" customFormat="1" x14ac:dyDescent="0.25"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</row>
    <row r="298" spans="8:61" s="27" customFormat="1" x14ac:dyDescent="0.25"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</row>
    <row r="299" spans="8:61" s="27" customFormat="1" x14ac:dyDescent="0.25"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</row>
    <row r="300" spans="8:61" s="27" customFormat="1" x14ac:dyDescent="0.25"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</row>
    <row r="301" spans="8:61" s="27" customFormat="1" x14ac:dyDescent="0.25"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</row>
    <row r="302" spans="8:61" s="27" customFormat="1" x14ac:dyDescent="0.25"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</row>
    <row r="303" spans="8:61" s="27" customFormat="1" x14ac:dyDescent="0.25"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</row>
    <row r="304" spans="8:61" s="27" customFormat="1" x14ac:dyDescent="0.25"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</row>
    <row r="305" spans="8:61" s="27" customFormat="1" x14ac:dyDescent="0.25"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</row>
    <row r="306" spans="8:61" s="27" customFormat="1" x14ac:dyDescent="0.25"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</row>
    <row r="307" spans="8:61" s="27" customFormat="1" x14ac:dyDescent="0.25"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</row>
    <row r="308" spans="8:61" s="27" customFormat="1" x14ac:dyDescent="0.25"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</row>
    <row r="309" spans="8:61" s="27" customFormat="1" x14ac:dyDescent="0.25"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</row>
    <row r="310" spans="8:61" s="27" customFormat="1" x14ac:dyDescent="0.25"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</row>
    <row r="311" spans="8:61" s="27" customFormat="1" x14ac:dyDescent="0.25"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</row>
    <row r="312" spans="8:61" s="27" customFormat="1" x14ac:dyDescent="0.25"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</row>
    <row r="313" spans="8:61" s="27" customFormat="1" x14ac:dyDescent="0.25"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</row>
    <row r="314" spans="8:61" s="27" customFormat="1" x14ac:dyDescent="0.25"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</row>
    <row r="315" spans="8:61" s="27" customFormat="1" x14ac:dyDescent="0.25"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</row>
    <row r="316" spans="8:61" s="27" customFormat="1" x14ac:dyDescent="0.25"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</row>
    <row r="317" spans="8:61" s="27" customFormat="1" x14ac:dyDescent="0.25"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</row>
    <row r="318" spans="8:61" s="27" customFormat="1" x14ac:dyDescent="0.25"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</row>
    <row r="319" spans="8:61" s="27" customFormat="1" x14ac:dyDescent="0.25"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</row>
    <row r="320" spans="8:61" s="27" customFormat="1" x14ac:dyDescent="0.25"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</row>
    <row r="321" spans="8:61" s="27" customFormat="1" x14ac:dyDescent="0.25"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</row>
    <row r="322" spans="8:61" s="27" customFormat="1" x14ac:dyDescent="0.25"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</row>
    <row r="323" spans="8:61" s="27" customFormat="1" x14ac:dyDescent="0.25"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</row>
    <row r="324" spans="8:61" s="27" customFormat="1" x14ac:dyDescent="0.25"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</row>
    <row r="325" spans="8:61" s="27" customFormat="1" x14ac:dyDescent="0.25"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</row>
    <row r="326" spans="8:61" s="27" customFormat="1" x14ac:dyDescent="0.25"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</row>
    <row r="327" spans="8:61" s="27" customFormat="1" x14ac:dyDescent="0.25"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</row>
    <row r="328" spans="8:61" s="27" customFormat="1" x14ac:dyDescent="0.25"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</row>
    <row r="329" spans="8:61" s="27" customFormat="1" x14ac:dyDescent="0.25"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</row>
    <row r="330" spans="8:61" s="27" customFormat="1" x14ac:dyDescent="0.25"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</row>
    <row r="331" spans="8:61" s="27" customFormat="1" x14ac:dyDescent="0.25"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</row>
    <row r="332" spans="8:61" s="27" customFormat="1" x14ac:dyDescent="0.25"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</row>
    <row r="333" spans="8:61" s="27" customFormat="1" x14ac:dyDescent="0.25"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</row>
    <row r="334" spans="8:61" s="27" customFormat="1" x14ac:dyDescent="0.25"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</row>
    <row r="335" spans="8:61" s="27" customFormat="1" x14ac:dyDescent="0.25"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</row>
    <row r="336" spans="8:61" s="27" customFormat="1" x14ac:dyDescent="0.25"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</row>
    <row r="337" spans="8:61" s="27" customFormat="1" x14ac:dyDescent="0.25"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</row>
    <row r="338" spans="8:61" s="27" customFormat="1" x14ac:dyDescent="0.25"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</row>
    <row r="339" spans="8:61" s="27" customFormat="1" x14ac:dyDescent="0.25"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</row>
    <row r="340" spans="8:61" s="27" customFormat="1" x14ac:dyDescent="0.25"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</row>
    <row r="341" spans="8:61" s="27" customFormat="1" x14ac:dyDescent="0.25"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</row>
    <row r="342" spans="8:61" s="27" customFormat="1" x14ac:dyDescent="0.25"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</row>
    <row r="343" spans="8:61" s="27" customFormat="1" x14ac:dyDescent="0.25"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</row>
    <row r="344" spans="8:61" s="27" customFormat="1" x14ac:dyDescent="0.25"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</row>
    <row r="345" spans="8:61" s="27" customFormat="1" x14ac:dyDescent="0.25"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</row>
    <row r="346" spans="8:61" s="27" customFormat="1" x14ac:dyDescent="0.25"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</row>
    <row r="347" spans="8:61" s="27" customFormat="1" x14ac:dyDescent="0.25"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</row>
    <row r="348" spans="8:61" s="27" customFormat="1" x14ac:dyDescent="0.25"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</row>
    <row r="349" spans="8:61" s="27" customFormat="1" x14ac:dyDescent="0.25"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</row>
    <row r="350" spans="8:61" s="27" customFormat="1" x14ac:dyDescent="0.25"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</row>
    <row r="351" spans="8:61" s="27" customFormat="1" x14ac:dyDescent="0.25"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</row>
    <row r="352" spans="8:61" s="27" customFormat="1" x14ac:dyDescent="0.25"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</row>
    <row r="353" spans="8:61" s="27" customFormat="1" x14ac:dyDescent="0.25"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</row>
    <row r="354" spans="8:61" s="27" customFormat="1" x14ac:dyDescent="0.25"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</row>
    <row r="355" spans="8:61" s="27" customFormat="1" x14ac:dyDescent="0.25"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</row>
    <row r="356" spans="8:61" s="27" customFormat="1" x14ac:dyDescent="0.25"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</row>
    <row r="357" spans="8:61" s="27" customFormat="1" x14ac:dyDescent="0.25"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</row>
    <row r="358" spans="8:61" s="27" customFormat="1" x14ac:dyDescent="0.25"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</row>
    <row r="359" spans="8:61" s="27" customFormat="1" x14ac:dyDescent="0.25"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</row>
    <row r="360" spans="8:61" s="27" customFormat="1" x14ac:dyDescent="0.25"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</row>
    <row r="361" spans="8:61" s="27" customFormat="1" x14ac:dyDescent="0.25"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</row>
    <row r="362" spans="8:61" s="27" customFormat="1" x14ac:dyDescent="0.25"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</row>
    <row r="363" spans="8:61" s="27" customFormat="1" x14ac:dyDescent="0.25"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</row>
    <row r="364" spans="8:61" s="27" customFormat="1" x14ac:dyDescent="0.25"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</row>
    <row r="365" spans="8:61" s="27" customFormat="1" x14ac:dyDescent="0.25"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</row>
    <row r="366" spans="8:61" s="27" customFormat="1" x14ac:dyDescent="0.25"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</row>
    <row r="367" spans="8:61" s="27" customFormat="1" x14ac:dyDescent="0.25"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</row>
    <row r="368" spans="8:61" s="27" customFormat="1" x14ac:dyDescent="0.25"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</row>
    <row r="369" spans="1:61" s="27" customFormat="1" x14ac:dyDescent="0.25"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</row>
    <row r="370" spans="1:61" s="27" customFormat="1" x14ac:dyDescent="0.25"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</row>
    <row r="371" spans="1:61" s="27" customFormat="1" x14ac:dyDescent="0.25"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</row>
    <row r="372" spans="1:61" s="27" customFormat="1" x14ac:dyDescent="0.25"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</row>
    <row r="373" spans="1:61" s="27" customFormat="1" x14ac:dyDescent="0.25">
      <c r="A373" s="33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</row>
    <row r="374" spans="1:61" s="27" customFormat="1" x14ac:dyDescent="0.25">
      <c r="A374" s="33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</row>
    <row r="375" spans="1:61" s="27" customFormat="1" x14ac:dyDescent="0.25">
      <c r="A375" s="33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</row>
    <row r="376" spans="1:61" s="27" customFormat="1" x14ac:dyDescent="0.25">
      <c r="A376" s="33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</row>
    <row r="377" spans="1:61" s="27" customFormat="1" x14ac:dyDescent="0.25">
      <c r="A377" s="33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</row>
    <row r="378" spans="1:61" s="27" customFormat="1" x14ac:dyDescent="0.25">
      <c r="A378" s="33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</row>
    <row r="379" spans="1:61" s="27" customFormat="1" x14ac:dyDescent="0.25">
      <c r="A379" s="33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</row>
    <row r="380" spans="1:61" s="27" customFormat="1" x14ac:dyDescent="0.25">
      <c r="A380" s="33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</row>
    <row r="381" spans="1:61" s="27" customFormat="1" x14ac:dyDescent="0.25">
      <c r="A381" s="33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</row>
    <row r="382" spans="1:61" s="27" customFormat="1" x14ac:dyDescent="0.25">
      <c r="A382" s="33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</row>
    <row r="383" spans="1:61" s="27" customFormat="1" x14ac:dyDescent="0.25">
      <c r="A383" s="33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</row>
    <row r="384" spans="1:61" s="27" customFormat="1" x14ac:dyDescent="0.25">
      <c r="A384" s="33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</row>
    <row r="385" spans="1:61" s="27" customFormat="1" x14ac:dyDescent="0.25">
      <c r="A385" s="33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</row>
    <row r="386" spans="1:61" s="27" customFormat="1" x14ac:dyDescent="0.25">
      <c r="A386" s="33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</row>
    <row r="387" spans="1:61" s="27" customFormat="1" x14ac:dyDescent="0.25">
      <c r="A387" s="33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</row>
    <row r="388" spans="1:61" s="27" customFormat="1" x14ac:dyDescent="0.25">
      <c r="A388" s="33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</row>
    <row r="389" spans="1:61" s="27" customFormat="1" x14ac:dyDescent="0.25">
      <c r="A389" s="33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</row>
    <row r="390" spans="1:61" s="27" customFormat="1" x14ac:dyDescent="0.25">
      <c r="A390" s="33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</row>
    <row r="391" spans="1:61" s="27" customFormat="1" x14ac:dyDescent="0.25">
      <c r="A391" s="33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</row>
    <row r="392" spans="1:61" s="27" customFormat="1" x14ac:dyDescent="0.25">
      <c r="A392" s="33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</row>
    <row r="393" spans="1:61" s="27" customFormat="1" x14ac:dyDescent="0.25">
      <c r="A393" s="33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</row>
    <row r="394" spans="1:61" s="27" customFormat="1" x14ac:dyDescent="0.25">
      <c r="A394" s="33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</row>
    <row r="395" spans="1:61" s="27" customFormat="1" x14ac:dyDescent="0.25">
      <c r="A395" s="33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</row>
    <row r="396" spans="1:61" s="27" customFormat="1" x14ac:dyDescent="0.25">
      <c r="A396" s="33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</row>
    <row r="397" spans="1:61" s="27" customFormat="1" x14ac:dyDescent="0.25">
      <c r="A397" s="33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</row>
    <row r="398" spans="1:61" s="27" customFormat="1" x14ac:dyDescent="0.25">
      <c r="A398" s="33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</row>
    <row r="399" spans="1:61" s="27" customFormat="1" x14ac:dyDescent="0.25">
      <c r="A399" s="33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</row>
    <row r="400" spans="1:61" s="27" customFormat="1" x14ac:dyDescent="0.25">
      <c r="A400" s="33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</row>
    <row r="401" spans="1:61" s="27" customFormat="1" x14ac:dyDescent="0.25">
      <c r="A401" s="33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</row>
    <row r="402" spans="1:61" s="27" customFormat="1" x14ac:dyDescent="0.25">
      <c r="A402" s="33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</row>
    <row r="403" spans="1:61" s="27" customFormat="1" x14ac:dyDescent="0.25">
      <c r="A403" s="33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</row>
    <row r="404" spans="1:61" s="27" customFormat="1" x14ac:dyDescent="0.25">
      <c r="A404" s="33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</row>
    <row r="405" spans="1:61" s="27" customFormat="1" x14ac:dyDescent="0.25">
      <c r="A405" s="33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</row>
    <row r="406" spans="1:61" s="27" customFormat="1" x14ac:dyDescent="0.25">
      <c r="A406" s="33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</row>
    <row r="407" spans="1:61" s="27" customFormat="1" x14ac:dyDescent="0.25">
      <c r="A407" s="33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</row>
    <row r="408" spans="1:61" s="27" customFormat="1" x14ac:dyDescent="0.25">
      <c r="A408" s="33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</row>
    <row r="409" spans="1:61" s="27" customFormat="1" x14ac:dyDescent="0.25">
      <c r="A409" s="33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</row>
    <row r="410" spans="1:61" s="27" customFormat="1" x14ac:dyDescent="0.25">
      <c r="A410" s="33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</row>
    <row r="411" spans="1:61" s="27" customFormat="1" x14ac:dyDescent="0.25">
      <c r="A411" s="33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</row>
    <row r="412" spans="1:61" s="27" customFormat="1" x14ac:dyDescent="0.25">
      <c r="A412" s="33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</row>
    <row r="413" spans="1:61" s="27" customFormat="1" x14ac:dyDescent="0.25">
      <c r="A413" s="33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</row>
    <row r="414" spans="1:61" s="27" customFormat="1" x14ac:dyDescent="0.25">
      <c r="A414" s="33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</row>
    <row r="415" spans="1:61" s="27" customFormat="1" x14ac:dyDescent="0.25">
      <c r="A415" s="33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</row>
    <row r="416" spans="1:61" s="27" customFormat="1" x14ac:dyDescent="0.25">
      <c r="A416" s="33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</row>
    <row r="417" spans="1:61" s="27" customFormat="1" x14ac:dyDescent="0.25">
      <c r="A417" s="33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</row>
    <row r="418" spans="1:61" s="27" customFormat="1" x14ac:dyDescent="0.25">
      <c r="A418" s="33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</row>
    <row r="419" spans="1:61" s="27" customFormat="1" x14ac:dyDescent="0.25">
      <c r="A419" s="33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</row>
    <row r="420" spans="1:61" s="27" customFormat="1" x14ac:dyDescent="0.25">
      <c r="A420" s="33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</row>
    <row r="421" spans="1:61" s="27" customFormat="1" x14ac:dyDescent="0.25">
      <c r="A421" s="33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</row>
    <row r="422" spans="1:61" s="27" customFormat="1" x14ac:dyDescent="0.25">
      <c r="A422" s="33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</row>
    <row r="423" spans="1:61" s="27" customFormat="1" x14ac:dyDescent="0.25">
      <c r="A423" s="33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</row>
    <row r="424" spans="1:61" s="27" customFormat="1" x14ac:dyDescent="0.25">
      <c r="A424" s="33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</row>
    <row r="425" spans="1:61" s="27" customFormat="1" x14ac:dyDescent="0.25">
      <c r="A425" s="33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</row>
    <row r="426" spans="1:61" s="27" customFormat="1" x14ac:dyDescent="0.25">
      <c r="A426" s="33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</row>
    <row r="427" spans="1:61" s="27" customFormat="1" x14ac:dyDescent="0.25">
      <c r="A427" s="33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</row>
    <row r="428" spans="1:61" s="27" customFormat="1" x14ac:dyDescent="0.25">
      <c r="A428" s="33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</row>
    <row r="429" spans="1:61" s="27" customFormat="1" x14ac:dyDescent="0.25">
      <c r="A429" s="33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</row>
    <row r="430" spans="1:61" s="27" customFormat="1" x14ac:dyDescent="0.25">
      <c r="A430" s="33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</row>
    <row r="431" spans="1:61" s="27" customFormat="1" x14ac:dyDescent="0.25">
      <c r="A431" s="33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</row>
    <row r="432" spans="1:61" s="27" customFormat="1" x14ac:dyDescent="0.25">
      <c r="A432" s="33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</row>
    <row r="433" spans="1:61" s="27" customFormat="1" x14ac:dyDescent="0.25">
      <c r="A433" s="33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</row>
    <row r="434" spans="1:61" s="27" customFormat="1" x14ac:dyDescent="0.25">
      <c r="A434" s="33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</row>
    <row r="435" spans="1:61" s="27" customFormat="1" x14ac:dyDescent="0.25">
      <c r="A435" s="33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</row>
    <row r="436" spans="1:61" s="27" customFormat="1" x14ac:dyDescent="0.25">
      <c r="A436" s="33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</row>
    <row r="437" spans="1:61" s="27" customFormat="1" x14ac:dyDescent="0.25">
      <c r="A437" s="33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</row>
    <row r="438" spans="1:61" s="27" customFormat="1" x14ac:dyDescent="0.25">
      <c r="A438" s="33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</row>
    <row r="439" spans="1:61" s="27" customFormat="1" x14ac:dyDescent="0.25">
      <c r="A439" s="33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</row>
    <row r="440" spans="1:61" s="27" customFormat="1" x14ac:dyDescent="0.25">
      <c r="A440" s="33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</row>
    <row r="441" spans="1:61" s="27" customFormat="1" x14ac:dyDescent="0.25">
      <c r="A441" s="33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</row>
    <row r="442" spans="1:61" s="27" customFormat="1" x14ac:dyDescent="0.25">
      <c r="A442" s="33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</row>
    <row r="443" spans="1:61" s="27" customFormat="1" x14ac:dyDescent="0.25">
      <c r="A443" s="33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</row>
    <row r="444" spans="1:61" s="27" customFormat="1" x14ac:dyDescent="0.25">
      <c r="A444" s="33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</row>
    <row r="445" spans="1:61" s="27" customFormat="1" x14ac:dyDescent="0.25">
      <c r="A445" s="33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</row>
    <row r="446" spans="1:61" s="27" customFormat="1" x14ac:dyDescent="0.25">
      <c r="A446" s="33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</row>
    <row r="447" spans="1:61" s="27" customFormat="1" x14ac:dyDescent="0.25">
      <c r="A447" s="33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</row>
    <row r="448" spans="1:61" s="27" customFormat="1" x14ac:dyDescent="0.25">
      <c r="A448" s="33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</row>
    <row r="449" spans="1:61" s="27" customFormat="1" x14ac:dyDescent="0.25">
      <c r="A449" s="33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</row>
    <row r="450" spans="1:61" s="27" customFormat="1" x14ac:dyDescent="0.25">
      <c r="A450" s="33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</row>
    <row r="451" spans="1:61" s="27" customFormat="1" x14ac:dyDescent="0.25">
      <c r="A451" s="33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</row>
    <row r="452" spans="1:61" s="27" customFormat="1" x14ac:dyDescent="0.25">
      <c r="A452" s="33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</row>
    <row r="453" spans="1:61" s="27" customFormat="1" x14ac:dyDescent="0.25">
      <c r="A453" s="33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</row>
    <row r="454" spans="1:61" s="27" customFormat="1" x14ac:dyDescent="0.25">
      <c r="A454" s="33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</row>
    <row r="455" spans="1:61" s="27" customFormat="1" x14ac:dyDescent="0.25">
      <c r="A455" s="33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</row>
    <row r="456" spans="1:61" s="27" customFormat="1" x14ac:dyDescent="0.25">
      <c r="A456" s="33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</row>
    <row r="457" spans="1:61" s="27" customFormat="1" x14ac:dyDescent="0.25">
      <c r="A457" s="33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</row>
    <row r="458" spans="1:61" s="27" customFormat="1" x14ac:dyDescent="0.25">
      <c r="A458" s="33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</row>
    <row r="459" spans="1:61" s="27" customFormat="1" x14ac:dyDescent="0.25">
      <c r="A459" s="33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</row>
    <row r="460" spans="1:61" s="27" customFormat="1" x14ac:dyDescent="0.25">
      <c r="A460" s="33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</row>
    <row r="461" spans="1:61" s="27" customFormat="1" x14ac:dyDescent="0.25">
      <c r="A461" s="33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</row>
    <row r="462" spans="1:61" s="27" customFormat="1" x14ac:dyDescent="0.25">
      <c r="A462" s="33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</row>
    <row r="463" spans="1:61" s="27" customFormat="1" x14ac:dyDescent="0.25">
      <c r="A463" s="33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</row>
    <row r="464" spans="1:61" s="27" customFormat="1" x14ac:dyDescent="0.25">
      <c r="A464" s="33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</row>
    <row r="465" spans="1:61" s="27" customFormat="1" x14ac:dyDescent="0.25">
      <c r="A465" s="33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</row>
    <row r="466" spans="1:61" s="27" customFormat="1" x14ac:dyDescent="0.25">
      <c r="A466" s="33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</row>
    <row r="467" spans="1:61" s="27" customFormat="1" x14ac:dyDescent="0.25">
      <c r="A467" s="33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</row>
    <row r="468" spans="1:61" s="27" customFormat="1" x14ac:dyDescent="0.25">
      <c r="A468" s="33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</row>
    <row r="469" spans="1:61" s="27" customFormat="1" x14ac:dyDescent="0.25">
      <c r="A469" s="33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</row>
    <row r="470" spans="1:61" s="27" customFormat="1" x14ac:dyDescent="0.25">
      <c r="A470" s="33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</row>
    <row r="471" spans="1:61" s="27" customFormat="1" x14ac:dyDescent="0.25">
      <c r="A471" s="33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</row>
    <row r="472" spans="1:61" s="27" customFormat="1" x14ac:dyDescent="0.25">
      <c r="A472" s="33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</row>
    <row r="473" spans="1:61" s="27" customFormat="1" x14ac:dyDescent="0.25">
      <c r="A473" s="33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</row>
    <row r="474" spans="1:61" s="27" customFormat="1" x14ac:dyDescent="0.25">
      <c r="A474" s="33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</row>
    <row r="475" spans="1:61" s="27" customFormat="1" x14ac:dyDescent="0.25">
      <c r="A475" s="33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</row>
    <row r="476" spans="1:61" s="27" customFormat="1" x14ac:dyDescent="0.25">
      <c r="A476" s="33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</row>
    <row r="477" spans="1:61" s="27" customFormat="1" x14ac:dyDescent="0.25">
      <c r="A477" s="33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</row>
    <row r="478" spans="1:61" s="27" customFormat="1" x14ac:dyDescent="0.25">
      <c r="A478" s="33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</row>
    <row r="479" spans="1:61" s="27" customFormat="1" x14ac:dyDescent="0.25">
      <c r="A479" s="33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</row>
    <row r="480" spans="1:61" s="27" customFormat="1" x14ac:dyDescent="0.25">
      <c r="A480" s="33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</row>
    <row r="481" spans="1:61" s="27" customFormat="1" x14ac:dyDescent="0.25">
      <c r="A481" s="33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</row>
    <row r="482" spans="1:61" s="27" customFormat="1" x14ac:dyDescent="0.25">
      <c r="A482" s="33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</row>
    <row r="483" spans="1:61" s="27" customFormat="1" x14ac:dyDescent="0.25">
      <c r="A483" s="33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</row>
    <row r="484" spans="1:61" s="27" customFormat="1" x14ac:dyDescent="0.25">
      <c r="A484" s="33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</row>
    <row r="485" spans="1:61" s="27" customFormat="1" x14ac:dyDescent="0.25">
      <c r="A485" s="33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</row>
    <row r="486" spans="1:61" s="27" customFormat="1" x14ac:dyDescent="0.25">
      <c r="A486" s="33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</row>
    <row r="487" spans="1:61" s="27" customFormat="1" x14ac:dyDescent="0.25">
      <c r="A487" s="33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</row>
    <row r="488" spans="1:61" s="27" customFormat="1" x14ac:dyDescent="0.25">
      <c r="A488" s="33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</row>
    <row r="489" spans="1:61" s="27" customFormat="1" x14ac:dyDescent="0.25">
      <c r="A489" s="33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</row>
    <row r="490" spans="1:61" s="27" customFormat="1" x14ac:dyDescent="0.25">
      <c r="A490" s="33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</row>
    <row r="491" spans="1:61" s="27" customFormat="1" x14ac:dyDescent="0.25">
      <c r="A491" s="33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</row>
    <row r="492" spans="1:61" s="27" customFormat="1" x14ac:dyDescent="0.25">
      <c r="A492" s="33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</row>
    <row r="493" spans="1:61" s="27" customFormat="1" x14ac:dyDescent="0.25">
      <c r="A493" s="33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</row>
    <row r="494" spans="1:61" s="27" customFormat="1" x14ac:dyDescent="0.25">
      <c r="A494" s="33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</row>
    <row r="495" spans="1:61" s="27" customFormat="1" x14ac:dyDescent="0.25">
      <c r="A495" s="33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</row>
    <row r="496" spans="1:61" s="27" customFormat="1" x14ac:dyDescent="0.25">
      <c r="A496" s="33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</row>
    <row r="497" spans="1:61" s="27" customFormat="1" x14ac:dyDescent="0.25">
      <c r="A497" s="33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</row>
    <row r="498" spans="1:61" s="27" customFormat="1" x14ac:dyDescent="0.25">
      <c r="A498" s="33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</row>
    <row r="499" spans="1:61" s="27" customFormat="1" x14ac:dyDescent="0.25">
      <c r="A499" s="33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</row>
    <row r="500" spans="1:61" s="27" customFormat="1" x14ac:dyDescent="0.25">
      <c r="A500" s="33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</row>
    <row r="501" spans="1:61" s="27" customFormat="1" x14ac:dyDescent="0.25">
      <c r="A501" s="33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</row>
    <row r="502" spans="1:61" s="27" customFormat="1" x14ac:dyDescent="0.25">
      <c r="A502" s="33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</row>
    <row r="503" spans="1:61" s="27" customFormat="1" x14ac:dyDescent="0.25">
      <c r="A503" s="33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</row>
    <row r="504" spans="1:61" s="27" customFormat="1" x14ac:dyDescent="0.25">
      <c r="A504" s="33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</row>
    <row r="505" spans="1:61" s="27" customFormat="1" x14ac:dyDescent="0.25">
      <c r="A505" s="33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</row>
    <row r="506" spans="1:61" s="27" customFormat="1" x14ac:dyDescent="0.25">
      <c r="A506" s="33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</row>
    <row r="507" spans="1:61" s="27" customFormat="1" x14ac:dyDescent="0.25">
      <c r="A507" s="33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</row>
    <row r="508" spans="1:61" s="27" customFormat="1" x14ac:dyDescent="0.25">
      <c r="A508" s="33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</row>
    <row r="509" spans="1:61" s="27" customFormat="1" x14ac:dyDescent="0.25">
      <c r="A509" s="33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</row>
    <row r="510" spans="1:61" s="27" customFormat="1" x14ac:dyDescent="0.25">
      <c r="A510" s="33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</row>
    <row r="511" spans="1:61" s="27" customFormat="1" x14ac:dyDescent="0.25">
      <c r="A511" s="33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</row>
    <row r="512" spans="1:61" s="27" customFormat="1" x14ac:dyDescent="0.25">
      <c r="A512" s="33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</row>
    <row r="513" spans="1:61" s="27" customFormat="1" x14ac:dyDescent="0.25">
      <c r="A513" s="33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</row>
    <row r="514" spans="1:61" s="27" customFormat="1" x14ac:dyDescent="0.25">
      <c r="A514" s="33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</row>
    <row r="515" spans="1:61" s="27" customFormat="1" x14ac:dyDescent="0.25">
      <c r="A515" s="33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</row>
    <row r="516" spans="1:61" s="27" customFormat="1" x14ac:dyDescent="0.25">
      <c r="A516" s="33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</row>
    <row r="517" spans="1:61" s="27" customFormat="1" x14ac:dyDescent="0.25">
      <c r="A517" s="33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</row>
    <row r="518" spans="1:61" s="27" customFormat="1" x14ac:dyDescent="0.25">
      <c r="A518" s="33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</row>
    <row r="519" spans="1:61" s="27" customFormat="1" x14ac:dyDescent="0.25">
      <c r="A519" s="33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</row>
    <row r="520" spans="1:61" s="27" customFormat="1" x14ac:dyDescent="0.25">
      <c r="A520" s="33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</row>
    <row r="521" spans="1:61" s="27" customFormat="1" x14ac:dyDescent="0.25">
      <c r="A521" s="33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</row>
    <row r="522" spans="1:61" s="27" customFormat="1" x14ac:dyDescent="0.25">
      <c r="A522" s="33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</row>
    <row r="523" spans="1:61" s="27" customFormat="1" x14ac:dyDescent="0.25">
      <c r="A523" s="33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</row>
    <row r="524" spans="1:61" s="27" customFormat="1" x14ac:dyDescent="0.25">
      <c r="A524" s="33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</row>
    <row r="525" spans="1:61" s="27" customFormat="1" x14ac:dyDescent="0.25">
      <c r="A525" s="33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</row>
    <row r="526" spans="1:61" s="27" customFormat="1" x14ac:dyDescent="0.25">
      <c r="A526" s="33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</row>
    <row r="527" spans="1:61" s="27" customFormat="1" x14ac:dyDescent="0.25">
      <c r="A527" s="33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</row>
    <row r="528" spans="1:61" s="27" customFormat="1" x14ac:dyDescent="0.25">
      <c r="A528" s="33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</row>
    <row r="529" spans="1:61" s="27" customFormat="1" x14ac:dyDescent="0.25">
      <c r="A529" s="33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</row>
    <row r="530" spans="1:61" s="27" customFormat="1" x14ac:dyDescent="0.25">
      <c r="A530" s="33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</row>
    <row r="531" spans="1:61" s="27" customFormat="1" x14ac:dyDescent="0.25">
      <c r="A531" s="33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</row>
    <row r="532" spans="1:61" s="27" customFormat="1" x14ac:dyDescent="0.25">
      <c r="A532" s="33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</row>
    <row r="533" spans="1:61" s="27" customFormat="1" x14ac:dyDescent="0.25">
      <c r="A533" s="33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</row>
    <row r="534" spans="1:61" s="27" customFormat="1" x14ac:dyDescent="0.25">
      <c r="A534" s="33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</row>
    <row r="535" spans="1:61" s="27" customFormat="1" x14ac:dyDescent="0.25">
      <c r="A535" s="33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</row>
    <row r="536" spans="1:61" s="27" customFormat="1" x14ac:dyDescent="0.25">
      <c r="A536" s="33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</row>
    <row r="537" spans="1:61" s="27" customFormat="1" x14ac:dyDescent="0.25">
      <c r="A537" s="33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</row>
    <row r="538" spans="1:61" s="27" customFormat="1" x14ac:dyDescent="0.25">
      <c r="A538" s="33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</row>
    <row r="539" spans="1:61" s="27" customFormat="1" x14ac:dyDescent="0.25">
      <c r="A539" s="33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</row>
    <row r="540" spans="1:61" s="27" customFormat="1" x14ac:dyDescent="0.25">
      <c r="A540" s="33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</row>
    <row r="541" spans="1:61" s="27" customFormat="1" x14ac:dyDescent="0.25">
      <c r="A541" s="33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</row>
    <row r="542" spans="1:61" s="27" customFormat="1" x14ac:dyDescent="0.25">
      <c r="A542" s="33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</row>
    <row r="543" spans="1:61" s="27" customFormat="1" x14ac:dyDescent="0.25">
      <c r="A543" s="33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</row>
    <row r="544" spans="1:61" s="27" customFormat="1" x14ac:dyDescent="0.25">
      <c r="A544" s="33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</row>
    <row r="545" spans="1:61" s="27" customFormat="1" x14ac:dyDescent="0.25">
      <c r="A545" s="33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</row>
    <row r="546" spans="1:61" s="27" customFormat="1" x14ac:dyDescent="0.25">
      <c r="A546" s="33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</row>
    <row r="547" spans="1:61" s="27" customFormat="1" x14ac:dyDescent="0.25">
      <c r="A547" s="33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</row>
    <row r="548" spans="1:61" s="27" customFormat="1" x14ac:dyDescent="0.25">
      <c r="A548" s="33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</row>
    <row r="549" spans="1:61" s="27" customFormat="1" x14ac:dyDescent="0.25">
      <c r="A549" s="33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</row>
    <row r="550" spans="1:61" s="27" customFormat="1" x14ac:dyDescent="0.25">
      <c r="A550" s="33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</row>
    <row r="551" spans="1:61" s="27" customFormat="1" x14ac:dyDescent="0.25">
      <c r="A551" s="33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</row>
    <row r="552" spans="1:61" s="27" customFormat="1" x14ac:dyDescent="0.25">
      <c r="A552" s="33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</row>
    <row r="553" spans="1:61" s="27" customFormat="1" x14ac:dyDescent="0.25">
      <c r="A553" s="33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</row>
    <row r="554" spans="1:61" s="27" customFormat="1" x14ac:dyDescent="0.25">
      <c r="A554" s="33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</row>
    <row r="555" spans="1:61" s="27" customFormat="1" x14ac:dyDescent="0.25">
      <c r="A555" s="33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</row>
    <row r="556" spans="1:61" s="27" customFormat="1" x14ac:dyDescent="0.25">
      <c r="A556" s="33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</row>
    <row r="557" spans="1:61" s="27" customFormat="1" x14ac:dyDescent="0.25">
      <c r="A557" s="33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</row>
    <row r="558" spans="1:61" s="27" customFormat="1" x14ac:dyDescent="0.25">
      <c r="A558" s="33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</row>
    <row r="559" spans="1:61" s="27" customFormat="1" x14ac:dyDescent="0.25">
      <c r="A559" s="33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</row>
    <row r="560" spans="1:61" s="27" customFormat="1" x14ac:dyDescent="0.25">
      <c r="A560" s="33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</row>
    <row r="561" spans="1:61" s="27" customFormat="1" x14ac:dyDescent="0.25">
      <c r="A561" s="33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</row>
    <row r="562" spans="1:61" s="27" customFormat="1" x14ac:dyDescent="0.25">
      <c r="A562" s="33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</row>
    <row r="563" spans="1:61" s="27" customFormat="1" x14ac:dyDescent="0.25">
      <c r="A563" s="33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</row>
    <row r="564" spans="1:61" s="27" customFormat="1" x14ac:dyDescent="0.25">
      <c r="A564" s="33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</row>
    <row r="565" spans="1:61" s="27" customFormat="1" x14ac:dyDescent="0.25">
      <c r="A565" s="33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</row>
    <row r="566" spans="1:61" s="27" customFormat="1" x14ac:dyDescent="0.25">
      <c r="A566" s="33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</row>
    <row r="567" spans="1:61" s="27" customFormat="1" x14ac:dyDescent="0.25">
      <c r="A567" s="33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</row>
    <row r="568" spans="1:61" s="27" customFormat="1" x14ac:dyDescent="0.25">
      <c r="A568" s="33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</row>
    <row r="569" spans="1:61" s="27" customFormat="1" x14ac:dyDescent="0.25">
      <c r="A569" s="33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</row>
    <row r="570" spans="1:61" s="27" customFormat="1" x14ac:dyDescent="0.25">
      <c r="A570" s="33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</row>
    <row r="571" spans="1:61" s="27" customFormat="1" x14ac:dyDescent="0.25">
      <c r="A571" s="33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</row>
    <row r="572" spans="1:61" s="27" customFormat="1" x14ac:dyDescent="0.25">
      <c r="A572" s="33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</row>
    <row r="573" spans="1:61" s="27" customFormat="1" x14ac:dyDescent="0.25">
      <c r="A573" s="33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</row>
    <row r="574" spans="1:61" s="27" customFormat="1" x14ac:dyDescent="0.25">
      <c r="A574" s="33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</row>
    <row r="575" spans="1:61" s="27" customFormat="1" x14ac:dyDescent="0.25">
      <c r="A575" s="33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</row>
    <row r="576" spans="1:61" s="27" customFormat="1" x14ac:dyDescent="0.25">
      <c r="A576" s="33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</row>
    <row r="577" spans="1:61" s="27" customFormat="1" x14ac:dyDescent="0.25">
      <c r="A577" s="33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</row>
    <row r="578" spans="1:61" s="27" customFormat="1" x14ac:dyDescent="0.25">
      <c r="A578" s="33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</row>
    <row r="579" spans="1:61" s="27" customFormat="1" x14ac:dyDescent="0.25">
      <c r="A579" s="33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</row>
    <row r="580" spans="1:61" s="27" customFormat="1" x14ac:dyDescent="0.25">
      <c r="A580" s="33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</row>
    <row r="581" spans="1:61" s="27" customFormat="1" x14ac:dyDescent="0.25">
      <c r="A581" s="33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</row>
    <row r="582" spans="1:61" s="27" customFormat="1" x14ac:dyDescent="0.25">
      <c r="A582" s="33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</row>
    <row r="583" spans="1:61" s="27" customFormat="1" x14ac:dyDescent="0.25">
      <c r="A583" s="33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</row>
    <row r="584" spans="1:61" s="27" customFormat="1" x14ac:dyDescent="0.25">
      <c r="A584" s="33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</row>
    <row r="585" spans="1:61" s="27" customFormat="1" x14ac:dyDescent="0.25">
      <c r="A585" s="33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</row>
    <row r="586" spans="1:61" s="27" customFormat="1" x14ac:dyDescent="0.25">
      <c r="A586" s="33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</row>
    <row r="587" spans="1:61" s="27" customFormat="1" x14ac:dyDescent="0.25">
      <c r="A587" s="33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</row>
    <row r="588" spans="1:61" s="27" customFormat="1" x14ac:dyDescent="0.25">
      <c r="A588" s="33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</row>
    <row r="589" spans="1:61" s="27" customFormat="1" x14ac:dyDescent="0.25">
      <c r="A589" s="33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</row>
    <row r="590" spans="1:61" s="27" customFormat="1" x14ac:dyDescent="0.25">
      <c r="A590" s="33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</row>
    <row r="591" spans="1:61" s="27" customFormat="1" x14ac:dyDescent="0.25">
      <c r="A591" s="33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</row>
    <row r="592" spans="1:61" s="27" customFormat="1" x14ac:dyDescent="0.25">
      <c r="A592" s="33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</row>
    <row r="593" spans="1:61" s="27" customFormat="1" x14ac:dyDescent="0.25">
      <c r="A593" s="33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</row>
    <row r="594" spans="1:61" s="27" customFormat="1" x14ac:dyDescent="0.25">
      <c r="A594" s="33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</row>
    <row r="595" spans="1:61" s="27" customFormat="1" x14ac:dyDescent="0.25">
      <c r="A595" s="33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</row>
    <row r="596" spans="1:61" s="27" customFormat="1" x14ac:dyDescent="0.25">
      <c r="A596" s="33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</row>
    <row r="597" spans="1:61" s="27" customFormat="1" x14ac:dyDescent="0.25">
      <c r="A597" s="33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</row>
    <row r="598" spans="1:61" s="27" customFormat="1" x14ac:dyDescent="0.25">
      <c r="A598" s="33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</row>
    <row r="599" spans="1:61" s="27" customFormat="1" x14ac:dyDescent="0.25">
      <c r="A599" s="33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</row>
    <row r="600" spans="1:61" s="27" customFormat="1" x14ac:dyDescent="0.25">
      <c r="A600" s="33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</row>
    <row r="601" spans="1:61" s="27" customFormat="1" x14ac:dyDescent="0.25">
      <c r="A601" s="33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</row>
    <row r="602" spans="1:61" s="27" customFormat="1" x14ac:dyDescent="0.25">
      <c r="A602" s="33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</row>
    <row r="603" spans="1:61" s="27" customFormat="1" x14ac:dyDescent="0.25">
      <c r="A603" s="33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</row>
    <row r="604" spans="1:61" s="27" customFormat="1" x14ac:dyDescent="0.25">
      <c r="A604" s="33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</row>
    <row r="605" spans="1:61" s="27" customFormat="1" x14ac:dyDescent="0.25">
      <c r="A605" s="33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</row>
    <row r="606" spans="1:61" s="27" customFormat="1" x14ac:dyDescent="0.25">
      <c r="A606" s="33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</row>
    <row r="607" spans="1:61" s="27" customFormat="1" x14ac:dyDescent="0.25">
      <c r="A607" s="33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</row>
    <row r="608" spans="1:61" s="27" customFormat="1" x14ac:dyDescent="0.25">
      <c r="A608" s="33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</row>
    <row r="609" spans="1:61" s="27" customFormat="1" x14ac:dyDescent="0.25">
      <c r="A609" s="33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</row>
    <row r="610" spans="1:61" s="27" customFormat="1" x14ac:dyDescent="0.25">
      <c r="A610" s="33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</row>
    <row r="611" spans="1:61" s="27" customFormat="1" x14ac:dyDescent="0.25">
      <c r="A611" s="33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</row>
    <row r="612" spans="1:61" s="27" customFormat="1" x14ac:dyDescent="0.25">
      <c r="A612" s="33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</row>
    <row r="613" spans="1:61" s="27" customFormat="1" x14ac:dyDescent="0.25">
      <c r="A613" s="33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</row>
    <row r="614" spans="1:61" s="27" customFormat="1" x14ac:dyDescent="0.25">
      <c r="A614" s="33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</row>
    <row r="615" spans="1:61" s="27" customFormat="1" x14ac:dyDescent="0.25">
      <c r="A615" s="33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</row>
    <row r="616" spans="1:61" s="27" customFormat="1" x14ac:dyDescent="0.25">
      <c r="A616" s="33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</row>
    <row r="617" spans="1:61" s="27" customFormat="1" x14ac:dyDescent="0.25">
      <c r="A617" s="33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</row>
    <row r="618" spans="1:61" s="27" customFormat="1" x14ac:dyDescent="0.25">
      <c r="A618" s="33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</row>
    <row r="619" spans="1:61" s="27" customFormat="1" x14ac:dyDescent="0.25">
      <c r="A619" s="33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</row>
    <row r="620" spans="1:61" s="27" customFormat="1" x14ac:dyDescent="0.25">
      <c r="A620" s="33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</row>
    <row r="621" spans="1:61" s="27" customFormat="1" x14ac:dyDescent="0.25">
      <c r="A621" s="33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</row>
    <row r="622" spans="1:61" s="27" customFormat="1" x14ac:dyDescent="0.25">
      <c r="A622" s="33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</row>
    <row r="623" spans="1:61" s="27" customFormat="1" x14ac:dyDescent="0.25">
      <c r="A623" s="33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</row>
    <row r="624" spans="1:61" s="27" customFormat="1" x14ac:dyDescent="0.25">
      <c r="A624" s="33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</row>
    <row r="625" spans="1:61" s="27" customFormat="1" x14ac:dyDescent="0.25">
      <c r="A625" s="33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</row>
    <row r="626" spans="1:61" s="27" customFormat="1" x14ac:dyDescent="0.25">
      <c r="A626" s="33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</row>
    <row r="627" spans="1:61" s="27" customFormat="1" x14ac:dyDescent="0.25">
      <c r="A627" s="33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</row>
    <row r="628" spans="1:61" s="27" customFormat="1" x14ac:dyDescent="0.25">
      <c r="A628" s="33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</row>
    <row r="629" spans="1:61" s="27" customFormat="1" x14ac:dyDescent="0.25">
      <c r="A629" s="33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</row>
    <row r="630" spans="1:61" s="27" customFormat="1" x14ac:dyDescent="0.25">
      <c r="A630" s="33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</row>
    <row r="631" spans="1:61" s="27" customFormat="1" x14ac:dyDescent="0.25">
      <c r="A631" s="33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</row>
    <row r="632" spans="1:61" s="27" customFormat="1" x14ac:dyDescent="0.25">
      <c r="A632" s="33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</row>
    <row r="633" spans="1:61" s="27" customFormat="1" x14ac:dyDescent="0.25">
      <c r="A633" s="33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</row>
    <row r="634" spans="1:61" s="27" customFormat="1" x14ac:dyDescent="0.25">
      <c r="A634" s="33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</row>
    <row r="635" spans="1:61" s="27" customFormat="1" x14ac:dyDescent="0.25">
      <c r="A635" s="33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</row>
    <row r="636" spans="1:61" s="27" customFormat="1" x14ac:dyDescent="0.25">
      <c r="A636" s="33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</row>
    <row r="637" spans="1:61" s="27" customFormat="1" x14ac:dyDescent="0.25">
      <c r="A637" s="33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</row>
    <row r="638" spans="1:61" s="27" customFormat="1" x14ac:dyDescent="0.25">
      <c r="A638" s="33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</row>
    <row r="639" spans="1:61" s="27" customFormat="1" x14ac:dyDescent="0.25">
      <c r="A639" s="33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</row>
    <row r="640" spans="1:61" s="27" customFormat="1" x14ac:dyDescent="0.25">
      <c r="A640" s="33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</row>
    <row r="641" spans="1:61" s="27" customFormat="1" x14ac:dyDescent="0.25">
      <c r="A641" s="33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</row>
    <row r="642" spans="1:61" s="27" customFormat="1" x14ac:dyDescent="0.25">
      <c r="A642" s="33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</row>
    <row r="643" spans="1:61" s="27" customFormat="1" x14ac:dyDescent="0.25">
      <c r="A643" s="33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</row>
    <row r="644" spans="1:61" s="27" customFormat="1" x14ac:dyDescent="0.25">
      <c r="A644" s="33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</row>
    <row r="645" spans="1:61" s="27" customFormat="1" x14ac:dyDescent="0.25">
      <c r="A645" s="33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</row>
    <row r="646" spans="1:61" s="27" customFormat="1" x14ac:dyDescent="0.25">
      <c r="A646" s="33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</row>
    <row r="647" spans="1:61" s="27" customFormat="1" x14ac:dyDescent="0.25">
      <c r="A647" s="33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</row>
    <row r="648" spans="1:61" s="27" customFormat="1" x14ac:dyDescent="0.25">
      <c r="A648" s="33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</row>
    <row r="649" spans="1:61" s="27" customFormat="1" x14ac:dyDescent="0.25">
      <c r="A649" s="33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</row>
    <row r="650" spans="1:61" s="27" customFormat="1" x14ac:dyDescent="0.25">
      <c r="A650" s="33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</row>
    <row r="651" spans="1:61" s="27" customFormat="1" x14ac:dyDescent="0.25">
      <c r="A651" s="33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</row>
    <row r="652" spans="1:61" s="27" customFormat="1" x14ac:dyDescent="0.25">
      <c r="A652" s="33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</row>
    <row r="653" spans="1:61" s="27" customFormat="1" x14ac:dyDescent="0.25">
      <c r="A653" s="33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</row>
    <row r="654" spans="1:61" s="27" customFormat="1" x14ac:dyDescent="0.25">
      <c r="A654" s="33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</row>
    <row r="655" spans="1:61" s="27" customFormat="1" x14ac:dyDescent="0.25">
      <c r="A655" s="33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</row>
    <row r="656" spans="1:61" s="27" customFormat="1" x14ac:dyDescent="0.25">
      <c r="A656" s="33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</row>
    <row r="657" spans="1:61" s="27" customFormat="1" x14ac:dyDescent="0.25">
      <c r="A657" s="33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</row>
    <row r="658" spans="1:61" s="27" customFormat="1" x14ac:dyDescent="0.25">
      <c r="A658" s="33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</row>
    <row r="659" spans="1:61" s="27" customFormat="1" x14ac:dyDescent="0.25">
      <c r="A659" s="33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</row>
    <row r="660" spans="1:61" s="27" customFormat="1" x14ac:dyDescent="0.25">
      <c r="A660" s="33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</row>
    <row r="661" spans="1:61" s="27" customFormat="1" x14ac:dyDescent="0.25">
      <c r="A661" s="33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</row>
    <row r="662" spans="1:61" s="27" customFormat="1" x14ac:dyDescent="0.25">
      <c r="A662" s="33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</row>
    <row r="663" spans="1:61" s="27" customFormat="1" x14ac:dyDescent="0.25">
      <c r="A663" s="33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</row>
    <row r="664" spans="1:61" s="27" customFormat="1" x14ac:dyDescent="0.25">
      <c r="A664" s="33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</row>
    <row r="665" spans="1:61" s="27" customFormat="1" x14ac:dyDescent="0.25">
      <c r="A665" s="33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</row>
    <row r="666" spans="1:61" s="27" customFormat="1" x14ac:dyDescent="0.25">
      <c r="A666" s="33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</row>
    <row r="667" spans="1:61" s="27" customFormat="1" x14ac:dyDescent="0.25">
      <c r="A667" s="33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</row>
    <row r="668" spans="1:61" s="27" customFormat="1" x14ac:dyDescent="0.25">
      <c r="A668" s="33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</row>
    <row r="669" spans="1:61" s="27" customFormat="1" x14ac:dyDescent="0.25">
      <c r="A669" s="33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</row>
    <row r="670" spans="1:61" s="27" customFormat="1" x14ac:dyDescent="0.25">
      <c r="A670" s="33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</row>
    <row r="671" spans="1:61" s="27" customFormat="1" x14ac:dyDescent="0.25">
      <c r="A671" s="33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</row>
    <row r="672" spans="1:61" s="27" customFormat="1" x14ac:dyDescent="0.25">
      <c r="A672" s="33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</row>
    <row r="673" spans="1:61" s="27" customFormat="1" x14ac:dyDescent="0.25">
      <c r="A673" s="33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</row>
    <row r="674" spans="1:61" s="27" customFormat="1" x14ac:dyDescent="0.25">
      <c r="A674" s="33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</row>
    <row r="675" spans="1:61" s="27" customFormat="1" x14ac:dyDescent="0.25">
      <c r="A675" s="33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</row>
    <row r="676" spans="1:61" s="27" customFormat="1" x14ac:dyDescent="0.25">
      <c r="A676" s="33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</row>
    <row r="677" spans="1:61" s="27" customFormat="1" x14ac:dyDescent="0.25">
      <c r="A677" s="33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</row>
    <row r="678" spans="1:61" s="27" customFormat="1" x14ac:dyDescent="0.25">
      <c r="A678" s="33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</row>
    <row r="679" spans="1:61" s="27" customFormat="1" x14ac:dyDescent="0.25">
      <c r="A679" s="33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</row>
    <row r="680" spans="1:61" s="27" customFormat="1" x14ac:dyDescent="0.25">
      <c r="A680" s="33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</row>
    <row r="681" spans="1:61" s="27" customFormat="1" x14ac:dyDescent="0.25">
      <c r="A681" s="33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</row>
    <row r="682" spans="1:61" s="27" customFormat="1" x14ac:dyDescent="0.25">
      <c r="A682" s="33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</row>
    <row r="683" spans="1:61" s="27" customFormat="1" x14ac:dyDescent="0.25">
      <c r="A683" s="33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</row>
    <row r="684" spans="1:61" s="27" customFormat="1" x14ac:dyDescent="0.25">
      <c r="A684" s="33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</row>
    <row r="685" spans="1:61" s="27" customFormat="1" x14ac:dyDescent="0.25">
      <c r="A685" s="33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</row>
    <row r="686" spans="1:61" s="27" customFormat="1" x14ac:dyDescent="0.25">
      <c r="A686" s="33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</row>
    <row r="687" spans="1:61" s="27" customFormat="1" x14ac:dyDescent="0.25">
      <c r="A687" s="33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</row>
    <row r="688" spans="1:61" s="27" customFormat="1" x14ac:dyDescent="0.25">
      <c r="A688" s="33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</row>
    <row r="689" spans="1:61" s="27" customFormat="1" x14ac:dyDescent="0.25">
      <c r="A689" s="33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</row>
    <row r="690" spans="1:61" s="27" customFormat="1" x14ac:dyDescent="0.25">
      <c r="A690" s="33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</row>
    <row r="691" spans="1:61" s="27" customFormat="1" x14ac:dyDescent="0.25">
      <c r="A691" s="33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</row>
    <row r="692" spans="1:61" s="27" customFormat="1" x14ac:dyDescent="0.25">
      <c r="A692" s="33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</row>
    <row r="693" spans="1:61" s="27" customFormat="1" x14ac:dyDescent="0.25">
      <c r="A693" s="33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</row>
    <row r="694" spans="1:61" s="27" customFormat="1" x14ac:dyDescent="0.25">
      <c r="A694" s="33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</row>
    <row r="695" spans="1:61" s="27" customFormat="1" x14ac:dyDescent="0.25">
      <c r="A695" s="33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</row>
    <row r="696" spans="1:61" s="27" customFormat="1" x14ac:dyDescent="0.25">
      <c r="A696" s="33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</row>
    <row r="697" spans="1:61" s="27" customFormat="1" x14ac:dyDescent="0.25">
      <c r="A697" s="33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</row>
    <row r="698" spans="1:61" s="27" customFormat="1" x14ac:dyDescent="0.25">
      <c r="A698" s="33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</row>
    <row r="699" spans="1:61" s="27" customFormat="1" x14ac:dyDescent="0.25">
      <c r="A699" s="33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</row>
    <row r="700" spans="1:61" s="27" customFormat="1" x14ac:dyDescent="0.25">
      <c r="A700" s="33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</row>
    <row r="701" spans="1:61" s="27" customFormat="1" x14ac:dyDescent="0.25">
      <c r="A701" s="33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</row>
    <row r="702" spans="1:61" s="27" customFormat="1" x14ac:dyDescent="0.25">
      <c r="A702" s="33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</row>
    <row r="703" spans="1:61" s="27" customFormat="1" x14ac:dyDescent="0.25">
      <c r="A703" s="33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</row>
    <row r="704" spans="1:61" s="27" customFormat="1" x14ac:dyDescent="0.25">
      <c r="A704" s="33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</row>
    <row r="705" spans="1:61" s="27" customFormat="1" x14ac:dyDescent="0.25">
      <c r="A705" s="33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</row>
    <row r="706" spans="1:61" s="27" customFormat="1" x14ac:dyDescent="0.25">
      <c r="A706" s="33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</row>
    <row r="707" spans="1:61" s="27" customFormat="1" x14ac:dyDescent="0.25">
      <c r="A707" s="33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</row>
    <row r="708" spans="1:61" s="27" customFormat="1" x14ac:dyDescent="0.25">
      <c r="A708" s="33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</row>
    <row r="709" spans="1:61" s="27" customFormat="1" x14ac:dyDescent="0.25">
      <c r="A709" s="33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</row>
    <row r="710" spans="1:61" s="27" customFormat="1" x14ac:dyDescent="0.25">
      <c r="A710" s="33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</row>
    <row r="711" spans="1:61" s="27" customFormat="1" x14ac:dyDescent="0.25">
      <c r="A711" s="33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</row>
    <row r="712" spans="1:61" s="27" customFormat="1" x14ac:dyDescent="0.25">
      <c r="A712" s="33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</row>
    <row r="713" spans="1:61" s="27" customFormat="1" x14ac:dyDescent="0.25">
      <c r="A713" s="33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</row>
    <row r="714" spans="1:61" s="27" customFormat="1" x14ac:dyDescent="0.25">
      <c r="A714" s="33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</row>
    <row r="715" spans="1:61" s="27" customFormat="1" x14ac:dyDescent="0.25">
      <c r="A715" s="33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</row>
    <row r="716" spans="1:61" s="27" customFormat="1" x14ac:dyDescent="0.25">
      <c r="A716" s="33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</row>
    <row r="717" spans="1:61" s="27" customFormat="1" x14ac:dyDescent="0.25">
      <c r="A717" s="33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</row>
    <row r="718" spans="1:61" s="27" customFormat="1" x14ac:dyDescent="0.25">
      <c r="A718" s="33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</row>
    <row r="719" spans="1:61" s="27" customFormat="1" x14ac:dyDescent="0.25">
      <c r="A719" s="33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</row>
    <row r="720" spans="1:61" s="27" customFormat="1" x14ac:dyDescent="0.25">
      <c r="A720" s="33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</row>
    <row r="721" spans="1:61" s="27" customFormat="1" x14ac:dyDescent="0.25">
      <c r="A721" s="33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</row>
    <row r="722" spans="1:61" s="27" customFormat="1" x14ac:dyDescent="0.25">
      <c r="A722" s="33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</row>
    <row r="723" spans="1:61" s="27" customFormat="1" x14ac:dyDescent="0.25">
      <c r="A723" s="33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</row>
    <row r="724" spans="1:61" s="27" customFormat="1" x14ac:dyDescent="0.25">
      <c r="A724" s="33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</row>
    <row r="725" spans="1:61" s="27" customFormat="1" x14ac:dyDescent="0.25">
      <c r="A725" s="33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</row>
    <row r="726" spans="1:61" s="27" customFormat="1" x14ac:dyDescent="0.25">
      <c r="A726" s="33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</row>
    <row r="727" spans="1:61" s="27" customFormat="1" x14ac:dyDescent="0.25">
      <c r="A727" s="33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</row>
    <row r="728" spans="1:61" s="27" customFormat="1" x14ac:dyDescent="0.25">
      <c r="A728" s="33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</row>
    <row r="729" spans="1:61" s="27" customFormat="1" x14ac:dyDescent="0.25">
      <c r="A729" s="33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</row>
    <row r="730" spans="1:61" s="27" customFormat="1" x14ac:dyDescent="0.25">
      <c r="A730" s="33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</row>
    <row r="731" spans="1:61" s="27" customFormat="1" x14ac:dyDescent="0.25">
      <c r="A731" s="33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</row>
    <row r="732" spans="1:61" s="27" customFormat="1" x14ac:dyDescent="0.25">
      <c r="A732" s="33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</row>
    <row r="733" spans="1:61" s="27" customFormat="1" x14ac:dyDescent="0.25">
      <c r="A733" s="33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</row>
    <row r="734" spans="1:61" s="27" customFormat="1" x14ac:dyDescent="0.25">
      <c r="A734" s="33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</row>
    <row r="735" spans="1:61" s="27" customFormat="1" x14ac:dyDescent="0.25">
      <c r="A735" s="33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</row>
    <row r="736" spans="1:61" s="27" customFormat="1" x14ac:dyDescent="0.25">
      <c r="A736" s="33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</row>
    <row r="737" spans="1:61" s="27" customFormat="1" x14ac:dyDescent="0.25">
      <c r="A737" s="33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</row>
    <row r="738" spans="1:61" s="27" customFormat="1" x14ac:dyDescent="0.25">
      <c r="A738" s="33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</row>
    <row r="739" spans="1:61" s="27" customFormat="1" x14ac:dyDescent="0.25">
      <c r="A739" s="33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</row>
    <row r="740" spans="1:61" s="27" customFormat="1" x14ac:dyDescent="0.25">
      <c r="A740" s="33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</row>
    <row r="741" spans="1:61" s="27" customFormat="1" x14ac:dyDescent="0.25">
      <c r="A741" s="33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</row>
    <row r="742" spans="1:61" s="27" customFormat="1" x14ac:dyDescent="0.25">
      <c r="A742" s="33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</row>
    <row r="743" spans="1:61" s="27" customFormat="1" x14ac:dyDescent="0.25">
      <c r="A743" s="33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</row>
    <row r="744" spans="1:61" s="27" customFormat="1" x14ac:dyDescent="0.25">
      <c r="A744" s="33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</row>
    <row r="745" spans="1:61" s="27" customFormat="1" x14ac:dyDescent="0.25">
      <c r="A745" s="33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</row>
    <row r="746" spans="1:61" s="27" customFormat="1" x14ac:dyDescent="0.25">
      <c r="A746" s="33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</row>
    <row r="747" spans="1:61" s="27" customFormat="1" x14ac:dyDescent="0.25">
      <c r="A747" s="33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</row>
    <row r="748" spans="1:61" s="27" customFormat="1" x14ac:dyDescent="0.25">
      <c r="A748" s="33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</row>
    <row r="749" spans="1:61" s="27" customFormat="1" x14ac:dyDescent="0.25">
      <c r="A749" s="33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</row>
    <row r="750" spans="1:61" s="27" customFormat="1" x14ac:dyDescent="0.25">
      <c r="A750" s="33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</row>
    <row r="751" spans="1:61" s="27" customFormat="1" x14ac:dyDescent="0.25">
      <c r="A751" s="33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</row>
    <row r="752" spans="1:61" s="27" customFormat="1" x14ac:dyDescent="0.25">
      <c r="A752" s="33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</row>
    <row r="753" spans="1:61" s="27" customFormat="1" x14ac:dyDescent="0.25">
      <c r="A753" s="33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</row>
    <row r="754" spans="1:61" s="27" customFormat="1" x14ac:dyDescent="0.25">
      <c r="A754" s="33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</row>
    <row r="755" spans="1:61" s="27" customFormat="1" x14ac:dyDescent="0.25">
      <c r="A755" s="33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</row>
    <row r="756" spans="1:61" s="27" customFormat="1" x14ac:dyDescent="0.25">
      <c r="A756" s="33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</row>
    <row r="757" spans="1:61" s="27" customFormat="1" x14ac:dyDescent="0.25">
      <c r="A757" s="33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</row>
    <row r="758" spans="1:61" s="27" customFormat="1" x14ac:dyDescent="0.25">
      <c r="A758" s="33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</row>
    <row r="759" spans="1:61" s="27" customFormat="1" x14ac:dyDescent="0.25">
      <c r="A759" s="33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</row>
    <row r="760" spans="1:61" s="27" customFormat="1" x14ac:dyDescent="0.25">
      <c r="A760" s="33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</row>
    <row r="761" spans="1:61" s="27" customFormat="1" x14ac:dyDescent="0.25">
      <c r="A761" s="33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</row>
    <row r="762" spans="1:61" s="27" customFormat="1" x14ac:dyDescent="0.25">
      <c r="A762" s="33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</row>
    <row r="763" spans="1:61" s="27" customFormat="1" x14ac:dyDescent="0.25">
      <c r="A763" s="33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</row>
    <row r="764" spans="1:61" s="27" customFormat="1" x14ac:dyDescent="0.25">
      <c r="A764" s="33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</row>
    <row r="765" spans="1:61" s="27" customFormat="1" x14ac:dyDescent="0.25">
      <c r="A765" s="33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</row>
    <row r="766" spans="1:61" s="27" customFormat="1" x14ac:dyDescent="0.25">
      <c r="A766" s="33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</row>
    <row r="767" spans="1:61" s="27" customFormat="1" x14ac:dyDescent="0.25">
      <c r="A767" s="33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</row>
    <row r="768" spans="1:61" s="27" customFormat="1" x14ac:dyDescent="0.25">
      <c r="A768" s="33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</row>
    <row r="769" spans="1:61" s="27" customFormat="1" x14ac:dyDescent="0.25">
      <c r="A769" s="33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</row>
    <row r="770" spans="1:61" s="27" customFormat="1" x14ac:dyDescent="0.25">
      <c r="A770" s="33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</row>
    <row r="771" spans="1:61" s="27" customFormat="1" x14ac:dyDescent="0.25">
      <c r="A771" s="33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</row>
    <row r="772" spans="1:61" s="27" customFormat="1" x14ac:dyDescent="0.25">
      <c r="A772" s="33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</row>
    <row r="773" spans="1:61" s="27" customFormat="1" x14ac:dyDescent="0.25">
      <c r="A773" s="33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</row>
    <row r="774" spans="1:61" s="27" customFormat="1" x14ac:dyDescent="0.25">
      <c r="A774" s="33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</row>
    <row r="775" spans="1:61" s="27" customFormat="1" x14ac:dyDescent="0.25">
      <c r="A775" s="33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</row>
    <row r="776" spans="1:61" s="27" customFormat="1" x14ac:dyDescent="0.25">
      <c r="A776" s="33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</row>
    <row r="777" spans="1:61" s="27" customFormat="1" x14ac:dyDescent="0.25">
      <c r="A777" s="33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</row>
    <row r="778" spans="1:61" s="27" customFormat="1" x14ac:dyDescent="0.25">
      <c r="A778" s="33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</row>
    <row r="779" spans="1:61" s="27" customFormat="1" x14ac:dyDescent="0.25">
      <c r="A779" s="33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</row>
    <row r="780" spans="1:61" s="27" customFormat="1" x14ac:dyDescent="0.25">
      <c r="A780" s="33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</row>
    <row r="781" spans="1:61" s="27" customFormat="1" x14ac:dyDescent="0.25">
      <c r="A781" s="33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</row>
    <row r="782" spans="1:61" s="27" customFormat="1" x14ac:dyDescent="0.25">
      <c r="A782" s="33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</row>
    <row r="783" spans="1:61" s="27" customFormat="1" x14ac:dyDescent="0.25">
      <c r="A783" s="33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</row>
    <row r="784" spans="1:61" s="27" customFormat="1" x14ac:dyDescent="0.25">
      <c r="A784" s="33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</row>
    <row r="785" spans="1:61" s="27" customFormat="1" x14ac:dyDescent="0.25">
      <c r="A785" s="33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</row>
    <row r="786" spans="1:61" s="27" customFormat="1" x14ac:dyDescent="0.25">
      <c r="A786" s="33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</row>
    <row r="787" spans="1:61" s="27" customFormat="1" x14ac:dyDescent="0.25">
      <c r="A787" s="33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</row>
    <row r="788" spans="1:61" s="27" customFormat="1" x14ac:dyDescent="0.25">
      <c r="A788" s="33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</row>
    <row r="789" spans="1:61" s="27" customFormat="1" x14ac:dyDescent="0.25">
      <c r="A789" s="33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</row>
    <row r="790" spans="1:61" s="27" customFormat="1" x14ac:dyDescent="0.25">
      <c r="A790" s="33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</row>
    <row r="791" spans="1:61" s="27" customFormat="1" x14ac:dyDescent="0.25">
      <c r="A791" s="33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</row>
    <row r="792" spans="1:61" s="27" customFormat="1" x14ac:dyDescent="0.25">
      <c r="A792" s="33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</row>
    <row r="793" spans="1:61" s="27" customFormat="1" x14ac:dyDescent="0.25">
      <c r="A793" s="33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</row>
    <row r="794" spans="1:61" s="27" customFormat="1" x14ac:dyDescent="0.25">
      <c r="A794" s="33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</row>
    <row r="795" spans="1:61" s="27" customFormat="1" x14ac:dyDescent="0.25">
      <c r="A795" s="33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</row>
    <row r="796" spans="1:61" s="27" customFormat="1" x14ac:dyDescent="0.25">
      <c r="A796" s="33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</row>
    <row r="797" spans="1:61" s="27" customFormat="1" x14ac:dyDescent="0.25">
      <c r="A797" s="33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</row>
    <row r="798" spans="1:61" s="27" customFormat="1" x14ac:dyDescent="0.25">
      <c r="A798" s="33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</row>
    <row r="799" spans="1:61" s="27" customFormat="1" x14ac:dyDescent="0.25">
      <c r="A799" s="33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</row>
    <row r="800" spans="1:61" s="27" customFormat="1" x14ac:dyDescent="0.25">
      <c r="A800" s="33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</row>
    <row r="801" spans="1:61" s="27" customFormat="1" x14ac:dyDescent="0.25">
      <c r="A801" s="33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</row>
    <row r="802" spans="1:61" s="27" customFormat="1" x14ac:dyDescent="0.25">
      <c r="A802" s="33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</row>
    <row r="803" spans="1:61" s="27" customFormat="1" x14ac:dyDescent="0.25">
      <c r="A803" s="33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</row>
    <row r="804" spans="1:61" s="27" customFormat="1" x14ac:dyDescent="0.25">
      <c r="A804" s="33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</row>
    <row r="805" spans="1:61" s="27" customFormat="1" x14ac:dyDescent="0.25">
      <c r="A805" s="33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</row>
    <row r="806" spans="1:61" s="27" customFormat="1" x14ac:dyDescent="0.25">
      <c r="A806" s="33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</row>
    <row r="807" spans="1:61" s="27" customFormat="1" x14ac:dyDescent="0.25">
      <c r="A807" s="33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</row>
    <row r="808" spans="1:61" s="27" customFormat="1" x14ac:dyDescent="0.25">
      <c r="A808" s="33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</row>
    <row r="809" spans="1:61" s="27" customFormat="1" x14ac:dyDescent="0.25">
      <c r="A809" s="33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</row>
    <row r="810" spans="1:61" s="27" customFormat="1" x14ac:dyDescent="0.25">
      <c r="A810" s="33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</row>
    <row r="811" spans="1:61" s="27" customFormat="1" x14ac:dyDescent="0.25">
      <c r="A811" s="33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</row>
    <row r="812" spans="1:61" s="27" customFormat="1" x14ac:dyDescent="0.25">
      <c r="A812" s="33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</row>
    <row r="813" spans="1:61" s="27" customFormat="1" x14ac:dyDescent="0.25">
      <c r="A813" s="33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</row>
    <row r="814" spans="1:61" s="27" customFormat="1" x14ac:dyDescent="0.25">
      <c r="A814" s="33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</row>
    <row r="815" spans="1:61" s="27" customFormat="1" x14ac:dyDescent="0.25">
      <c r="A815" s="33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</row>
    <row r="816" spans="1:61" s="27" customFormat="1" x14ac:dyDescent="0.25">
      <c r="A816" s="33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</row>
    <row r="817" spans="1:61" s="27" customFormat="1" x14ac:dyDescent="0.25">
      <c r="A817" s="33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</row>
    <row r="818" spans="1:61" s="27" customFormat="1" x14ac:dyDescent="0.25">
      <c r="A818" s="33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</row>
    <row r="819" spans="1:61" s="27" customFormat="1" x14ac:dyDescent="0.25">
      <c r="A819" s="33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</row>
    <row r="820" spans="1:61" s="27" customFormat="1" x14ac:dyDescent="0.25">
      <c r="A820" s="33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</row>
    <row r="821" spans="1:61" s="27" customFormat="1" x14ac:dyDescent="0.25">
      <c r="A821" s="33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</row>
    <row r="822" spans="1:61" s="27" customFormat="1" x14ac:dyDescent="0.25">
      <c r="A822" s="33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</row>
    <row r="823" spans="1:61" s="27" customFormat="1" x14ac:dyDescent="0.25">
      <c r="A823" s="33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</row>
    <row r="824" spans="1:61" s="27" customFormat="1" x14ac:dyDescent="0.25">
      <c r="A824" s="33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</row>
    <row r="825" spans="1:61" s="27" customFormat="1" x14ac:dyDescent="0.25">
      <c r="A825" s="33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</row>
    <row r="826" spans="1:61" s="27" customFormat="1" x14ac:dyDescent="0.25">
      <c r="A826" s="33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</row>
    <row r="827" spans="1:61" s="27" customFormat="1" x14ac:dyDescent="0.25">
      <c r="A827" s="33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</row>
    <row r="828" spans="1:61" s="27" customFormat="1" x14ac:dyDescent="0.25">
      <c r="A828" s="33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</row>
    <row r="829" spans="1:61" s="27" customFormat="1" x14ac:dyDescent="0.25">
      <c r="A829" s="33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</row>
    <row r="830" spans="1:61" s="27" customFormat="1" x14ac:dyDescent="0.25">
      <c r="A830" s="33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</row>
    <row r="831" spans="1:61" s="27" customFormat="1" x14ac:dyDescent="0.25">
      <c r="A831" s="33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</row>
    <row r="832" spans="1:61" s="27" customFormat="1" x14ac:dyDescent="0.25">
      <c r="A832" s="33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</row>
    <row r="833" spans="1:61" s="27" customFormat="1" x14ac:dyDescent="0.25">
      <c r="A833" s="33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</row>
    <row r="834" spans="1:61" s="27" customFormat="1" x14ac:dyDescent="0.25">
      <c r="A834" s="33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</row>
    <row r="835" spans="1:61" s="27" customFormat="1" x14ac:dyDescent="0.25">
      <c r="A835" s="33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</row>
    <row r="836" spans="1:61" s="27" customFormat="1" x14ac:dyDescent="0.25">
      <c r="A836" s="33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</row>
    <row r="837" spans="1:61" s="27" customFormat="1" x14ac:dyDescent="0.25">
      <c r="A837" s="33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</row>
    <row r="838" spans="1:61" s="27" customFormat="1" x14ac:dyDescent="0.25">
      <c r="A838" s="33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</row>
    <row r="839" spans="1:61" s="27" customFormat="1" x14ac:dyDescent="0.25">
      <c r="A839" s="33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</row>
    <row r="840" spans="1:61" s="27" customFormat="1" x14ac:dyDescent="0.25">
      <c r="A840" s="33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</row>
    <row r="841" spans="1:61" s="27" customFormat="1" x14ac:dyDescent="0.25">
      <c r="A841" s="33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</row>
    <row r="842" spans="1:61" s="27" customFormat="1" x14ac:dyDescent="0.25">
      <c r="A842" s="33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</row>
    <row r="843" spans="1:61" s="27" customFormat="1" x14ac:dyDescent="0.25">
      <c r="A843" s="33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</row>
    <row r="844" spans="1:61" s="27" customFormat="1" x14ac:dyDescent="0.25">
      <c r="A844" s="33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</row>
    <row r="845" spans="1:61" s="27" customFormat="1" x14ac:dyDescent="0.25">
      <c r="A845" s="33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</row>
    <row r="846" spans="1:61" s="27" customFormat="1" x14ac:dyDescent="0.25">
      <c r="A846" s="33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</row>
    <row r="847" spans="1:61" s="27" customFormat="1" x14ac:dyDescent="0.25">
      <c r="A847" s="33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</row>
    <row r="848" spans="1:61" s="27" customFormat="1" x14ac:dyDescent="0.25">
      <c r="A848" s="33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</row>
    <row r="849" spans="1:61" s="27" customFormat="1" x14ac:dyDescent="0.25">
      <c r="A849" s="33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</row>
    <row r="850" spans="1:61" s="27" customFormat="1" x14ac:dyDescent="0.25">
      <c r="A850" s="33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</row>
    <row r="851" spans="1:61" s="27" customFormat="1" x14ac:dyDescent="0.25">
      <c r="A851" s="33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</row>
    <row r="852" spans="1:61" s="27" customFormat="1" x14ac:dyDescent="0.25">
      <c r="A852" s="33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</row>
    <row r="853" spans="1:61" s="27" customFormat="1" x14ac:dyDescent="0.25">
      <c r="A853" s="33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</row>
    <row r="854" spans="1:61" s="27" customFormat="1" x14ac:dyDescent="0.25">
      <c r="A854" s="33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</row>
    <row r="855" spans="1:61" s="27" customFormat="1" x14ac:dyDescent="0.25">
      <c r="A855" s="33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</row>
    <row r="856" spans="1:61" s="27" customFormat="1" x14ac:dyDescent="0.25">
      <c r="A856" s="33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</row>
    <row r="857" spans="1:61" s="27" customFormat="1" x14ac:dyDescent="0.25">
      <c r="A857" s="33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</row>
    <row r="858" spans="1:61" s="27" customFormat="1" x14ac:dyDescent="0.25">
      <c r="A858" s="33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</row>
    <row r="859" spans="1:61" s="27" customFormat="1" x14ac:dyDescent="0.25">
      <c r="A859" s="33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</row>
    <row r="860" spans="1:61" s="27" customFormat="1" x14ac:dyDescent="0.25">
      <c r="A860" s="33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</row>
    <row r="861" spans="1:61" s="27" customFormat="1" x14ac:dyDescent="0.25">
      <c r="A861" s="33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</row>
    <row r="862" spans="1:61" s="27" customFormat="1" x14ac:dyDescent="0.25">
      <c r="A862" s="33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</row>
    <row r="863" spans="1:61" s="27" customFormat="1" x14ac:dyDescent="0.25">
      <c r="A863" s="33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</row>
    <row r="864" spans="1:61" s="27" customFormat="1" x14ac:dyDescent="0.25">
      <c r="A864" s="33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</row>
    <row r="865" spans="1:61" s="27" customFormat="1" x14ac:dyDescent="0.25">
      <c r="A865" s="33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</row>
    <row r="866" spans="1:61" s="27" customFormat="1" x14ac:dyDescent="0.25">
      <c r="A866" s="33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</row>
    <row r="867" spans="1:61" s="27" customFormat="1" x14ac:dyDescent="0.25">
      <c r="A867" s="33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</row>
    <row r="868" spans="1:61" s="27" customFormat="1" x14ac:dyDescent="0.25">
      <c r="A868" s="33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</row>
    <row r="869" spans="1:61" s="27" customFormat="1" x14ac:dyDescent="0.25">
      <c r="A869" s="33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</row>
    <row r="870" spans="1:61" s="27" customFormat="1" x14ac:dyDescent="0.25">
      <c r="A870" s="33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</row>
    <row r="871" spans="1:61" s="27" customFormat="1" x14ac:dyDescent="0.25">
      <c r="A871" s="33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</row>
    <row r="872" spans="1:61" s="27" customFormat="1" x14ac:dyDescent="0.25">
      <c r="A872" s="33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</row>
    <row r="873" spans="1:61" s="27" customFormat="1" x14ac:dyDescent="0.25">
      <c r="A873" s="33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</row>
    <row r="874" spans="1:61" s="27" customFormat="1" x14ac:dyDescent="0.25">
      <c r="A874" s="33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</row>
    <row r="875" spans="1:61" s="27" customFormat="1" x14ac:dyDescent="0.25">
      <c r="A875" s="33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</row>
    <row r="876" spans="1:61" s="27" customFormat="1" x14ac:dyDescent="0.25">
      <c r="A876" s="33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</row>
    <row r="877" spans="1:61" s="27" customFormat="1" x14ac:dyDescent="0.25">
      <c r="A877" s="33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</row>
    <row r="878" spans="1:61" s="27" customFormat="1" x14ac:dyDescent="0.25">
      <c r="A878" s="33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</row>
    <row r="879" spans="1:61" s="27" customFormat="1" x14ac:dyDescent="0.25">
      <c r="A879" s="33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</row>
    <row r="880" spans="1:61" s="27" customFormat="1" x14ac:dyDescent="0.25">
      <c r="A880" s="33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</row>
    <row r="881" spans="1:61" s="27" customFormat="1" x14ac:dyDescent="0.25">
      <c r="A881" s="33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</row>
    <row r="882" spans="1:61" s="27" customFormat="1" x14ac:dyDescent="0.25">
      <c r="A882" s="33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</row>
    <row r="883" spans="1:61" s="27" customFormat="1" x14ac:dyDescent="0.25">
      <c r="A883" s="33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</row>
    <row r="884" spans="1:61" s="27" customFormat="1" x14ac:dyDescent="0.25">
      <c r="A884" s="33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</row>
    <row r="885" spans="1:61" s="27" customFormat="1" x14ac:dyDescent="0.25">
      <c r="A885" s="33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</row>
    <row r="886" spans="1:61" s="27" customFormat="1" x14ac:dyDescent="0.25">
      <c r="A886" s="33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</row>
    <row r="887" spans="1:61" s="27" customFormat="1" x14ac:dyDescent="0.25">
      <c r="A887" s="33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</row>
    <row r="888" spans="1:61" s="27" customFormat="1" x14ac:dyDescent="0.25">
      <c r="A888" s="33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</row>
    <row r="889" spans="1:61" s="27" customFormat="1" x14ac:dyDescent="0.25">
      <c r="A889" s="33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</row>
    <row r="890" spans="1:61" s="27" customFormat="1" x14ac:dyDescent="0.25">
      <c r="A890" s="33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</row>
    <row r="891" spans="1:61" s="27" customFormat="1" x14ac:dyDescent="0.25">
      <c r="A891" s="33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</row>
    <row r="892" spans="1:61" s="27" customFormat="1" x14ac:dyDescent="0.25">
      <c r="A892" s="33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</row>
    <row r="893" spans="1:61" s="27" customFormat="1" x14ac:dyDescent="0.25">
      <c r="A893" s="33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</row>
    <row r="894" spans="1:61" s="27" customFormat="1" x14ac:dyDescent="0.25">
      <c r="A894" s="33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</row>
    <row r="895" spans="1:61" s="27" customFormat="1" x14ac:dyDescent="0.25">
      <c r="A895" s="33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</row>
    <row r="896" spans="1:61" s="27" customFormat="1" x14ac:dyDescent="0.25">
      <c r="A896" s="33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</row>
    <row r="897" spans="1:61" s="27" customFormat="1" x14ac:dyDescent="0.25">
      <c r="A897" s="33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</row>
    <row r="898" spans="1:61" s="27" customFormat="1" x14ac:dyDescent="0.25">
      <c r="A898" s="33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</row>
    <row r="899" spans="1:61" s="27" customFormat="1" x14ac:dyDescent="0.25">
      <c r="A899" s="33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</row>
    <row r="900" spans="1:61" s="27" customFormat="1" x14ac:dyDescent="0.25">
      <c r="A900" s="33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</row>
    <row r="901" spans="1:61" s="27" customFormat="1" x14ac:dyDescent="0.25">
      <c r="A901" s="33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</row>
    <row r="902" spans="1:61" s="27" customFormat="1" x14ac:dyDescent="0.25">
      <c r="A902" s="33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</row>
    <row r="903" spans="1:61" s="27" customFormat="1" x14ac:dyDescent="0.25">
      <c r="A903" s="33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</row>
    <row r="904" spans="1:61" s="27" customFormat="1" x14ac:dyDescent="0.25">
      <c r="A904" s="33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</row>
    <row r="905" spans="1:61" s="27" customFormat="1" x14ac:dyDescent="0.25">
      <c r="A905" s="33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</row>
    <row r="906" spans="1:61" s="27" customFormat="1" x14ac:dyDescent="0.25">
      <c r="A906" s="33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</row>
    <row r="907" spans="1:61" s="27" customFormat="1" x14ac:dyDescent="0.25">
      <c r="A907" s="33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</row>
    <row r="908" spans="1:61" s="27" customFormat="1" x14ac:dyDescent="0.25">
      <c r="A908" s="33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</row>
    <row r="909" spans="1:61" s="27" customFormat="1" x14ac:dyDescent="0.25">
      <c r="A909" s="33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</row>
    <row r="910" spans="1:61" s="27" customFormat="1" x14ac:dyDescent="0.25">
      <c r="A910" s="33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</row>
    <row r="911" spans="1:61" s="27" customFormat="1" x14ac:dyDescent="0.25">
      <c r="A911" s="33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</row>
    <row r="912" spans="1:61" s="27" customFormat="1" x14ac:dyDescent="0.25">
      <c r="A912" s="33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</row>
    <row r="913" spans="1:61" s="27" customFormat="1" x14ac:dyDescent="0.25">
      <c r="A913" s="33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</row>
    <row r="914" spans="1:61" s="27" customFormat="1" x14ac:dyDescent="0.25">
      <c r="A914" s="33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</row>
    <row r="915" spans="1:61" s="27" customFormat="1" x14ac:dyDescent="0.25">
      <c r="A915" s="33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</row>
    <row r="916" spans="1:61" s="27" customFormat="1" x14ac:dyDescent="0.25">
      <c r="A916" s="33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</row>
    <row r="917" spans="1:61" s="27" customFormat="1" x14ac:dyDescent="0.25">
      <c r="A917" s="33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</row>
    <row r="918" spans="1:61" s="27" customFormat="1" x14ac:dyDescent="0.25">
      <c r="A918" s="33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</row>
    <row r="919" spans="1:61" s="27" customFormat="1" x14ac:dyDescent="0.25">
      <c r="A919" s="33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</row>
    <row r="920" spans="1:61" s="27" customFormat="1" x14ac:dyDescent="0.25">
      <c r="A920" s="33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</row>
    <row r="921" spans="1:61" s="27" customFormat="1" x14ac:dyDescent="0.25">
      <c r="A921" s="33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</row>
    <row r="922" spans="1:61" s="27" customFormat="1" x14ac:dyDescent="0.25">
      <c r="A922" s="33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</row>
    <row r="923" spans="1:61" s="27" customFormat="1" x14ac:dyDescent="0.25">
      <c r="A923" s="33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</row>
    <row r="924" spans="1:61" s="27" customFormat="1" x14ac:dyDescent="0.25">
      <c r="A924" s="33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</row>
    <row r="925" spans="1:61" s="27" customFormat="1" x14ac:dyDescent="0.25">
      <c r="A925" s="33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</row>
    <row r="926" spans="1:61" s="27" customFormat="1" x14ac:dyDescent="0.25">
      <c r="A926" s="33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</row>
    <row r="927" spans="1:61" s="27" customFormat="1" x14ac:dyDescent="0.25">
      <c r="A927" s="33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</row>
    <row r="928" spans="1:61" s="27" customFormat="1" x14ac:dyDescent="0.25">
      <c r="A928" s="33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</row>
    <row r="929" spans="1:61" s="27" customFormat="1" x14ac:dyDescent="0.25">
      <c r="A929" s="33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</row>
    <row r="930" spans="1:61" s="27" customFormat="1" x14ac:dyDescent="0.25">
      <c r="A930" s="33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</row>
    <row r="931" spans="1:61" s="27" customFormat="1" x14ac:dyDescent="0.25">
      <c r="A931" s="33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</row>
    <row r="932" spans="1:61" s="27" customFormat="1" x14ac:dyDescent="0.25">
      <c r="A932" s="33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</row>
    <row r="933" spans="1:61" s="27" customFormat="1" x14ac:dyDescent="0.25">
      <c r="A933" s="33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</row>
    <row r="934" spans="1:61" s="27" customFormat="1" x14ac:dyDescent="0.25">
      <c r="A934" s="33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</row>
    <row r="935" spans="1:61" s="27" customFormat="1" x14ac:dyDescent="0.25">
      <c r="A935" s="33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</row>
    <row r="936" spans="1:61" s="27" customFormat="1" x14ac:dyDescent="0.25">
      <c r="A936" s="33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</row>
    <row r="937" spans="1:61" s="27" customFormat="1" x14ac:dyDescent="0.25">
      <c r="A937" s="33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</row>
    <row r="938" spans="1:61" s="27" customFormat="1" x14ac:dyDescent="0.25">
      <c r="A938" s="33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</row>
    <row r="939" spans="1:61" s="27" customFormat="1" x14ac:dyDescent="0.25">
      <c r="A939" s="33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</row>
    <row r="940" spans="1:61" s="27" customFormat="1" x14ac:dyDescent="0.25">
      <c r="A940" s="33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</row>
    <row r="941" spans="1:61" x14ac:dyDescent="0.25">
      <c r="I941" s="25"/>
    </row>
    <row r="942" spans="1:61" x14ac:dyDescent="0.25">
      <c r="I942" s="25"/>
    </row>
    <row r="943" spans="1:61" x14ac:dyDescent="0.25">
      <c r="I943" s="25"/>
    </row>
    <row r="944" spans="1:61" x14ac:dyDescent="0.25">
      <c r="I944" s="25"/>
    </row>
    <row r="945" spans="9:9" x14ac:dyDescent="0.25">
      <c r="I945" s="25"/>
    </row>
    <row r="946" spans="9:9" x14ac:dyDescent="0.25">
      <c r="I946" s="25"/>
    </row>
    <row r="947" spans="9:9" x14ac:dyDescent="0.25">
      <c r="I947" s="25"/>
    </row>
    <row r="948" spans="9:9" x14ac:dyDescent="0.25">
      <c r="I948" s="25"/>
    </row>
    <row r="949" spans="9:9" x14ac:dyDescent="0.25">
      <c r="I949" s="25"/>
    </row>
    <row r="950" spans="9:9" x14ac:dyDescent="0.25">
      <c r="I950" s="25"/>
    </row>
    <row r="951" spans="9:9" x14ac:dyDescent="0.25">
      <c r="I951" s="25"/>
    </row>
    <row r="952" spans="9:9" x14ac:dyDescent="0.25">
      <c r="I952" s="25"/>
    </row>
    <row r="953" spans="9:9" x14ac:dyDescent="0.25">
      <c r="I953" s="25"/>
    </row>
    <row r="954" spans="9:9" x14ac:dyDescent="0.25">
      <c r="I954" s="25"/>
    </row>
    <row r="955" spans="9:9" x14ac:dyDescent="0.25">
      <c r="I955" s="25"/>
    </row>
    <row r="956" spans="9:9" x14ac:dyDescent="0.25">
      <c r="I956" s="25"/>
    </row>
    <row r="957" spans="9:9" x14ac:dyDescent="0.25">
      <c r="I957" s="25"/>
    </row>
    <row r="958" spans="9:9" x14ac:dyDescent="0.25">
      <c r="I958" s="25"/>
    </row>
    <row r="959" spans="9:9" x14ac:dyDescent="0.25">
      <c r="I959" s="25"/>
    </row>
    <row r="960" spans="9:9" x14ac:dyDescent="0.25">
      <c r="I960" s="25"/>
    </row>
    <row r="961" spans="9:9" x14ac:dyDescent="0.25">
      <c r="I961" s="25"/>
    </row>
    <row r="962" spans="9:9" x14ac:dyDescent="0.25">
      <c r="I962" s="25"/>
    </row>
    <row r="963" spans="9:9" x14ac:dyDescent="0.25">
      <c r="I963" s="25"/>
    </row>
    <row r="964" spans="9:9" x14ac:dyDescent="0.25">
      <c r="I964" s="25"/>
    </row>
    <row r="965" spans="9:9" x14ac:dyDescent="0.25">
      <c r="I965" s="25"/>
    </row>
    <row r="966" spans="9:9" x14ac:dyDescent="0.25">
      <c r="I966" s="25"/>
    </row>
    <row r="967" spans="9:9" x14ac:dyDescent="0.25">
      <c r="I967" s="25"/>
    </row>
    <row r="968" spans="9:9" x14ac:dyDescent="0.25">
      <c r="I968" s="25"/>
    </row>
    <row r="969" spans="9:9" x14ac:dyDescent="0.25">
      <c r="I969" s="25"/>
    </row>
    <row r="970" spans="9:9" x14ac:dyDescent="0.25">
      <c r="I970" s="25"/>
    </row>
    <row r="971" spans="9:9" x14ac:dyDescent="0.25">
      <c r="I971" s="25"/>
    </row>
    <row r="972" spans="9:9" x14ac:dyDescent="0.25">
      <c r="I972" s="25"/>
    </row>
    <row r="973" spans="9:9" x14ac:dyDescent="0.25">
      <c r="I973" s="25"/>
    </row>
    <row r="974" spans="9:9" x14ac:dyDescent="0.25">
      <c r="I974" s="25"/>
    </row>
    <row r="975" spans="9:9" x14ac:dyDescent="0.25">
      <c r="I975" s="25"/>
    </row>
    <row r="976" spans="9:9" x14ac:dyDescent="0.25">
      <c r="I976" s="25"/>
    </row>
    <row r="977" spans="9:9" x14ac:dyDescent="0.25">
      <c r="I977" s="25"/>
    </row>
    <row r="978" spans="9:9" x14ac:dyDescent="0.25">
      <c r="I978" s="25"/>
    </row>
    <row r="979" spans="9:9" x14ac:dyDescent="0.25">
      <c r="I979" s="25"/>
    </row>
    <row r="980" spans="9:9" x14ac:dyDescent="0.25">
      <c r="I980" s="25"/>
    </row>
    <row r="981" spans="9:9" x14ac:dyDescent="0.25">
      <c r="I981" s="25"/>
    </row>
    <row r="982" spans="9:9" x14ac:dyDescent="0.25">
      <c r="I982" s="25"/>
    </row>
    <row r="983" spans="9:9" x14ac:dyDescent="0.25">
      <c r="I983" s="25"/>
    </row>
    <row r="984" spans="9:9" x14ac:dyDescent="0.25">
      <c r="I984" s="25"/>
    </row>
    <row r="985" spans="9:9" x14ac:dyDescent="0.25">
      <c r="I985" s="25"/>
    </row>
    <row r="986" spans="9:9" x14ac:dyDescent="0.25">
      <c r="I986" s="25"/>
    </row>
    <row r="987" spans="9:9" x14ac:dyDescent="0.25">
      <c r="I987" s="25"/>
    </row>
    <row r="988" spans="9:9" x14ac:dyDescent="0.25">
      <c r="I988" s="25"/>
    </row>
    <row r="989" spans="9:9" x14ac:dyDescent="0.25">
      <c r="I989" s="25"/>
    </row>
    <row r="990" spans="9:9" x14ac:dyDescent="0.25">
      <c r="I990" s="25"/>
    </row>
    <row r="991" spans="9:9" x14ac:dyDescent="0.25">
      <c r="I991" s="25"/>
    </row>
    <row r="992" spans="9:9" x14ac:dyDescent="0.25">
      <c r="I992" s="25"/>
    </row>
    <row r="993" spans="9:9" x14ac:dyDescent="0.25">
      <c r="I993" s="25"/>
    </row>
    <row r="994" spans="9:9" x14ac:dyDescent="0.25">
      <c r="I994" s="25"/>
    </row>
    <row r="995" spans="9:9" x14ac:dyDescent="0.25">
      <c r="I995" s="25"/>
    </row>
    <row r="996" spans="9:9" x14ac:dyDescent="0.25">
      <c r="I996" s="25"/>
    </row>
    <row r="997" spans="9:9" x14ac:dyDescent="0.25">
      <c r="I997" s="25"/>
    </row>
    <row r="998" spans="9:9" x14ac:dyDescent="0.25">
      <c r="I998" s="25"/>
    </row>
    <row r="999" spans="9:9" x14ac:dyDescent="0.25">
      <c r="I999" s="25"/>
    </row>
    <row r="1000" spans="9:9" x14ac:dyDescent="0.25">
      <c r="I1000" s="25"/>
    </row>
    <row r="1001" spans="9:9" x14ac:dyDescent="0.25">
      <c r="I1001" s="25"/>
    </row>
    <row r="1002" spans="9:9" x14ac:dyDescent="0.25">
      <c r="I1002" s="25"/>
    </row>
    <row r="1003" spans="9:9" x14ac:dyDescent="0.25">
      <c r="I1003" s="25"/>
    </row>
    <row r="1004" spans="9:9" x14ac:dyDescent="0.25">
      <c r="I1004" s="25"/>
    </row>
    <row r="1005" spans="9:9" x14ac:dyDescent="0.25">
      <c r="I1005" s="25"/>
    </row>
    <row r="1006" spans="9:9" x14ac:dyDescent="0.25">
      <c r="I1006" s="25"/>
    </row>
    <row r="1007" spans="9:9" x14ac:dyDescent="0.25">
      <c r="I1007" s="25"/>
    </row>
    <row r="1008" spans="9:9" x14ac:dyDescent="0.25">
      <c r="I1008" s="25"/>
    </row>
    <row r="1009" spans="9:9" x14ac:dyDescent="0.25">
      <c r="I1009" s="25"/>
    </row>
    <row r="1010" spans="9:9" x14ac:dyDescent="0.25">
      <c r="I1010" s="25"/>
    </row>
    <row r="1011" spans="9:9" x14ac:dyDescent="0.25">
      <c r="I1011" s="25"/>
    </row>
    <row r="1012" spans="9:9" x14ac:dyDescent="0.25">
      <c r="I1012" s="25"/>
    </row>
    <row r="1013" spans="9:9" x14ac:dyDescent="0.25">
      <c r="I1013" s="25"/>
    </row>
    <row r="1014" spans="9:9" x14ac:dyDescent="0.25">
      <c r="I1014" s="25"/>
    </row>
    <row r="1015" spans="9:9" x14ac:dyDescent="0.25">
      <c r="I1015" s="25"/>
    </row>
    <row r="1016" spans="9:9" x14ac:dyDescent="0.25">
      <c r="I1016" s="25"/>
    </row>
    <row r="1017" spans="9:9" x14ac:dyDescent="0.25">
      <c r="I1017" s="25"/>
    </row>
    <row r="1018" spans="9:9" x14ac:dyDescent="0.25">
      <c r="I1018" s="25"/>
    </row>
    <row r="1019" spans="9:9" x14ac:dyDescent="0.25">
      <c r="I1019" s="25"/>
    </row>
    <row r="1020" spans="9:9" x14ac:dyDescent="0.25">
      <c r="I1020" s="25"/>
    </row>
    <row r="1021" spans="9:9" x14ac:dyDescent="0.25">
      <c r="I1021" s="25"/>
    </row>
    <row r="1022" spans="9:9" x14ac:dyDescent="0.25">
      <c r="I1022" s="25"/>
    </row>
    <row r="1023" spans="9:9" x14ac:dyDescent="0.25">
      <c r="I1023" s="25"/>
    </row>
    <row r="1024" spans="9:9" x14ac:dyDescent="0.25">
      <c r="I1024" s="25"/>
    </row>
    <row r="1025" spans="9:9" x14ac:dyDescent="0.25">
      <c r="I1025" s="25"/>
    </row>
    <row r="1026" spans="9:9" x14ac:dyDescent="0.25">
      <c r="I1026" s="25"/>
    </row>
    <row r="1027" spans="9:9" x14ac:dyDescent="0.25">
      <c r="I1027" s="25"/>
    </row>
    <row r="1028" spans="9:9" x14ac:dyDescent="0.25">
      <c r="I1028" s="25"/>
    </row>
    <row r="1029" spans="9:9" x14ac:dyDescent="0.25">
      <c r="I1029" s="25"/>
    </row>
    <row r="1030" spans="9:9" x14ac:dyDescent="0.25">
      <c r="I1030" s="25"/>
    </row>
    <row r="1031" spans="9:9" x14ac:dyDescent="0.25">
      <c r="I1031" s="25"/>
    </row>
    <row r="1032" spans="9:9" x14ac:dyDescent="0.25">
      <c r="I1032" s="25"/>
    </row>
    <row r="1033" spans="9:9" x14ac:dyDescent="0.25">
      <c r="I1033" s="25"/>
    </row>
    <row r="1034" spans="9:9" x14ac:dyDescent="0.25">
      <c r="I1034" s="25"/>
    </row>
    <row r="1035" spans="9:9" x14ac:dyDescent="0.25">
      <c r="I1035" s="25"/>
    </row>
    <row r="1036" spans="9:9" x14ac:dyDescent="0.25">
      <c r="I1036" s="25"/>
    </row>
    <row r="1037" spans="9:9" x14ac:dyDescent="0.25">
      <c r="I1037" s="25"/>
    </row>
    <row r="1038" spans="9:9" x14ac:dyDescent="0.25">
      <c r="I1038" s="25"/>
    </row>
    <row r="1039" spans="9:9" x14ac:dyDescent="0.25">
      <c r="I1039" s="25"/>
    </row>
    <row r="1040" spans="9:9" x14ac:dyDescent="0.25">
      <c r="I1040" s="25"/>
    </row>
    <row r="1041" spans="9:9" x14ac:dyDescent="0.25">
      <c r="I1041" s="25"/>
    </row>
    <row r="1042" spans="9:9" x14ac:dyDescent="0.25">
      <c r="I1042" s="25"/>
    </row>
    <row r="1043" spans="9:9" x14ac:dyDescent="0.25">
      <c r="I1043" s="25"/>
    </row>
    <row r="1044" spans="9:9" x14ac:dyDescent="0.25">
      <c r="I1044" s="25"/>
    </row>
    <row r="1045" spans="9:9" x14ac:dyDescent="0.25">
      <c r="I1045" s="25"/>
    </row>
    <row r="1046" spans="9:9" x14ac:dyDescent="0.25">
      <c r="I1046" s="25"/>
    </row>
    <row r="1047" spans="9:9" x14ac:dyDescent="0.25">
      <c r="I1047" s="25"/>
    </row>
    <row r="1048" spans="9:9" x14ac:dyDescent="0.25">
      <c r="I1048" s="25"/>
    </row>
    <row r="1049" spans="9:9" x14ac:dyDescent="0.25">
      <c r="I1049" s="25"/>
    </row>
    <row r="1050" spans="9:9" x14ac:dyDescent="0.25">
      <c r="I1050" s="25"/>
    </row>
    <row r="1051" spans="9:9" x14ac:dyDescent="0.25">
      <c r="I1051" s="25"/>
    </row>
    <row r="1052" spans="9:9" x14ac:dyDescent="0.25">
      <c r="I1052" s="25"/>
    </row>
    <row r="1053" spans="9:9" x14ac:dyDescent="0.25">
      <c r="I1053" s="25"/>
    </row>
    <row r="1054" spans="9:9" x14ac:dyDescent="0.25">
      <c r="I1054" s="25"/>
    </row>
    <row r="1055" spans="9:9" x14ac:dyDescent="0.25">
      <c r="I1055" s="25"/>
    </row>
    <row r="1056" spans="9:9" x14ac:dyDescent="0.25">
      <c r="I1056" s="25"/>
    </row>
    <row r="1057" spans="9:9" x14ac:dyDescent="0.25">
      <c r="I1057" s="25"/>
    </row>
    <row r="1058" spans="9:9" x14ac:dyDescent="0.25">
      <c r="I1058" s="25"/>
    </row>
    <row r="1059" spans="9:9" x14ac:dyDescent="0.25">
      <c r="I1059" s="25"/>
    </row>
    <row r="1060" spans="9:9" x14ac:dyDescent="0.25">
      <c r="I1060" s="25"/>
    </row>
    <row r="1061" spans="9:9" x14ac:dyDescent="0.25">
      <c r="I1061" s="25"/>
    </row>
    <row r="1062" spans="9:9" x14ac:dyDescent="0.25">
      <c r="I1062" s="25"/>
    </row>
    <row r="1063" spans="9:9" x14ac:dyDescent="0.25">
      <c r="I1063" s="25"/>
    </row>
    <row r="1064" spans="9:9" x14ac:dyDescent="0.25">
      <c r="I1064" s="25"/>
    </row>
    <row r="1065" spans="9:9" x14ac:dyDescent="0.25">
      <c r="I1065" s="25"/>
    </row>
    <row r="1066" spans="9:9" x14ac:dyDescent="0.25">
      <c r="I1066" s="25"/>
    </row>
    <row r="1067" spans="9:9" x14ac:dyDescent="0.25">
      <c r="I1067" s="25"/>
    </row>
    <row r="1068" spans="9:9" x14ac:dyDescent="0.25">
      <c r="I1068" s="25"/>
    </row>
    <row r="1069" spans="9:9" x14ac:dyDescent="0.25">
      <c r="I1069" s="25"/>
    </row>
    <row r="1070" spans="9:9" x14ac:dyDescent="0.25">
      <c r="I1070" s="25"/>
    </row>
    <row r="1071" spans="9:9" x14ac:dyDescent="0.25">
      <c r="I1071" s="25"/>
    </row>
    <row r="1072" spans="9:9" x14ac:dyDescent="0.25">
      <c r="I1072" s="25"/>
    </row>
    <row r="1073" spans="9:9" x14ac:dyDescent="0.25">
      <c r="I1073" s="25"/>
    </row>
    <row r="1074" spans="9:9" x14ac:dyDescent="0.25">
      <c r="I1074" s="25"/>
    </row>
  </sheetData>
  <sheetProtection password="C6D5" sheet="1" objects="1" scenarios="1" sort="0" autoFilter="0" pivotTables="0"/>
  <autoFilter ref="A1:ABJ137"/>
  <sortState ref="A2:N1098">
    <sortCondition ref="E2:E1098"/>
  </sortState>
  <dataConsolidate/>
  <conditionalFormatting sqref="I37:I40 I77:I78 I102:I106 I93:I97 I99:I100 I108:I111 I114:I122 I46:I55 I57:I73 I81:I91 I124:I136 I29:I33 I138:I1048576 I2">
    <cfRule type="cellIs" dxfId="60" priority="4336" operator="equal">
      <formula>"folga ano novo"</formula>
    </cfRule>
    <cfRule type="cellIs" dxfId="59" priority="4337" operator="equal">
      <formula>"folga natal"</formula>
    </cfRule>
  </conditionalFormatting>
  <conditionalFormatting sqref="H134:H1048576">
    <cfRule type="cellIs" dxfId="58" priority="2935" operator="lessThan">
      <formula>#REF!</formula>
    </cfRule>
    <cfRule type="cellIs" dxfId="57" priority="2936" operator="greaterThan">
      <formula>#REF!</formula>
    </cfRule>
  </conditionalFormatting>
  <conditionalFormatting sqref="I4:I10 I12:I28">
    <cfRule type="cellIs" dxfId="56" priority="2129" operator="equal">
      <formula>"folga ano novo"</formula>
    </cfRule>
    <cfRule type="cellIs" dxfId="55" priority="2130" operator="equal">
      <formula>"folga natal"</formula>
    </cfRule>
  </conditionalFormatting>
  <conditionalFormatting sqref="H2:H133">
    <cfRule type="cellIs" dxfId="54" priority="720" operator="greaterThan">
      <formula>#REF!</formula>
    </cfRule>
    <cfRule type="cellIs" dxfId="53" priority="721" operator="between">
      <formula>#REF!</formula>
      <formula>44926</formula>
    </cfRule>
  </conditionalFormatting>
  <conditionalFormatting sqref="I1">
    <cfRule type="cellIs" dxfId="52" priority="10" operator="equal">
      <formula>"folga ano novo"</formula>
    </cfRule>
    <cfRule type="cellIs" dxfId="51" priority="11" operator="equal">
      <formula>"folga natal"</formula>
    </cfRule>
  </conditionalFormatting>
  <conditionalFormatting sqref="L2:L24 L26:L133">
    <cfRule type="cellIs" dxfId="50" priority="8" operator="lessThan">
      <formula>#REF!</formula>
    </cfRule>
    <cfRule type="cellIs" dxfId="49" priority="9" operator="greaterThan">
      <formula>#REF!</formula>
    </cfRule>
  </conditionalFormatting>
  <conditionalFormatting sqref="L2:L24 L26:L137">
    <cfRule type="cellIs" dxfId="48" priority="7" operator="lessThan">
      <formula>#REF!</formula>
    </cfRule>
  </conditionalFormatting>
  <conditionalFormatting sqref="O2:O137">
    <cfRule type="cellIs" dxfId="47" priority="4" operator="lessThan">
      <formula>#REF!</formula>
    </cfRule>
    <cfRule type="cellIs" dxfId="46" priority="5" operator="lessThan">
      <formula>#REF!</formula>
    </cfRule>
    <cfRule type="cellIs" dxfId="45" priority="6" operator="greaterThan">
      <formula>#REF!</formula>
    </cfRule>
  </conditionalFormatting>
  <conditionalFormatting sqref="L25">
    <cfRule type="cellIs" dxfId="44" priority="1" operator="lessThan">
      <formula>#REF!</formula>
    </cfRule>
    <cfRule type="cellIs" dxfId="43" priority="2" operator="lessThan">
      <formula>#REF!</formula>
    </cfRule>
    <cfRule type="cellIs" dxfId="42" priority="3" operator="greaterThan">
      <formula>#REF!</formula>
    </cfRule>
  </conditionalFormatting>
  <printOptions horizontalCentered="1" verticalCentered="1"/>
  <pageMargins left="0" right="0" top="0.15748031496062992" bottom="0.15748031496062992" header="0" footer="0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Opções!$E$2:$E$15</xm:f>
          </x14:formula1>
          <xm:sqref>E3:E4 E6:E55 E57:E137</xm:sqref>
        </x14:dataValidation>
        <x14:dataValidation type="list" allowBlank="1" showInputMessage="1" showErrorMessage="1">
          <x14:formula1>
            <xm:f>Opções!$A$2:$A$14</xm:f>
          </x14:formula1>
          <xm:sqref>B3:B55 B57:B137</xm:sqref>
        </x14:dataValidation>
        <x14:dataValidation type="list" allowBlank="1" showInputMessage="1" showErrorMessage="1">
          <x14:formula1>
            <xm:f>[1]Opções!#REF!</xm:f>
          </x14:formula1>
          <xm:sqref>B2 B56 E2 E56 E5</xm:sqref>
        </x14:dataValidation>
        <x14:dataValidation type="list" allowBlank="1" showInputMessage="1" showErrorMessage="1">
          <x14:formula1>
            <xm:f>Opções!$K$11:$K$20</xm:f>
          </x14:formula1>
          <xm:sqref>I37:I40 I114:I122 I29:I33 I77:I78 I57:I73 I46:I55 I93:I97 I102:I106 I99:I100 I108:I111 I124:I133 I81:I91 I136</xm:sqref>
        </x14:dataValidation>
        <x14:dataValidation type="list" allowBlank="1" showInputMessage="1" showErrorMessage="1">
          <x14:formula1>
            <xm:f>Opções!$K$5:$K$10</xm:f>
          </x14:formula1>
          <xm:sqref>I2:I28</xm:sqref>
        </x14:dataValidation>
        <x14:dataValidation type="list" allowBlank="1" showInputMessage="1" showErrorMessage="1">
          <x14:formula1>
            <xm:f>Opções!$K$21:$K$22</xm:f>
          </x14:formula1>
          <xm:sqref>I112:I113 I98 I107 I34:I36 I41:I45 I56 I74:I76 I123 I79:I80 I101 I92</xm:sqref>
        </x14:dataValidation>
        <x14:dataValidation type="list" allowBlank="1" showInputMessage="1" showErrorMessage="1">
          <x14:formula1>
            <xm:f>Opções!$K$2:$K$3</xm:f>
          </x14:formula1>
          <xm:sqref>I134:I135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6"/>
  <sheetViews>
    <sheetView workbookViewId="0">
      <selection sqref="A1:I68"/>
    </sheetView>
  </sheetViews>
  <sheetFormatPr defaultRowHeight="15" x14ac:dyDescent="0.25"/>
  <cols>
    <col min="1" max="1" width="13.28515625" customWidth="1"/>
    <col min="2" max="2" width="9.42578125" customWidth="1"/>
    <col min="3" max="3" width="16.5703125" customWidth="1"/>
    <col min="4" max="4" width="21.5703125" customWidth="1"/>
    <col min="5" max="5" width="34.85546875" customWidth="1"/>
    <col min="6" max="6" width="31.28515625" customWidth="1"/>
    <col min="7" max="7" width="47.140625" customWidth="1"/>
    <col min="8" max="8" width="62.42578125" customWidth="1"/>
  </cols>
  <sheetData>
    <row r="1" spans="1:8" ht="17.25" customHeight="1" x14ac:dyDescent="0.25">
      <c r="A1" s="195"/>
      <c r="B1" s="197"/>
      <c r="C1" s="193"/>
      <c r="D1" s="191"/>
      <c r="E1" s="193"/>
      <c r="F1" s="189"/>
      <c r="G1" s="191"/>
      <c r="H1" s="187"/>
    </row>
    <row r="2" spans="1:8" ht="15" customHeight="1" x14ac:dyDescent="0.25">
      <c r="A2" s="196"/>
      <c r="B2" s="198"/>
      <c r="C2" s="194"/>
      <c r="D2" s="192"/>
      <c r="E2" s="194"/>
      <c r="F2" s="190"/>
      <c r="G2" s="192"/>
      <c r="H2" s="188"/>
    </row>
    <row r="3" spans="1:8" ht="21.75" customHeight="1" x14ac:dyDescent="0.25">
      <c r="A3" s="10"/>
      <c r="B3" s="45"/>
      <c r="C3" s="21"/>
      <c r="D3" s="1"/>
      <c r="E3" s="62"/>
      <c r="F3" s="34"/>
      <c r="G3" s="34"/>
      <c r="H3" s="12"/>
    </row>
    <row r="4" spans="1:8" ht="21.75" customHeight="1" x14ac:dyDescent="0.25">
      <c r="A4" s="10"/>
      <c r="B4" s="45"/>
      <c r="C4" s="21"/>
      <c r="D4" s="21"/>
      <c r="E4" s="61"/>
      <c r="F4" s="34"/>
      <c r="G4" s="34"/>
      <c r="H4" s="12"/>
    </row>
    <row r="5" spans="1:8" x14ac:dyDescent="0.25">
      <c r="A5" s="10"/>
      <c r="B5" s="44"/>
      <c r="C5" s="19"/>
      <c r="D5" s="19"/>
      <c r="E5" s="30"/>
      <c r="F5" s="34"/>
      <c r="G5" s="34"/>
      <c r="H5" s="14"/>
    </row>
    <row r="6" spans="1:8" x14ac:dyDescent="0.25">
      <c r="A6" s="10"/>
      <c r="B6" s="44"/>
      <c r="C6" s="19"/>
      <c r="D6" s="34"/>
      <c r="E6" s="53"/>
      <c r="F6" s="34"/>
      <c r="G6" s="34"/>
      <c r="H6" s="14"/>
    </row>
    <row r="7" spans="1:8" x14ac:dyDescent="0.25">
      <c r="A7" s="11"/>
      <c r="B7" s="28"/>
      <c r="C7" s="19"/>
      <c r="D7" s="19"/>
      <c r="E7" s="30"/>
      <c r="F7" s="19"/>
      <c r="G7" s="19"/>
      <c r="H7" s="14"/>
    </row>
    <row r="19" spans="8:16" x14ac:dyDescent="0.25">
      <c r="H19" s="32"/>
      <c r="I19" s="34"/>
      <c r="J19" s="34" t="s">
        <v>43</v>
      </c>
      <c r="K19" s="19" t="s">
        <v>314</v>
      </c>
      <c r="L19" s="19" t="s">
        <v>315</v>
      </c>
      <c r="M19" s="53" t="s">
        <v>316</v>
      </c>
      <c r="N19" s="4" t="s">
        <v>357</v>
      </c>
      <c r="O19" s="19" t="s">
        <v>8</v>
      </c>
      <c r="P19" s="34" t="s">
        <v>11</v>
      </c>
    </row>
    <row r="20" spans="8:16" x14ac:dyDescent="0.25">
      <c r="H20" s="32"/>
      <c r="I20" s="34"/>
      <c r="J20" s="44" t="s">
        <v>46</v>
      </c>
      <c r="K20" s="19" t="s">
        <v>50</v>
      </c>
      <c r="L20" s="34" t="s">
        <v>165</v>
      </c>
      <c r="M20" s="47" t="s">
        <v>51</v>
      </c>
      <c r="N20" s="4"/>
      <c r="O20" s="17"/>
      <c r="P20" s="34" t="s">
        <v>11</v>
      </c>
    </row>
    <row r="21" spans="8:16" x14ac:dyDescent="0.25">
      <c r="H21" s="32"/>
      <c r="I21" s="34"/>
      <c r="J21" s="44" t="s">
        <v>46</v>
      </c>
      <c r="K21" s="19" t="s">
        <v>429</v>
      </c>
      <c r="L21" s="34" t="s">
        <v>430</v>
      </c>
      <c r="M21" s="47" t="s">
        <v>431</v>
      </c>
      <c r="N21" s="4"/>
      <c r="O21" s="17"/>
      <c r="P21" s="34" t="s">
        <v>11</v>
      </c>
    </row>
    <row r="22" spans="8:16" x14ac:dyDescent="0.25">
      <c r="H22" s="32"/>
      <c r="I22" s="34"/>
      <c r="J22" s="44" t="s">
        <v>46</v>
      </c>
      <c r="K22" s="19" t="s">
        <v>312</v>
      </c>
      <c r="L22" s="34" t="s">
        <v>313</v>
      </c>
      <c r="M22" s="54" t="s">
        <v>335</v>
      </c>
      <c r="N22" s="4"/>
      <c r="O22" s="17"/>
      <c r="P22" s="34" t="s">
        <v>11</v>
      </c>
    </row>
    <row r="23" spans="8:16" x14ac:dyDescent="0.25">
      <c r="H23" s="32"/>
      <c r="I23" s="34"/>
      <c r="J23" s="44" t="s">
        <v>46</v>
      </c>
      <c r="K23" s="19" t="s">
        <v>53</v>
      </c>
      <c r="L23" s="34" t="s">
        <v>166</v>
      </c>
      <c r="M23" s="54" t="s">
        <v>383</v>
      </c>
      <c r="N23" s="4"/>
      <c r="O23" s="17"/>
      <c r="P23" s="34" t="s">
        <v>11</v>
      </c>
    </row>
    <row r="24" spans="8:16" x14ac:dyDescent="0.25">
      <c r="H24" s="32"/>
      <c r="I24" s="34"/>
      <c r="J24" s="44" t="s">
        <v>46</v>
      </c>
      <c r="K24" s="19" t="s">
        <v>301</v>
      </c>
      <c r="L24" s="34" t="s">
        <v>302</v>
      </c>
      <c r="M24" s="47" t="s">
        <v>303</v>
      </c>
      <c r="N24" s="4"/>
      <c r="O24" s="17"/>
      <c r="P24" s="34" t="s">
        <v>11</v>
      </c>
    </row>
    <row r="25" spans="8:16" x14ac:dyDescent="0.25">
      <c r="H25" s="32"/>
      <c r="I25" s="19"/>
      <c r="J25" s="28" t="s">
        <v>55</v>
      </c>
      <c r="K25" s="19" t="s">
        <v>57</v>
      </c>
      <c r="L25" s="19" t="s">
        <v>280</v>
      </c>
      <c r="M25" s="55" t="s">
        <v>281</v>
      </c>
      <c r="N25" s="35"/>
      <c r="O25" s="17"/>
      <c r="P25" s="34" t="s">
        <v>11</v>
      </c>
    </row>
    <row r="26" spans="8:16" x14ac:dyDescent="0.25">
      <c r="H26" s="32"/>
      <c r="I26" s="34"/>
      <c r="J26" s="44" t="s">
        <v>55</v>
      </c>
      <c r="K26" s="19" t="s">
        <v>59</v>
      </c>
      <c r="L26" s="19" t="s">
        <v>167</v>
      </c>
      <c r="M26" s="54" t="s">
        <v>60</v>
      </c>
      <c r="N26" s="4"/>
      <c r="O26" s="17"/>
      <c r="P26" s="34" t="s">
        <v>11</v>
      </c>
    </row>
    <row r="27" spans="8:16" ht="63.75" x14ac:dyDescent="0.25">
      <c r="H27" s="32"/>
      <c r="I27" s="34"/>
      <c r="J27" s="28" t="s">
        <v>55</v>
      </c>
      <c r="K27" s="23" t="s">
        <v>67</v>
      </c>
      <c r="L27" s="23" t="s">
        <v>169</v>
      </c>
      <c r="M27" s="52" t="s">
        <v>68</v>
      </c>
      <c r="N27" s="2"/>
      <c r="O27" s="17"/>
      <c r="P27" s="34" t="s">
        <v>11</v>
      </c>
    </row>
    <row r="28" spans="8:16" ht="51" x14ac:dyDescent="0.25">
      <c r="H28" s="32"/>
      <c r="I28" s="34"/>
      <c r="J28" s="44" t="s">
        <v>55</v>
      </c>
      <c r="K28" s="23" t="s">
        <v>70</v>
      </c>
      <c r="L28" s="23" t="s">
        <v>170</v>
      </c>
      <c r="M28" s="52" t="s">
        <v>71</v>
      </c>
      <c r="N28" s="2"/>
      <c r="O28" s="17"/>
      <c r="P28" s="34" t="s">
        <v>11</v>
      </c>
    </row>
    <row r="29" spans="8:16" ht="38.25" x14ac:dyDescent="0.25">
      <c r="H29" s="32"/>
      <c r="I29" s="34"/>
      <c r="J29" s="28" t="s">
        <v>55</v>
      </c>
      <c r="K29" s="23" t="s">
        <v>72</v>
      </c>
      <c r="L29" s="23" t="s">
        <v>171</v>
      </c>
      <c r="M29" s="52" t="s">
        <v>73</v>
      </c>
      <c r="N29" s="26"/>
      <c r="O29" s="17"/>
      <c r="P29" s="34" t="s">
        <v>11</v>
      </c>
    </row>
    <row r="30" spans="8:16" x14ac:dyDescent="0.25">
      <c r="H30" s="32"/>
      <c r="I30" s="19"/>
      <c r="J30" s="28" t="s">
        <v>55</v>
      </c>
      <c r="K30" s="19" t="s">
        <v>296</v>
      </c>
      <c r="L30" s="19" t="s">
        <v>177</v>
      </c>
      <c r="M30" s="30" t="s">
        <v>297</v>
      </c>
      <c r="N30" s="35"/>
      <c r="O30" s="17"/>
      <c r="P30" s="17" t="s">
        <v>11</v>
      </c>
    </row>
    <row r="31" spans="8:16" x14ac:dyDescent="0.25">
      <c r="H31" s="32"/>
      <c r="I31" s="19"/>
      <c r="J31" s="28" t="s">
        <v>55</v>
      </c>
      <c r="K31" s="19" t="s">
        <v>349</v>
      </c>
      <c r="L31" s="19" t="s">
        <v>168</v>
      </c>
      <c r="M31" s="30" t="s">
        <v>352</v>
      </c>
      <c r="N31" s="35"/>
      <c r="O31" s="17"/>
      <c r="P31" s="34" t="s">
        <v>11</v>
      </c>
    </row>
    <row r="32" spans="8:16" x14ac:dyDescent="0.25">
      <c r="H32" s="32"/>
      <c r="I32" s="34"/>
      <c r="J32" s="48" t="s">
        <v>55</v>
      </c>
      <c r="K32" s="16" t="s">
        <v>351</v>
      </c>
      <c r="L32" s="27" t="s">
        <v>321</v>
      </c>
      <c r="M32" s="57" t="s">
        <v>353</v>
      </c>
      <c r="N32" s="35"/>
      <c r="O32" s="17"/>
      <c r="P32" s="34" t="s">
        <v>11</v>
      </c>
    </row>
    <row r="33" spans="8:16" x14ac:dyDescent="0.25">
      <c r="H33" s="32"/>
      <c r="I33" s="34"/>
      <c r="J33" s="44" t="s">
        <v>55</v>
      </c>
      <c r="K33" s="19" t="s">
        <v>160</v>
      </c>
      <c r="L33" s="19" t="s">
        <v>286</v>
      </c>
      <c r="M33" s="58" t="s">
        <v>284</v>
      </c>
      <c r="N33" s="4"/>
      <c r="O33" s="17"/>
      <c r="P33" s="34" t="s">
        <v>11</v>
      </c>
    </row>
    <row r="34" spans="8:16" x14ac:dyDescent="0.25">
      <c r="H34" s="32"/>
      <c r="I34" s="34"/>
      <c r="J34" s="44" t="s">
        <v>55</v>
      </c>
      <c r="K34" s="19" t="s">
        <v>80</v>
      </c>
      <c r="L34" s="19" t="s">
        <v>350</v>
      </c>
      <c r="M34" s="30" t="s">
        <v>354</v>
      </c>
      <c r="N34" s="35"/>
      <c r="O34" s="17"/>
      <c r="P34" s="34" t="s">
        <v>11</v>
      </c>
    </row>
    <row r="35" spans="8:16" x14ac:dyDescent="0.25">
      <c r="H35" s="32"/>
      <c r="I35" s="19"/>
      <c r="J35" s="28" t="s">
        <v>63</v>
      </c>
      <c r="K35" s="19" t="s">
        <v>83</v>
      </c>
      <c r="L35" s="19" t="s">
        <v>173</v>
      </c>
      <c r="M35" s="58" t="s">
        <v>384</v>
      </c>
      <c r="N35" s="35"/>
      <c r="O35" s="17"/>
      <c r="P35" s="19" t="s">
        <v>11</v>
      </c>
    </row>
    <row r="36" spans="8:16" x14ac:dyDescent="0.25">
      <c r="H36" s="32"/>
      <c r="I36" s="34"/>
      <c r="J36" s="44" t="s">
        <v>63</v>
      </c>
      <c r="K36" s="19" t="s">
        <v>291</v>
      </c>
      <c r="L36" s="19" t="s">
        <v>375</v>
      </c>
      <c r="M36" s="30" t="s">
        <v>373</v>
      </c>
      <c r="N36" s="35"/>
      <c r="O36" s="17"/>
      <c r="P36" s="17" t="s">
        <v>11</v>
      </c>
    </row>
    <row r="37" spans="8:16" x14ac:dyDescent="0.25">
      <c r="H37" s="32"/>
      <c r="I37" s="19"/>
      <c r="J37" s="44" t="s">
        <v>63</v>
      </c>
      <c r="K37" s="19" t="s">
        <v>342</v>
      </c>
      <c r="L37" s="19" t="s">
        <v>341</v>
      </c>
      <c r="M37" s="30" t="s">
        <v>340</v>
      </c>
      <c r="N37" s="35"/>
      <c r="O37" s="17"/>
      <c r="P37" s="34" t="s">
        <v>11</v>
      </c>
    </row>
    <row r="38" spans="8:16" x14ac:dyDescent="0.25">
      <c r="H38" s="32"/>
      <c r="I38" s="34"/>
      <c r="J38" s="44" t="s">
        <v>63</v>
      </c>
      <c r="K38" s="19" t="s">
        <v>346</v>
      </c>
      <c r="L38" s="19" t="s">
        <v>347</v>
      </c>
      <c r="M38" s="30" t="s">
        <v>348</v>
      </c>
      <c r="N38" s="35"/>
      <c r="O38" s="17"/>
      <c r="P38" s="17" t="s">
        <v>11</v>
      </c>
    </row>
    <row r="39" spans="8:16" x14ac:dyDescent="0.25">
      <c r="H39" s="32"/>
      <c r="I39" s="34"/>
      <c r="J39" s="44" t="s">
        <v>63</v>
      </c>
      <c r="K39" s="19" t="s">
        <v>343</v>
      </c>
      <c r="L39" s="19" t="s">
        <v>344</v>
      </c>
      <c r="M39" s="30" t="s">
        <v>345</v>
      </c>
      <c r="N39" s="35"/>
      <c r="O39" s="17"/>
      <c r="P39" s="34" t="s">
        <v>11</v>
      </c>
    </row>
    <row r="40" spans="8:16" x14ac:dyDescent="0.25">
      <c r="H40" s="32"/>
      <c r="I40" s="34"/>
      <c r="J40" s="44" t="s">
        <v>63</v>
      </c>
      <c r="K40" s="19" t="s">
        <v>416</v>
      </c>
      <c r="L40" s="19" t="s">
        <v>417</v>
      </c>
      <c r="M40" s="30" t="s">
        <v>415</v>
      </c>
      <c r="N40" s="35"/>
      <c r="O40" s="17"/>
      <c r="P40" s="34" t="s">
        <v>11</v>
      </c>
    </row>
    <row r="41" spans="8:16" x14ac:dyDescent="0.25">
      <c r="H41" s="32"/>
      <c r="I41" s="34"/>
      <c r="J41" s="44" t="s">
        <v>63</v>
      </c>
      <c r="K41" s="19" t="s">
        <v>419</v>
      </c>
      <c r="L41" s="19" t="s">
        <v>420</v>
      </c>
      <c r="M41" s="30" t="s">
        <v>418</v>
      </c>
      <c r="N41" s="35"/>
      <c r="O41" s="17"/>
      <c r="P41" s="34" t="s">
        <v>11</v>
      </c>
    </row>
    <row r="42" spans="8:16" x14ac:dyDescent="0.25">
      <c r="H42" s="32"/>
      <c r="I42" s="34"/>
      <c r="J42" s="44" t="s">
        <v>63</v>
      </c>
      <c r="K42" s="19" t="s">
        <v>422</v>
      </c>
      <c r="L42" s="19" t="s">
        <v>423</v>
      </c>
      <c r="M42" s="30" t="s">
        <v>421</v>
      </c>
      <c r="N42" s="35"/>
      <c r="O42" s="17"/>
      <c r="P42" s="34" t="s">
        <v>11</v>
      </c>
    </row>
    <row r="43" spans="8:16" x14ac:dyDescent="0.25">
      <c r="H43" s="32"/>
      <c r="I43" s="34"/>
      <c r="J43" s="44" t="s">
        <v>63</v>
      </c>
      <c r="K43" s="19" t="s">
        <v>427</v>
      </c>
      <c r="L43" s="19" t="s">
        <v>426</v>
      </c>
      <c r="M43" s="30" t="s">
        <v>425</v>
      </c>
      <c r="N43" s="35"/>
      <c r="O43" s="17"/>
      <c r="P43" s="34" t="s">
        <v>11</v>
      </c>
    </row>
    <row r="44" spans="8:16" ht="51" x14ac:dyDescent="0.25">
      <c r="H44" s="10"/>
      <c r="I44" s="34"/>
      <c r="J44" s="46" t="s">
        <v>74</v>
      </c>
      <c r="K44" s="21" t="s">
        <v>390</v>
      </c>
      <c r="L44" s="1" t="s">
        <v>391</v>
      </c>
      <c r="M44" s="56" t="s">
        <v>392</v>
      </c>
      <c r="N44" s="2"/>
      <c r="O44" s="17"/>
      <c r="P44" s="34" t="s">
        <v>11</v>
      </c>
    </row>
    <row r="45" spans="8:16" x14ac:dyDescent="0.25">
      <c r="H45" s="10"/>
      <c r="I45" s="34"/>
      <c r="J45" s="44" t="s">
        <v>74</v>
      </c>
      <c r="K45" s="19" t="s">
        <v>79</v>
      </c>
      <c r="L45" s="19" t="s">
        <v>172</v>
      </c>
      <c r="M45" s="47" t="s">
        <v>216</v>
      </c>
      <c r="N45" s="4"/>
      <c r="O45" s="17"/>
      <c r="P45" s="34" t="s">
        <v>11</v>
      </c>
    </row>
    <row r="46" spans="8:16" x14ac:dyDescent="0.25">
      <c r="H46" s="10"/>
      <c r="I46" s="19"/>
      <c r="J46" s="28" t="s">
        <v>74</v>
      </c>
      <c r="K46" s="19" t="s">
        <v>88</v>
      </c>
      <c r="L46" s="19" t="s">
        <v>174</v>
      </c>
      <c r="M46" s="30" t="s">
        <v>217</v>
      </c>
      <c r="N46" s="35" t="s">
        <v>357</v>
      </c>
      <c r="O46" s="17"/>
      <c r="P46" s="34" t="s">
        <v>11</v>
      </c>
    </row>
    <row r="47" spans="8:16" ht="38.25" x14ac:dyDescent="0.25">
      <c r="H47" s="10"/>
      <c r="I47" s="19"/>
      <c r="J47" s="45" t="s">
        <v>74</v>
      </c>
      <c r="K47" s="21" t="s">
        <v>89</v>
      </c>
      <c r="L47" s="21" t="s">
        <v>175</v>
      </c>
      <c r="M47" s="56" t="s">
        <v>218</v>
      </c>
      <c r="N47" s="35" t="s">
        <v>357</v>
      </c>
      <c r="O47" s="17"/>
      <c r="P47" s="34" t="s">
        <v>11</v>
      </c>
    </row>
    <row r="48" spans="8:16" ht="38.25" x14ac:dyDescent="0.25">
      <c r="H48" s="10"/>
      <c r="I48" s="19"/>
      <c r="J48" s="28" t="s">
        <v>74</v>
      </c>
      <c r="K48" s="21" t="s">
        <v>90</v>
      </c>
      <c r="L48" s="21" t="s">
        <v>176</v>
      </c>
      <c r="M48" s="52" t="s">
        <v>219</v>
      </c>
      <c r="N48" s="35" t="s">
        <v>357</v>
      </c>
      <c r="O48" s="17"/>
      <c r="P48" s="34" t="s">
        <v>11</v>
      </c>
    </row>
    <row r="49" spans="8:16" x14ac:dyDescent="0.25">
      <c r="H49" s="10"/>
      <c r="I49" s="30"/>
      <c r="J49" s="66" t="s">
        <v>74</v>
      </c>
      <c r="K49" s="19" t="s">
        <v>93</v>
      </c>
      <c r="L49" s="19" t="s">
        <v>178</v>
      </c>
      <c r="M49" s="30" t="s">
        <v>411</v>
      </c>
      <c r="N49" s="19"/>
      <c r="O49" s="19"/>
      <c r="P49" s="19" t="s">
        <v>11</v>
      </c>
    </row>
    <row r="50" spans="8:16" x14ac:dyDescent="0.25">
      <c r="H50" s="10"/>
      <c r="I50" s="19"/>
      <c r="J50" s="28" t="s">
        <v>74</v>
      </c>
      <c r="K50" s="19" t="s">
        <v>228</v>
      </c>
      <c r="L50" s="19" t="s">
        <v>179</v>
      </c>
      <c r="M50" s="30" t="s">
        <v>220</v>
      </c>
      <c r="N50" s="35" t="s">
        <v>357</v>
      </c>
      <c r="O50" s="17"/>
      <c r="P50" s="34" t="s">
        <v>11</v>
      </c>
    </row>
    <row r="51" spans="8:16" x14ac:dyDescent="0.25">
      <c r="H51" s="10"/>
      <c r="I51" s="19"/>
      <c r="J51" s="28" t="s">
        <v>74</v>
      </c>
      <c r="K51" s="19" t="s">
        <v>97</v>
      </c>
      <c r="L51" s="19" t="s">
        <v>414</v>
      </c>
      <c r="M51" s="30" t="s">
        <v>221</v>
      </c>
      <c r="N51" s="35" t="s">
        <v>299</v>
      </c>
      <c r="O51" s="17"/>
      <c r="P51" s="34" t="s">
        <v>11</v>
      </c>
    </row>
    <row r="52" spans="8:16" x14ac:dyDescent="0.25">
      <c r="H52" s="10"/>
      <c r="I52" s="19"/>
      <c r="J52" s="28" t="s">
        <v>74</v>
      </c>
      <c r="K52" s="19" t="s">
        <v>98</v>
      </c>
      <c r="L52" s="19" t="s">
        <v>180</v>
      </c>
      <c r="M52" s="30" t="s">
        <v>222</v>
      </c>
      <c r="N52" s="35" t="s">
        <v>357</v>
      </c>
      <c r="O52" s="17"/>
      <c r="P52" s="34" t="s">
        <v>11</v>
      </c>
    </row>
    <row r="53" spans="8:16" ht="38.25" x14ac:dyDescent="0.25">
      <c r="H53" s="10"/>
      <c r="I53" s="19"/>
      <c r="J53" s="45" t="s">
        <v>74</v>
      </c>
      <c r="K53" s="21" t="s">
        <v>103</v>
      </c>
      <c r="L53" s="21" t="s">
        <v>181</v>
      </c>
      <c r="M53" s="60" t="s">
        <v>215</v>
      </c>
      <c r="N53" s="34"/>
      <c r="O53" s="17"/>
      <c r="P53" s="34" t="s">
        <v>11</v>
      </c>
    </row>
    <row r="54" spans="8:16" x14ac:dyDescent="0.25">
      <c r="H54" s="10"/>
      <c r="I54" s="19"/>
      <c r="J54" s="28" t="s">
        <v>74</v>
      </c>
      <c r="K54" s="19" t="s">
        <v>106</v>
      </c>
      <c r="L54" s="19" t="s">
        <v>182</v>
      </c>
      <c r="M54" s="30" t="s">
        <v>214</v>
      </c>
      <c r="N54" s="35"/>
      <c r="O54" s="17"/>
      <c r="P54" s="34" t="s">
        <v>11</v>
      </c>
    </row>
    <row r="55" spans="8:16" x14ac:dyDescent="0.25">
      <c r="H55" s="10"/>
      <c r="I55" s="19"/>
      <c r="J55" s="28" t="s">
        <v>74</v>
      </c>
      <c r="K55" s="19" t="s">
        <v>337</v>
      </c>
      <c r="L55" s="19" t="s">
        <v>338</v>
      </c>
      <c r="M55" s="30" t="s">
        <v>339</v>
      </c>
      <c r="N55" s="35" t="s">
        <v>358</v>
      </c>
      <c r="O55" s="17"/>
      <c r="P55" s="34" t="s">
        <v>11</v>
      </c>
    </row>
    <row r="56" spans="8:16" x14ac:dyDescent="0.25">
      <c r="H56" s="10"/>
      <c r="I56" s="19"/>
      <c r="J56" s="28" t="s">
        <v>74</v>
      </c>
      <c r="K56" s="19" t="s">
        <v>229</v>
      </c>
      <c r="L56" s="19" t="s">
        <v>183</v>
      </c>
      <c r="M56" s="30" t="s">
        <v>213</v>
      </c>
      <c r="N56" s="35" t="s">
        <v>299</v>
      </c>
      <c r="O56" s="17"/>
      <c r="P56" s="34" t="s">
        <v>11</v>
      </c>
    </row>
    <row r="57" spans="8:16" x14ac:dyDescent="0.25">
      <c r="H57" s="10"/>
      <c r="I57" s="19"/>
      <c r="J57" s="28" t="s">
        <v>74</v>
      </c>
      <c r="K57" s="19" t="s">
        <v>109</v>
      </c>
      <c r="L57" s="19" t="s">
        <v>184</v>
      </c>
      <c r="M57" s="47" t="s">
        <v>212</v>
      </c>
      <c r="N57" s="4" t="s">
        <v>299</v>
      </c>
      <c r="O57" s="17"/>
      <c r="P57" s="34" t="s">
        <v>11</v>
      </c>
    </row>
    <row r="58" spans="8:16" ht="25.5" x14ac:dyDescent="0.25">
      <c r="H58" s="10"/>
      <c r="I58" s="19"/>
      <c r="J58" s="45" t="s">
        <v>74</v>
      </c>
      <c r="K58" s="21" t="s">
        <v>227</v>
      </c>
      <c r="L58" s="21" t="s">
        <v>185</v>
      </c>
      <c r="M58" s="61" t="s">
        <v>211</v>
      </c>
      <c r="N58" s="26"/>
      <c r="O58" s="17"/>
      <c r="P58" s="34" t="s">
        <v>11</v>
      </c>
    </row>
    <row r="59" spans="8:16" x14ac:dyDescent="0.25">
      <c r="H59" s="10"/>
      <c r="I59" s="34"/>
      <c r="J59" s="44" t="s">
        <v>74</v>
      </c>
      <c r="K59" s="19" t="s">
        <v>393</v>
      </c>
      <c r="L59" s="34" t="s">
        <v>394</v>
      </c>
      <c r="M59" s="59" t="s">
        <v>401</v>
      </c>
      <c r="N59" s="4"/>
      <c r="O59" s="17"/>
      <c r="P59" s="34" t="s">
        <v>11</v>
      </c>
    </row>
    <row r="60" spans="8:16" x14ac:dyDescent="0.25">
      <c r="H60" s="10"/>
      <c r="I60" s="34"/>
      <c r="J60" s="44" t="s">
        <v>74</v>
      </c>
      <c r="K60" s="19" t="s">
        <v>120</v>
      </c>
      <c r="L60" s="19" t="s">
        <v>186</v>
      </c>
      <c r="M60" s="30" t="s">
        <v>210</v>
      </c>
      <c r="N60" s="35" t="s">
        <v>299</v>
      </c>
      <c r="O60" s="17"/>
      <c r="P60" s="17" t="s">
        <v>11</v>
      </c>
    </row>
    <row r="61" spans="8:16" ht="38.25" x14ac:dyDescent="0.25">
      <c r="H61" s="10"/>
      <c r="I61" s="34"/>
      <c r="J61" s="46" t="s">
        <v>74</v>
      </c>
      <c r="K61" s="21" t="s">
        <v>428</v>
      </c>
      <c r="L61" s="1" t="s">
        <v>409</v>
      </c>
      <c r="M61" s="56" t="s">
        <v>410</v>
      </c>
      <c r="N61" s="2"/>
      <c r="O61" s="17"/>
      <c r="P61" s="34" t="s">
        <v>11</v>
      </c>
    </row>
    <row r="62" spans="8:16" ht="51" x14ac:dyDescent="0.25">
      <c r="H62" s="10"/>
      <c r="I62" s="34"/>
      <c r="J62" s="67" t="s">
        <v>74</v>
      </c>
      <c r="K62" s="24" t="s">
        <v>122</v>
      </c>
      <c r="L62" s="24" t="s">
        <v>187</v>
      </c>
      <c r="M62" s="65" t="s">
        <v>209</v>
      </c>
      <c r="N62" s="2"/>
      <c r="O62" s="19" t="s">
        <v>7</v>
      </c>
      <c r="P62" s="34" t="s">
        <v>11</v>
      </c>
    </row>
    <row r="63" spans="8:16" ht="38.25" x14ac:dyDescent="0.25">
      <c r="H63" s="10"/>
      <c r="I63" s="47"/>
      <c r="J63" s="46" t="s">
        <v>74</v>
      </c>
      <c r="K63" s="21" t="s">
        <v>125</v>
      </c>
      <c r="L63" s="21" t="s">
        <v>188</v>
      </c>
      <c r="M63" s="52" t="s">
        <v>208</v>
      </c>
      <c r="N63" s="26" t="s">
        <v>299</v>
      </c>
      <c r="O63" s="17"/>
      <c r="P63" s="34" t="s">
        <v>11</v>
      </c>
    </row>
    <row r="64" spans="8:16" x14ac:dyDescent="0.25">
      <c r="H64" s="10"/>
      <c r="I64" s="47"/>
      <c r="J64" s="28" t="s">
        <v>74</v>
      </c>
      <c r="K64" s="19" t="s">
        <v>126</v>
      </c>
      <c r="L64" s="19" t="s">
        <v>189</v>
      </c>
      <c r="M64" s="30" t="s">
        <v>207</v>
      </c>
      <c r="N64" s="35" t="s">
        <v>357</v>
      </c>
      <c r="O64" s="17"/>
      <c r="P64" s="34" t="s">
        <v>11</v>
      </c>
    </row>
    <row r="65" spans="8:16" ht="51" x14ac:dyDescent="0.25">
      <c r="H65" s="10"/>
      <c r="I65" s="47"/>
      <c r="J65" s="46" t="s">
        <v>74</v>
      </c>
      <c r="K65" s="21" t="s">
        <v>130</v>
      </c>
      <c r="L65" s="21" t="s">
        <v>269</v>
      </c>
      <c r="M65" s="52" t="s">
        <v>268</v>
      </c>
      <c r="N65" s="26" t="s">
        <v>358</v>
      </c>
      <c r="O65" s="17"/>
      <c r="P65" s="34" t="s">
        <v>11</v>
      </c>
    </row>
    <row r="66" spans="8:16" x14ac:dyDescent="0.25">
      <c r="H66" s="10"/>
      <c r="I66" s="47"/>
      <c r="J66" s="44" t="s">
        <v>74</v>
      </c>
      <c r="K66" s="19" t="s">
        <v>132</v>
      </c>
      <c r="L66" s="19" t="s">
        <v>191</v>
      </c>
      <c r="M66" s="30" t="s">
        <v>206</v>
      </c>
      <c r="N66" s="35" t="s">
        <v>357</v>
      </c>
      <c r="O66" s="17" t="s">
        <v>11</v>
      </c>
      <c r="P66" s="34" t="s">
        <v>11</v>
      </c>
    </row>
    <row r="67" spans="8:16" x14ac:dyDescent="0.25">
      <c r="H67" s="10"/>
      <c r="I67" s="47"/>
      <c r="J67" s="44" t="s">
        <v>74</v>
      </c>
      <c r="K67" s="19" t="s">
        <v>133</v>
      </c>
      <c r="L67" s="19" t="s">
        <v>192</v>
      </c>
      <c r="M67" s="30" t="s">
        <v>205</v>
      </c>
      <c r="N67" s="35" t="s">
        <v>299</v>
      </c>
      <c r="O67" s="17"/>
      <c r="P67" s="50" t="s">
        <v>11</v>
      </c>
    </row>
    <row r="68" spans="8:16" x14ac:dyDescent="0.25">
      <c r="H68" s="10"/>
      <c r="I68" s="47"/>
      <c r="J68" s="44" t="s">
        <v>74</v>
      </c>
      <c r="K68" s="19" t="s">
        <v>135</v>
      </c>
      <c r="L68" s="19" t="s">
        <v>194</v>
      </c>
      <c r="M68" s="30" t="s">
        <v>203</v>
      </c>
      <c r="N68" s="35" t="s">
        <v>357</v>
      </c>
      <c r="O68" s="17"/>
      <c r="P68" s="34" t="s">
        <v>11</v>
      </c>
    </row>
    <row r="69" spans="8:16" x14ac:dyDescent="0.25">
      <c r="H69" s="10">
        <v>72</v>
      </c>
      <c r="I69" s="47" t="s">
        <v>164</v>
      </c>
      <c r="J69" s="44" t="s">
        <v>74</v>
      </c>
      <c r="K69" s="19" t="s">
        <v>134</v>
      </c>
      <c r="L69" s="34" t="s">
        <v>193</v>
      </c>
      <c r="M69" s="63" t="s">
        <v>204</v>
      </c>
      <c r="N69" s="4"/>
      <c r="O69" s="17"/>
      <c r="P69" s="34" t="s">
        <v>11</v>
      </c>
    </row>
    <row r="70" spans="8:16" x14ac:dyDescent="0.25">
      <c r="H70" s="10">
        <v>81</v>
      </c>
      <c r="I70" s="30" t="s">
        <v>164</v>
      </c>
      <c r="J70" s="28" t="s">
        <v>74</v>
      </c>
      <c r="K70" s="19" t="s">
        <v>144</v>
      </c>
      <c r="L70" s="19" t="s">
        <v>195</v>
      </c>
      <c r="M70" s="30" t="s">
        <v>202</v>
      </c>
      <c r="N70" s="35" t="s">
        <v>357</v>
      </c>
      <c r="O70" s="17"/>
      <c r="P70" s="34" t="s">
        <v>11</v>
      </c>
    </row>
    <row r="71" spans="8:16" x14ac:dyDescent="0.25">
      <c r="H71" s="10">
        <v>82</v>
      </c>
      <c r="I71" s="30" t="s">
        <v>164</v>
      </c>
      <c r="J71" s="28" t="s">
        <v>74</v>
      </c>
      <c r="K71" s="19" t="s">
        <v>145</v>
      </c>
      <c r="L71" s="34" t="s">
        <v>196</v>
      </c>
      <c r="M71" s="63" t="s">
        <v>201</v>
      </c>
      <c r="N71" s="35" t="s">
        <v>357</v>
      </c>
      <c r="O71" s="17"/>
      <c r="P71" s="34" t="s">
        <v>11</v>
      </c>
    </row>
    <row r="72" spans="8:16" ht="51" x14ac:dyDescent="0.25">
      <c r="H72" s="10">
        <v>83</v>
      </c>
      <c r="I72" s="47" t="s">
        <v>164</v>
      </c>
      <c r="J72" s="46" t="s">
        <v>74</v>
      </c>
      <c r="K72" s="21" t="s">
        <v>139</v>
      </c>
      <c r="L72" s="21" t="s">
        <v>239</v>
      </c>
      <c r="M72" s="52" t="s">
        <v>238</v>
      </c>
      <c r="N72" s="26" t="s">
        <v>299</v>
      </c>
      <c r="O72" s="17"/>
      <c r="P72" s="34" t="s">
        <v>11</v>
      </c>
    </row>
    <row r="73" spans="8:16" x14ac:dyDescent="0.25">
      <c r="H73" s="10">
        <v>85</v>
      </c>
      <c r="I73" s="30" t="s">
        <v>163</v>
      </c>
      <c r="J73" s="28" t="s">
        <v>74</v>
      </c>
      <c r="K73" s="19" t="s">
        <v>318</v>
      </c>
      <c r="L73" s="19" t="s">
        <v>319</v>
      </c>
      <c r="M73" s="30" t="s">
        <v>320</v>
      </c>
      <c r="N73" s="35" t="s">
        <v>357</v>
      </c>
      <c r="O73" s="17"/>
      <c r="P73" s="34" t="s">
        <v>11</v>
      </c>
    </row>
    <row r="74" spans="8:16" x14ac:dyDescent="0.25">
      <c r="H74" s="10">
        <v>86</v>
      </c>
      <c r="I74" s="47" t="s">
        <v>164</v>
      </c>
      <c r="J74" s="44" t="s">
        <v>74</v>
      </c>
      <c r="K74" s="19" t="s">
        <v>306</v>
      </c>
      <c r="L74" s="19" t="s">
        <v>307</v>
      </c>
      <c r="M74" s="30" t="s">
        <v>308</v>
      </c>
      <c r="N74" s="35" t="s">
        <v>299</v>
      </c>
      <c r="O74" s="17"/>
      <c r="P74" s="34" t="s">
        <v>11</v>
      </c>
    </row>
    <row r="75" spans="8:16" x14ac:dyDescent="0.25">
      <c r="H75" s="10">
        <v>87</v>
      </c>
      <c r="I75" s="47" t="s">
        <v>164</v>
      </c>
      <c r="J75" s="44" t="s">
        <v>74</v>
      </c>
      <c r="K75" s="19" t="s">
        <v>304</v>
      </c>
      <c r="L75" s="19" t="s">
        <v>305</v>
      </c>
      <c r="M75" s="47" t="s">
        <v>317</v>
      </c>
      <c r="N75" s="4" t="s">
        <v>357</v>
      </c>
      <c r="O75" s="17"/>
      <c r="P75" s="34" t="s">
        <v>11</v>
      </c>
    </row>
    <row r="76" spans="8:16" x14ac:dyDescent="0.25">
      <c r="H76" s="10">
        <v>91</v>
      </c>
      <c r="I76" s="47" t="s">
        <v>163</v>
      </c>
      <c r="J76" s="44" t="s">
        <v>74</v>
      </c>
      <c r="K76" s="19" t="s">
        <v>152</v>
      </c>
      <c r="L76" s="19" t="s">
        <v>197</v>
      </c>
      <c r="M76" s="30" t="s">
        <v>412</v>
      </c>
      <c r="N76" s="35" t="s">
        <v>357</v>
      </c>
      <c r="O76" s="17"/>
      <c r="P76" s="34" t="s">
        <v>11</v>
      </c>
    </row>
    <row r="77" spans="8:16" x14ac:dyDescent="0.25">
      <c r="H77" s="10">
        <v>92</v>
      </c>
      <c r="I77" s="47" t="s">
        <v>164</v>
      </c>
      <c r="J77" s="44" t="s">
        <v>74</v>
      </c>
      <c r="K77" s="19" t="s">
        <v>310</v>
      </c>
      <c r="L77" s="19" t="s">
        <v>311</v>
      </c>
      <c r="M77" s="30" t="s">
        <v>413</v>
      </c>
      <c r="N77" s="35"/>
      <c r="O77" s="17"/>
      <c r="P77" s="34" t="s">
        <v>11</v>
      </c>
    </row>
    <row r="78" spans="8:16" x14ac:dyDescent="0.25">
      <c r="H78" s="11">
        <v>5</v>
      </c>
      <c r="I78" s="30" t="s">
        <v>164</v>
      </c>
      <c r="J78" s="28" t="s">
        <v>147</v>
      </c>
      <c r="K78" s="19" t="s">
        <v>153</v>
      </c>
      <c r="L78" s="19" t="s">
        <v>190</v>
      </c>
      <c r="M78" s="30" t="s">
        <v>199</v>
      </c>
      <c r="N78" s="35" t="s">
        <v>357</v>
      </c>
      <c r="O78" s="17"/>
      <c r="P78" s="19" t="s">
        <v>11</v>
      </c>
    </row>
    <row r="79" spans="8:16" x14ac:dyDescent="0.25">
      <c r="H79" s="11">
        <v>6</v>
      </c>
      <c r="I79" s="47" t="s">
        <v>164</v>
      </c>
      <c r="J79" s="44" t="s">
        <v>147</v>
      </c>
      <c r="K79" s="19" t="s">
        <v>156</v>
      </c>
      <c r="L79" s="19" t="s">
        <v>198</v>
      </c>
      <c r="M79" s="30" t="s">
        <v>200</v>
      </c>
      <c r="N79" s="35" t="s">
        <v>357</v>
      </c>
      <c r="O79" s="17"/>
      <c r="P79" s="34" t="s">
        <v>11</v>
      </c>
    </row>
    <row r="80" spans="8:16" x14ac:dyDescent="0.25">
      <c r="H80" s="11">
        <v>8</v>
      </c>
      <c r="I80" s="47" t="s">
        <v>164</v>
      </c>
      <c r="J80" s="44" t="s">
        <v>147</v>
      </c>
      <c r="K80" s="19" t="s">
        <v>323</v>
      </c>
      <c r="L80" s="19" t="s">
        <v>324</v>
      </c>
      <c r="M80" s="30" t="s">
        <v>325</v>
      </c>
      <c r="N80" s="35" t="s">
        <v>299</v>
      </c>
      <c r="O80" s="17"/>
      <c r="P80" s="17" t="s">
        <v>11</v>
      </c>
    </row>
    <row r="81" spans="8:16" x14ac:dyDescent="0.25">
      <c r="H81" s="11">
        <v>12</v>
      </c>
      <c r="I81" s="47" t="s">
        <v>164</v>
      </c>
      <c r="J81" s="44" t="s">
        <v>147</v>
      </c>
      <c r="K81" s="19" t="s">
        <v>365</v>
      </c>
      <c r="L81" s="19" t="s">
        <v>366</v>
      </c>
      <c r="M81" s="47" t="s">
        <v>367</v>
      </c>
      <c r="N81" s="4"/>
      <c r="O81" s="17"/>
      <c r="P81" s="31" t="s">
        <v>11</v>
      </c>
    </row>
    <row r="82" spans="8:16" ht="38.25" x14ac:dyDescent="0.25">
      <c r="H82" s="11">
        <v>13</v>
      </c>
      <c r="I82" s="30" t="s">
        <v>163</v>
      </c>
      <c r="J82" s="45" t="s">
        <v>147</v>
      </c>
      <c r="K82" s="21" t="s">
        <v>292</v>
      </c>
      <c r="L82" s="21" t="s">
        <v>293</v>
      </c>
      <c r="M82" s="61" t="s">
        <v>295</v>
      </c>
      <c r="N82" s="26" t="s">
        <v>357</v>
      </c>
      <c r="O82" s="17"/>
      <c r="P82" s="47" t="s">
        <v>11</v>
      </c>
    </row>
    <row r="83" spans="8:16" x14ac:dyDescent="0.25">
      <c r="H83" s="11">
        <v>16</v>
      </c>
      <c r="I83" s="47" t="s">
        <v>164</v>
      </c>
      <c r="J83" s="44" t="s">
        <v>147</v>
      </c>
      <c r="K83" s="19" t="s">
        <v>369</v>
      </c>
      <c r="L83" s="19" t="s">
        <v>370</v>
      </c>
      <c r="M83" s="30" t="s">
        <v>371</v>
      </c>
      <c r="N83" s="35"/>
      <c r="O83" s="17"/>
      <c r="P83" s="34" t="s">
        <v>11</v>
      </c>
    </row>
    <row r="84" spans="8:16" x14ac:dyDescent="0.25">
      <c r="H84" s="11">
        <v>17</v>
      </c>
      <c r="I84" s="47" t="s">
        <v>164</v>
      </c>
      <c r="J84" s="44" t="s">
        <v>147</v>
      </c>
      <c r="K84" s="19" t="s">
        <v>331</v>
      </c>
      <c r="L84" s="19" t="s">
        <v>332</v>
      </c>
      <c r="M84" s="30" t="s">
        <v>333</v>
      </c>
      <c r="N84" s="35" t="s">
        <v>357</v>
      </c>
      <c r="O84" s="17"/>
      <c r="P84" s="34" t="s">
        <v>11</v>
      </c>
    </row>
    <row r="85" spans="8:16" x14ac:dyDescent="0.25">
      <c r="H85" s="11">
        <v>18</v>
      </c>
      <c r="I85" s="47" t="s">
        <v>164</v>
      </c>
      <c r="J85" s="44" t="s">
        <v>147</v>
      </c>
      <c r="K85" s="19" t="s">
        <v>395</v>
      </c>
      <c r="L85" s="19" t="s">
        <v>396</v>
      </c>
      <c r="M85" s="64" t="s">
        <v>400</v>
      </c>
      <c r="N85" s="35"/>
      <c r="O85" s="17"/>
      <c r="P85" s="34" t="s">
        <v>11</v>
      </c>
    </row>
    <row r="86" spans="8:16" x14ac:dyDescent="0.25">
      <c r="H86" s="11">
        <v>19</v>
      </c>
      <c r="I86" s="47" t="s">
        <v>164</v>
      </c>
      <c r="J86" s="44" t="s">
        <v>147</v>
      </c>
      <c r="K86" s="19" t="s">
        <v>397</v>
      </c>
      <c r="L86" s="19" t="s">
        <v>338</v>
      </c>
      <c r="M86" s="64" t="s">
        <v>398</v>
      </c>
      <c r="N86" s="35"/>
      <c r="O86" s="17"/>
      <c r="P86" s="34" t="s">
        <v>11</v>
      </c>
    </row>
  </sheetData>
  <mergeCells count="8">
    <mergeCell ref="H1:H2"/>
    <mergeCell ref="F1:F2"/>
    <mergeCell ref="G1:G2"/>
    <mergeCell ref="E1:E2"/>
    <mergeCell ref="A1:A2"/>
    <mergeCell ref="B1:B2"/>
    <mergeCell ref="C1:C2"/>
    <mergeCell ref="D1:D2"/>
  </mergeCells>
  <conditionalFormatting sqref="F3:F7">
    <cfRule type="containsText" dxfId="41" priority="40" operator="containsText" text="RESTRI">
      <formula>NOT(ISERROR(SEARCH("RESTRI",F3)))</formula>
    </cfRule>
    <cfRule type="containsText" dxfId="40" priority="41" operator="containsText" text="AFASTADO">
      <formula>NOT(ISERROR(SEARCH("AFASTADO",F3)))</formula>
    </cfRule>
    <cfRule type="containsText" dxfId="39" priority="42" operator="containsText" text="DISPONÍVEL">
      <formula>NOT(ISERROR(SEARCH("DISPONÍVEL",F3)))</formula>
    </cfRule>
  </conditionalFormatting>
  <conditionalFormatting sqref="P19">
    <cfRule type="containsText" dxfId="38" priority="37" operator="containsText" text="RESTRI">
      <formula>NOT(ISERROR(SEARCH("RESTRI",P19)))</formula>
    </cfRule>
    <cfRule type="containsText" dxfId="37" priority="38" operator="containsText" text="AFASTADO">
      <formula>NOT(ISERROR(SEARCH("AFASTADO",P19)))</formula>
    </cfRule>
    <cfRule type="containsText" dxfId="36" priority="39" operator="containsText" text="DISPONÍVEL">
      <formula>NOT(ISERROR(SEARCH("DISPONÍVEL",P19)))</formula>
    </cfRule>
  </conditionalFormatting>
  <conditionalFormatting sqref="P78:P86 P71:P76 P57 O58:P69 O50:P56 O20:P48">
    <cfRule type="containsText" dxfId="35" priority="34" operator="containsText" text="RESTRI">
      <formula>NOT(ISERROR(SEARCH("RESTRI",O20)))</formula>
    </cfRule>
    <cfRule type="containsText" dxfId="34" priority="35" operator="containsText" text="AFASTADO">
      <formula>NOT(ISERROR(SEARCH("AFASTADO",O20)))</formula>
    </cfRule>
    <cfRule type="containsText" dxfId="33" priority="36" operator="containsText" text="DISPONÍVEL">
      <formula>NOT(ISERROR(SEARCH("DISPONÍVEL",O20)))</formula>
    </cfRule>
  </conditionalFormatting>
  <conditionalFormatting sqref="P49">
    <cfRule type="containsText" dxfId="32" priority="31" operator="containsText" text="RESTRI">
      <formula>NOT(ISERROR(SEARCH("RESTRI",P49)))</formula>
    </cfRule>
    <cfRule type="containsText" dxfId="31" priority="32" operator="containsText" text="AFASTADO">
      <formula>NOT(ISERROR(SEARCH("AFASTADO",P49)))</formula>
    </cfRule>
    <cfRule type="containsText" dxfId="30" priority="33" operator="containsText" text="DISPONÍVEL">
      <formula>NOT(ISERROR(SEARCH("DISPONÍVEL",P49)))</formula>
    </cfRule>
  </conditionalFormatting>
  <conditionalFormatting sqref="O49">
    <cfRule type="containsText" dxfId="29" priority="28" operator="containsText" text="RESTRI">
      <formula>NOT(ISERROR(SEARCH("RESTRI",O49)))</formula>
    </cfRule>
    <cfRule type="containsText" dxfId="28" priority="29" operator="containsText" text="AFASTADO">
      <formula>NOT(ISERROR(SEARCH("AFASTADO",O49)))</formula>
    </cfRule>
    <cfRule type="containsText" dxfId="27" priority="30" operator="containsText" text="DISPONÍVEL">
      <formula>NOT(ISERROR(SEARCH("DISPONÍVEL",O49)))</formula>
    </cfRule>
  </conditionalFormatting>
  <conditionalFormatting sqref="O57">
    <cfRule type="containsText" dxfId="26" priority="25" operator="containsText" text="RESTRI">
      <formula>NOT(ISERROR(SEARCH("RESTRI",O57)))</formula>
    </cfRule>
    <cfRule type="containsText" dxfId="25" priority="26" operator="containsText" text="AFASTADO">
      <formula>NOT(ISERROR(SEARCH("AFASTADO",O57)))</formula>
    </cfRule>
    <cfRule type="containsText" dxfId="24" priority="27" operator="containsText" text="DISPONÍVEL">
      <formula>NOT(ISERROR(SEARCH("DISPONÍVEL",O57)))</formula>
    </cfRule>
  </conditionalFormatting>
  <conditionalFormatting sqref="P70">
    <cfRule type="containsText" dxfId="23" priority="22" operator="containsText" text="RESTRI">
      <formula>NOT(ISERROR(SEARCH("RESTRI",P70)))</formula>
    </cfRule>
    <cfRule type="containsText" dxfId="22" priority="23" operator="containsText" text="AFASTADO">
      <formula>NOT(ISERROR(SEARCH("AFASTADO",P70)))</formula>
    </cfRule>
    <cfRule type="containsText" dxfId="21" priority="24" operator="containsText" text="DISPONÍVEL">
      <formula>NOT(ISERROR(SEARCH("DISPONÍVEL",P70)))</formula>
    </cfRule>
  </conditionalFormatting>
  <conditionalFormatting sqref="O81:O86 O78:O79 O70:O73">
    <cfRule type="containsText" dxfId="20" priority="19" operator="containsText" text="RESTRI">
      <formula>NOT(ISERROR(SEARCH("RESTRI",O70)))</formula>
    </cfRule>
    <cfRule type="containsText" dxfId="19" priority="20" operator="containsText" text="AFASTADO">
      <formula>NOT(ISERROR(SEARCH("AFASTADO",O70)))</formula>
    </cfRule>
    <cfRule type="containsText" dxfId="18" priority="21" operator="containsText" text="DISPONÍVEL">
      <formula>NOT(ISERROR(SEARCH("DISPONÍVEL",O70)))</formula>
    </cfRule>
  </conditionalFormatting>
  <conditionalFormatting sqref="O74">
    <cfRule type="containsText" dxfId="17" priority="16" operator="containsText" text="RESTRI">
      <formula>NOT(ISERROR(SEARCH("RESTRI",O74)))</formula>
    </cfRule>
    <cfRule type="containsText" dxfId="16" priority="17" operator="containsText" text="AFASTADO">
      <formula>NOT(ISERROR(SEARCH("AFASTADO",O74)))</formula>
    </cfRule>
    <cfRule type="containsText" dxfId="15" priority="18" operator="containsText" text="DISPONÍVEL">
      <formula>NOT(ISERROR(SEARCH("DISPONÍVEL",O74)))</formula>
    </cfRule>
  </conditionalFormatting>
  <conditionalFormatting sqref="O75">
    <cfRule type="containsText" dxfId="14" priority="13" operator="containsText" text="RESTRI">
      <formula>NOT(ISERROR(SEARCH("RESTRI",O75)))</formula>
    </cfRule>
    <cfRule type="containsText" dxfId="13" priority="14" operator="containsText" text="AFASTADO">
      <formula>NOT(ISERROR(SEARCH("AFASTADO",O75)))</formula>
    </cfRule>
    <cfRule type="containsText" dxfId="12" priority="15" operator="containsText" text="DISPONÍVEL">
      <formula>NOT(ISERROR(SEARCH("DISPONÍVEL",O75)))</formula>
    </cfRule>
  </conditionalFormatting>
  <conditionalFormatting sqref="O76">
    <cfRule type="containsText" dxfId="11" priority="10" operator="containsText" text="RESTRI">
      <formula>NOT(ISERROR(SEARCH("RESTRI",O76)))</formula>
    </cfRule>
    <cfRule type="containsText" dxfId="10" priority="11" operator="containsText" text="AFASTADO">
      <formula>NOT(ISERROR(SEARCH("AFASTADO",O76)))</formula>
    </cfRule>
    <cfRule type="containsText" dxfId="9" priority="12" operator="containsText" text="DISPONÍVEL">
      <formula>NOT(ISERROR(SEARCH("DISPONÍVEL",O76)))</formula>
    </cfRule>
  </conditionalFormatting>
  <conditionalFormatting sqref="P77">
    <cfRule type="containsText" dxfId="8" priority="7" operator="containsText" text="RESTRI">
      <formula>NOT(ISERROR(SEARCH("RESTRI",P77)))</formula>
    </cfRule>
    <cfRule type="containsText" dxfId="7" priority="8" operator="containsText" text="AFASTADO">
      <formula>NOT(ISERROR(SEARCH("AFASTADO",P77)))</formula>
    </cfRule>
    <cfRule type="containsText" dxfId="6" priority="9" operator="containsText" text="DISPONÍVEL">
      <formula>NOT(ISERROR(SEARCH("DISPONÍVEL",P77)))</formula>
    </cfRule>
  </conditionalFormatting>
  <conditionalFormatting sqref="O77">
    <cfRule type="containsText" dxfId="5" priority="4" operator="containsText" text="RESTRI">
      <formula>NOT(ISERROR(SEARCH("RESTRI",O77)))</formula>
    </cfRule>
    <cfRule type="containsText" dxfId="4" priority="5" operator="containsText" text="AFASTADO">
      <formula>NOT(ISERROR(SEARCH("AFASTADO",O77)))</formula>
    </cfRule>
    <cfRule type="containsText" dxfId="3" priority="6" operator="containsText" text="DISPONÍVEL">
      <formula>NOT(ISERROR(SEARCH("DISPONÍVEL",O77)))</formula>
    </cfRule>
  </conditionalFormatting>
  <conditionalFormatting sqref="O80">
    <cfRule type="containsText" dxfId="2" priority="1" operator="containsText" text="RESTRI">
      <formula>NOT(ISERROR(SEARCH("RESTRI",O80)))</formula>
    </cfRule>
    <cfRule type="containsText" dxfId="1" priority="2" operator="containsText" text="AFASTADO">
      <formula>NOT(ISERROR(SEARCH("AFASTADO",O80)))</formula>
    </cfRule>
    <cfRule type="containsText" dxfId="0" priority="3" operator="containsText" text="DISPONÍVEL">
      <formula>NOT(ISERROR(SEARCH("DISPONÍVEL",O80)))</formula>
    </cfRule>
  </conditionalFormatting>
  <dataValidations count="2">
    <dataValidation type="list" allowBlank="1" showInputMessage="1" showErrorMessage="1" sqref="F1:F7">
      <formula1>SITUAÇÃO</formula1>
    </dataValidation>
    <dataValidation type="list" allowBlank="1" showInputMessage="1" showErrorMessage="1" sqref="P19:P25 O20:O25 O26:P86">
      <formula1>SITUAÇÃO</formula1>
    </dataValidation>
  </dataValidations>
  <pageMargins left="0.7" right="0.7" top="0.75" bottom="0.75" header="0.3" footer="0.3"/>
  <pageSetup paperSize="9" scale="55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Opções!$A$2:$A$14</xm:f>
          </x14:formula1>
          <xm:sqref>B3:B7</xm:sqref>
        </x14:dataValidation>
        <x14:dataValidation type="list" allowBlank="1" showInputMessage="1" showErrorMessage="1">
          <x14:formula1>
            <xm:f>[1]Opções!#REF!</xm:f>
          </x14:formula1>
          <xm:sqref>J19</xm:sqref>
        </x14:dataValidation>
        <x14:dataValidation type="list" allowBlank="1" showInputMessage="1" showErrorMessage="1">
          <x14:formula1>
            <xm:f>Opções!$E$2:$E$15</xm:f>
          </x14:formula1>
          <xm:sqref>O19</xm:sqref>
        </x14:dataValidation>
        <x14:dataValidation type="list" allowBlank="1" showInputMessage="1" showErrorMessage="1">
          <x14:formula1>
            <xm:f>Opções!$A$2:$A$14</xm:f>
          </x14:formula1>
          <xm:sqref>J20:J86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10</vt:i4>
      </vt:variant>
    </vt:vector>
  </HeadingPairs>
  <TitlesOfParts>
    <vt:vector size="13" baseType="lpstr">
      <vt:lpstr>Opções</vt:lpstr>
      <vt:lpstr>EAP _POR SEÇÃO</vt:lpstr>
      <vt:lpstr>Plan6</vt:lpstr>
      <vt:lpstr>AFASTADO</vt:lpstr>
      <vt:lpstr>'EAP _POR SEÇÃO'!Area_de_impressao</vt:lpstr>
      <vt:lpstr>FÉRIAS</vt:lpstr>
      <vt:lpstr>FUNÇÃO</vt:lpstr>
      <vt:lpstr>GÊNERO</vt:lpstr>
      <vt:lpstr>IAS</vt:lpstr>
      <vt:lpstr>MOTIVO</vt:lpstr>
      <vt:lpstr>POST\GRAD</vt:lpstr>
      <vt:lpstr>SEÇÃO</vt:lpstr>
      <vt:lpstr>SITUAÇÃO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VEDOVATO FARIA</dc:creator>
  <cp:lastModifiedBy>VALDERLEY BRITO MOURA</cp:lastModifiedBy>
  <cp:lastPrinted>2026-01-29T19:10:29Z</cp:lastPrinted>
  <dcterms:created xsi:type="dcterms:W3CDTF">2022-08-02T17:38:44Z</dcterms:created>
  <dcterms:modified xsi:type="dcterms:W3CDTF">2026-02-25T12:18:42Z</dcterms:modified>
</cp:coreProperties>
</file>